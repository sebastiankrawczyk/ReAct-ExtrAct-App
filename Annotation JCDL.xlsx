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 1 - annotator 1 - extrac" sheetId="1" r:id="rId4"/>
    <sheet state="visible" name="review 1 - annotator 2 - extrac" sheetId="2" r:id="rId5"/>
    <sheet state="visible" name="results review 1 naive rag" sheetId="3" r:id="rId6"/>
    <sheet state="visible" name="results review 1 iter-retgen" sheetId="4" r:id="rId7"/>
    <sheet state="visible" name="results review 1 react_extract" sheetId="5" r:id="rId8"/>
    <sheet state="visible" name="review 1 - annotator 1 - eval" sheetId="6" r:id="rId9"/>
    <sheet state="visible" name="review 1 - annotator 2 - eval" sheetId="7" r:id="rId10"/>
    <sheet state="visible" name="review 1 Cohens Kappa" sheetId="8" r:id="rId11"/>
    <sheet state="visible" name="review 2 - annotator 1 - extrac" sheetId="9" r:id="rId12"/>
    <sheet state="visible" name="review 2 - annotator 1 - eval" sheetId="10" r:id="rId13"/>
    <sheet state="visible" name="review 2 - annotator 2 - extrac" sheetId="11" r:id="rId14"/>
    <sheet state="visible" name="review 2 - annotator 2 - eval" sheetId="12" r:id="rId15"/>
    <sheet state="visible" name="review 2 Cohens Kappa" sheetId="13" r:id="rId16"/>
    <sheet state="visible" name="evaluation template"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znowu sie wywala na related work
	-Sebastian Krawczyk
----
znowu sie wywala na wyciaganiu z related work
	-Sebastian Krawczyk
----
answer off completely
	-Sebastian Krawczyk
----
answer off completely
	-Sebastian Krawczyk
----
missing most obvious twitter
	-Sebastian Krawczyk
----
ROC missing
	-Sebastian Krawczyk
----
again issue with retrieval from references not the underlaying text
	-Sebastian Krawczyk
----
its true about 17 models, not sure which as they don't list them explicitly, but still not all that are presented in performance evaluation are listed
	-Sebastian Krawczyk
----
złe summary, tutaj algorytm znalazł tylko wyniki z jednej tabelki. W review podsumowują wyniki z dwóch tabel.
	-Wojciech Kusa
----
w review kodują ilość profili (tweeps), algorytm wykrył ilość tweetów. Ogolnie spoko więc daję pomarańcz
	-Wojciech Kusa
----
1M rekordów to tylko testset. w publikacji nie podaja jak duzy byl trainset. ogolnie bym zaliczyl jak odpowiedz w porzadku
	-Wojciech Kusa
----
zła tabelka, w review są wyniki z ostatniej tabelki, tutaj system wyciągnął z jakiejś środkowej
	-Wojciech Kusa
----
to są wyniki z innych badań z related work, nie z tej publikacji. Ta publikacja nie raportuje ŻADNYCH wyników
	-Wojciech Kusa
----
dla mnie tutaj jest niejasne co powinno być wyekstrachowane
	-Wojciech Kusa
----
tutaj w review mają błąd, jest twitter w oryginalnym paperze, oni w review piszą "Forms" ale to jest nieprawdą bo oni użyli Qualtrics Forms tylko żeby zrekrutować uczestnikow i potem uzyli ich twittera. Więc daję zielone.
	-Wojciech Kusa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5">
      <text>
        <t xml:space="preserve">you need to calculate it
	-Paweł Jemioło
otherwise just a confusion matrix
	-Paweł Jemioło</t>
      </text>
    </comment>
  </commentList>
</comments>
</file>

<file path=xl/sharedStrings.xml><?xml version="1.0" encoding="utf-8"?>
<sst xmlns="http://schemas.openxmlformats.org/spreadsheetml/2006/main" count="8622" uniqueCount="2113">
  <si>
    <t>|#&gt;</t>
  </si>
  <si>
    <t>Paper Index</t>
  </si>
  <si>
    <t>[54] applsci-09-03723-v2.pdf</t>
  </si>
  <si>
    <t>Question</t>
  </si>
  <si>
    <t>What were the machine learning algorithms used in this study?</t>
  </si>
  <si>
    <t>What features were used to train machine learning models in this study?</t>
  </si>
  <si>
    <t>Which social network or platform was used for data collection?</t>
  </si>
  <si>
    <t>What was the size of the analyzed dataset?</t>
  </si>
  <si>
    <t>What were the performance metrics and their reported values for each machine learning model in the study?</t>
  </si>
  <si>
    <t>Extracted Context</t>
  </si>
  <si>
    <t>Furthermore, the classification algorithms like naïve Bayes’, K Nearest Neighbors (KNN),
random forest, Support Vector Machine (SVM) and ensemble classification methods (with bagging
and boosting)As the second step of our analysis, we apply various machine learning classification models such as SVM, naïve Bayes’, decision tree, KNN and ensemble classification methods with boosting and bagging approaches. Seven diﬀerent classifiers are considered; SVM, naïve Bayes’, decision tree, random forest, KNN, and ensemble methods (with bagging and boosting). The ensemble classification techniques (with bagging and boosting) are applied to build a strong model by combining a set of weak learners to achieve better performance. Naïve Bayes’ 83.16 82.81 80.2 81.48 81.05 79.73 80.84 80.28 68.06 67.87 67.70 67.78 SVM 80.73 80.65 77.21 78.89 84.71 85.18 83.15 84.15 74.10 75.00 73.21 74.09 Decision Tree 76.06 79.56 69.28 74.06 77.43 80.22 71.34 75.52 70.70 76.17 68.77 72.28 Random Forest 70.7 74.04 70.04 71.98 69.56 84.70 50.87 63.56 76.00 78.77 74.69 76.68 KNN 74.78 73.05 72.82 72.93 73.87 70.34 66.29 68.25 72.55 73.85 73.33 73.59 Bagging 83.12 82.21 81.01 81.61 83.66 81.89 80.01 80.94 70.17 73.91 68.44 71.07 Boosting 81.81 80.30 78.56 79.42 84.43 86.29 82.76 84.49 72.52 73.39 71.43 72.40</t>
  </si>
  <si>
    <t>In this study we collected data from Twitter using Twitter Streaming API and apply standard preprocessing techniques of NLP that ranges from tokenization, stemming, lemmatization, computing TF-IDF features, etc., to generate a dataset. |#&gt;  Sentiment analysis on text usually requires hand written feature derived from word-level (e.g.,
airstrike, terrorist), word-level n-gram (e.g., doing_good, good_job), character level n-gram (e.g., b, be,
beh, av, ave beha, behave), POS tags (e.g., noun, adjective, verb), word cluster (e.g., maybe, probably,
prob collapse to the same cluster), hashtag (e.g., #Afghanistan, #Trump), emoticon (e.g., , ), user tags
(e.g., @Trump), abbreviations (e.g., WTH, ASAP, ROFL) and elongated words (e.g., yummy, hurrah).
Machine learning algorithm needs a numerical picture in the form of a feature vector that enables
the model to perform mathematical and statistical investigation. In feature building phase, text data
requires to be converted into a manageable representation that is understandable by the algorithm. For
this purpose, a feature vector is constructed (i.e., Term Frequency-Inverse Document Frequency) where
weighting scheme is applied in order to calculate the score of each token in the corpus. It is defined as:
Term Frequency (TF) =
frequency of term t in a tweet
total terms in tweets (1)
total tweets
Inverse Document Frequency (IDF) =
number of tweets having a term t TF−IDF(t, d) = TF(t, d) ×IDF(t, d) (2)
(3)
Here, t represents a term in a tweet and d represents a tweet (usually termed as document in
text documents).
requires to be converted into a manageable representation that is understandable by the algorithm. For
this purpose, a feature vector is constructed (i.e., Term Frequency-Inverse Document Frequency) where
weighting scheme is applied in order to calculate the score of each token in the corpus. It is defined as:
Term Frequency (TF) =
frequency of term t in a tweet
total terms in tweets (1)
total tweets
Inverse Document Frequency (IDF) =
number of tweets having a term t TF−IDF(t, d) = TF(t, d) ×IDF(t, d) (2)
(3)
Here, t represents a term in a tweet and d represents a tweet (usually termed as document in
text documents). |#&gt;The PCA is considered as a linear method for projecting a high-dimensional dataset onto a
low-dimensional space. PCA can also be defined as an orthogonal projection of high-dimensional
data to a low-dimensional space in such a way that there will be a maximum variance in the projected
data [49–51].</t>
  </si>
  <si>
    <t xml:space="preserve">In this study we collected data from Twitter
using Twitter Streaming API and apply standard preprocessing techniques of NLP that ranges from
tokenization, stemming, lemmatization, computing TF-IDF features, etc., to generate a dataset. </t>
  </si>
  <si>
    <t>In order to collect data from Twitter to understand the sentiment of Afghan people after Kunduz
Madrassa attack in Afghanistan, the list of query words was prepared based on the trending topics
Appl. Sci. 2019, 9, 3723 8 of 21
result of an airstrike conducted by Afghan forces on a religious school in the strong hold area of
Taliban on 2 April 2018. Afghan government was of the view that Taliban leaders’ presence at the
Madrassa was the reason of this attack by the Afghan forces.
Appl. Sci. 2019, 9, 3723 8 of 20
In order to collect data from Twitter to understand the sentiment of Afghan people after Kunduz
Madrassa attack in Afghanistan, the list of query words was prepared based on the trending topics
on Twitter, from the 2 to 8 April 2018.The total query words that we use for extracting tweets were
on Twitter, from the 2 to 8 April 2018.   |#&gt;  total of 7500 tweets were downloaded based on the
the query words in the geo-location of Afghanistan for a span of one week after the Kunduz incident.
query words in the geo-location of Afghanistan for a span of one week after the Kunduz incident. All
All the collected data were stored locally in an Excel format for further processing and analysis
the collected data were stored locally in an Excel format for further processing and analysis purposes.</t>
  </si>
  <si>
    <t>Classification
Algorithms
Unigram Bigram Reduced Feature Set (Using PCA)
Accuracy Precision Recall F-Score Accuracy Precision Recall F-Score Accuracy Precision Recall F-Score
Naïve Bayes’ 83.16 82.81 80.2 81.48 81.05 79.73 80.84 80.28 68.06 67.87 67.70 67.78
SVM 80.73 80.65 77.21 78.89 84.71 85.18 83.15 84.15 74.10 75.00 73.21 74.09
Decision Tree 76.06 79.56 69.28 74.06 77.43 80.22 71.34 75.52 70.70 76.17 68.77 72.28
Random Forest 70.7 74.04 70.04 71.98 69.56 84.70 50.87 63.56 76.00 78.77 74.69 76.68
KNN 74.78 73.05 72.82 72.93 73.87 70.34 66.29 68.25 72.55 73.85 73.33 73.59
Bagging 83.12 82.21 81.01 81.61 83.66 81.89 80.01 80.94 70.17 73.91 68.44 71.07
Boosting 81.81 80.30 78.56 79.42 84.43 86.29 82.76 84.49 72.52 73.39 71.43 72.40</t>
  </si>
  <si>
    <t>Human Answer</t>
  </si>
  <si>
    <t>Naive Bayes, SVM, Decision Tree, Random Forest, K-nearest neighbours and ensamble methods (bagging and boosting)</t>
  </si>
  <si>
    <t>core: TF-IDF |#&gt; possible: Tokenization, Character Transformation, Stop Words Removal, Removing Irregular Terms, Stemming, PCA</t>
  </si>
  <si>
    <t>Twitter</t>
  </si>
  <si>
    <t>core: 7500 tweets |#&gt; possible: from 2 to 8 april 2018</t>
  </si>
  <si>
    <t>Accuracy, Precision, Recall, F1 Score</t>
  </si>
  <si>
    <t>Possible Code</t>
  </si>
  <si>
    <t>AdaBoost, Best-first Search, Char-LSTM, GR-Learnt LSTM, LabelSpreading (RBF), Linear SVC, Logistic Regression, Naive Bayes, Random Forest, Rule-based Classifier, Semi-supervised ML, SVM, SVM-OAA</t>
  </si>
  <si>
    <t>NA</t>
  </si>
  <si>
    <t>Articles, Blogs, DWFP, Facebook, Forms, Kaggle, Magazine, News, OSAC, Tumblr, Twitter, WhatsApp, YouTube</t>
  </si>
  <si>
    <t>Accuracy, F1 Score, MAP, MRR, NDCG, Precision, Recall, ROC-AUC</t>
  </si>
  <si>
    <t>Human Code (choose from possible_options)</t>
  </si>
  <si>
    <t>Naive Bayes, SVM, Random Forest, Decision Tree</t>
  </si>
  <si>
    <t>Human Code Proposition for new</t>
  </si>
  <si>
    <t>K-nearest neighbours, ensamble methods:bagging, ensable methods:boosting</t>
  </si>
  <si>
    <t>[13] agarwal2014.pdf</t>
  </si>
  <si>
    <t xml:space="preserve">The research aim of the work presented in this paper is to investigate the application of a focused crawler (best- rst search) based approach for retrieving YouTube user-pro les promoting hate and extremism. |#&gt; BEST-FIRST SEARCHCRAWLER
 The proposed method is a multi-step process primarily
 consists of three phases, Training Pro le Collection, Sta
tistical Model Building and Focused Crawler. </t>
  </si>
  <si>
    <t xml:space="preserve"> To investigate the e ec
tiveness of contextual features such as the title of the videos
 uploaded, commented, shared, and favourited for computing
 the similarity between nodes in the focused crawler traver
sal and to examine the e ectiveness of subscribers, featured
 channels and public contacts as links between nodes. |#&gt; We build our training dataset by extracting the discriminatory features (user ac tivity feeds such as titles of videos uploaded, shared, favour ited &amp; commented by the user and pro le information) of these 35 channels using YouTube API1 |#&gt;  BFS method has non-binary priority values assigned to
 each node. The priority values are the similarity score, which
 is computed by comparing the users contextual metadata
 (user activity feeds and pro le information) with training
 pro les.</t>
  </si>
  <si>
    <t>Online video sharing platforms such as YouTube contains
 several videos and users promoting hate and extremism. |#&gt;  We
 collect 35 positive class channels (promoting hate and ex
tremism) used as training pro les. We build our training
 dataset by extracting the discriminatory features (user ac
tivity feeds such as titles of videos uploaded, shared, favour
ited &amp; commented by the user and pro le information) of
 these 35 channels using YouTube API</t>
  </si>
  <si>
    <t>We collect 35 positive class channels (promoting hate and ex tremism) used as training pro les. We build our training dataset by extracting the discriminatory features (user ac tivity feeds such as titles of videos uploaded, shared, favour ited &amp; commented by the user and pro le information) of these 35 channels using YouTube API |#&gt;  We create a list
 of 35 user-ids used as training pro les. The 35 user ids
 consists of 612 videos and hence the training is performed
 on 612 videos. |#&gt;  we collect
 results of all 60 iterations and classify 1046 (921 + 125) users
 as relevant and 381 (314 + 67) as irrelevant users.</t>
  </si>
  <si>
    <t xml:space="preserve">Table 1 shows the confusion matrix for binary classi cation performed during Best-First Search approach. Given the input of 10 seed users and 6 modes (pair of threshold and n-gram values) we get di erent number of connected users in each iteration. To measure the accuracy of our proposed approach we collect results of all 60 iterations and classify 1046 (921 + 125) users as relevant and 381 (314 + 67) as irrelevant users. There is a misclassi cation of 2542% and 6510% in predicting the relevant and irrelevant users respectively. |#&gt; Table 1: Best-First Search Confusion Matrix
 Predicted
 Relevant Irrelevant
 Actual Relevant 921 314
 Irrelevant 125 67
 </t>
  </si>
  <si>
    <t>Best-first Search</t>
  </si>
  <si>
    <t>video titles, profile info, subscribers, featured channels, contacts</t>
  </si>
  <si>
    <t>YouTube</t>
  </si>
  <si>
    <t>35 channels / 612 videos (train), 10 channels (test), 1,427 users classified.</t>
  </si>
  <si>
    <t>core: Accuracy = 69.2% |#&gt; possible: TP 921, FN 314, FP 125, TN 67; misclass. 25.42% (relevant), 65.10% (irrelevant).</t>
  </si>
  <si>
    <t>[33] 8657a161.pdf</t>
  </si>
  <si>
    <t>We have used three different classification algorithms: SVM, Naive Bayes and Adaboost.</t>
  </si>
  <si>
    <t>In our experiments we have used three different classes of features: • stylometric features (S) • time based features (T) • sentiment based features (SB) |#&gt; After removing the features that did not effect the classifi
cation we used 579 stylometric features, 36 time based features
 and 4 sentiment based features.</t>
  </si>
  <si>
    <t xml:space="preserve">In this work we will focus on Twitter and the distribution of jihadist messages on Twitter.|#&gt; We have collected
 a set of tweets containing hashtags related to jihadists, and in
 particular ISIS, from the English language spectrum of pro
ISIS clusters on Twitter. </t>
  </si>
  <si>
    <t>The list we used consisted of 6729 user names. We use only tweets that were posted by these users. Apart from the dataset containing tweets supporting Jihadist groups we also collected 2000 random tweets discussing various topics and a set of tweets that was from accounts that are against ISIS. |#&gt;  For the experiments we have used
 between 4000 and 7500 tweets in total and the ratio between
 testing data set and training data set was approximately 1:4</t>
  </si>
  <si>
    <t>The results from the experiments using the different feature sets are reported using confusion matrices in which we present the number of true positives, false negatives, true negatives, and false positives as illustrated in Table III. Predicted class Actual class True Pos. (TP) False Pos. (FP) False Neg. (FN) True Neg. (TN) TABLE III: Confusion matrix |#&gt; Non Radical Radical Correctly Classified Instances
 SVM 1974 24 99.1%
 11 1990
 Naive Bayes 1997 1 99.9%
 1 1990
 AdaBoost 1998 0 100%
 0 1991
 TABLE IV: Results when using features (S+T+SB)onthe
 datasets TW-RAND and TW-PRO.|#&gt; Non Radical Radical Correctly Classified Instances
 SVM 1155 38 98.5%
 24 2783
 Naive Bayes 1178 15 96.8%
 114 2693
 AdaBoost 1182 11 99.5%
 8 2799
 TABLE V: Results when using all features (S+T+SB)on
 TW-CON and TW-PRO |#&gt; Non Radical Radical Correctly Classified Instances
 SVM 3099 92 97.9%
 74 4813
 Naive Bayes 2877 314 89.0%
 574 4313
 AdaBoost 1600 0 100%
 0 2905
 TABLE VI: Results when using all features (S + T + SB) on
 the full dataset</t>
  </si>
  <si>
    <t>SVM, Naive Bayes and Adaboost.</t>
  </si>
  <si>
    <t>Stylometric, time-based, sentiment-based features</t>
  </si>
  <si>
    <t>6729 user accounts, datasets of pro-ISIS, random (2000), and anti-ISIS tweets; total 4,000–7,500 tweets</t>
  </si>
  <si>
    <t>SVM 97.9%, NB 89.0%, AdaBoost 100%</t>
  </si>
  <si>
    <t>SVM, Naive Bayes, Adaboost.</t>
  </si>
  <si>
    <t>[1] 1605.00659v1.pdf</t>
  </si>
  <si>
    <t>We adopt two off-the-shelf learning models as a proof of concept for the three classification tasks that we will discuss later (see 4): Logistic Regression and Random Forests.  Logistic Regression: The first implemented algorithm is a
 simple Logistic Regression (LR) with LASSO regulariza
tion. The advantage of this approach is its scalability, which
 makes it very effective to (possibly real-time) classification
 tasks on large datasets. The only parameter to tune is the
 loss function C. We expect that LR will provide the baseline
 classification and prediction performance.
 Random Forests: We also use a state-of-the-art implemen
tation of Random Forests (RF) [10]. The vectors fed into
 the learning models represent each user’s features. Random
 Forests are trained using 100 estimators and adopting the
 Gini coefficient to measure the quality of splits. Optimal pa
rameters setting is obtained via cross validation (see 3.1.1).
 Note that the goal of this work is not to provide new
 machine learning techniques, but to illustrate that existing
 methods can provide promising results. We also explored
 additional learning models (e.g., SVM, Stochastic Gradient
 Descent, etc.), which provide comparable prediction perfor
mance but are less computationally efficient and scalable</t>
  </si>
  <si>
    <t>We manually crafted a set of 52 features belonging to three different classes: user metadata, timing features, and network statistics, as detailed below. User metadata and activity features: User metadata have been proved pivotal to model classes of users in social media [12], [13]. We build user-based features leveraging the metadata provided by the Twitter API related to the  author of each tweet, as well as the source of each retweet.
 User features include the number of tweets, followers and
 friends associated to each users, the frequency of adoption
 of hashtags, mentions, and URLs, and finally some profile
 descriptors. In total, 18 user metadata and activity features
 are computed (cf. Table 1). |#&gt; TABLE 1. LIST OF 52 FEATURES EXTRACTED BY OUR FRAMEWORK
 User metadata &amp; activity
 Number of followers
 Number of friends (i.e., followees)
 Number of posted tweets
 Number of favorite tweets
 Ratio of retweets / tweets
 Ratio of mentions / tweets
 Avg number of hashtags
 (avg, var) number of retweets
 Avg. number of mentions
 Avg. number of mentions (excluding retweets)
 Number of URLs in profile description
 (avg, std, min, max, proportion) URLs in tweets
 Length of username
 Timing
 (avg, var) number of tweets per day
 (avg, std, min, max) interval between two consecutive tweets
 (avg, std, min, max) interval between two consecutive retweets
 (avg, std, min, max) interval between two consecutive mentions
 Netw. stats
 (avg, std, min, max) distribution of retweeters’ number of followers
 (avg, std, min, max) distribution of retweeters’ number of friends
 (avg, std, min, max) distribution of mentioners’ number of followers
 (avg, std, min, max) distribution of mentioners’ number of friends
 (avg, std, min, max) number of retweets of the tweets by others |#&gt;  Timing features: Important insights may be concealed by
 the temporal dimension of content production and consump
tion, as illustrated by recent work |#&gt; Network statistics: Twitter content spreads from person
 to person via retweets and mentions.</t>
  </si>
  <si>
    <t xml:space="preserve"> We tapped into Twitter to
 obtain a relevant dataset, leveraged expert crowd-sourcing
 for annotation purposes, and then designed, trained and
 tested the performance of our prediction system in static
 and simulated real-time forecasts, as detailed below |#&gt; The next step of our study consisted in collecting data
 related to the activity of the 25,538 ISIS supporters on Twit
ter.  |#&gt; </t>
  </si>
  <si>
    <t>The next step of our study consisted in collecting data related to the activity of the 25,538 ISIS supporters on Twit ter. |#&gt;  ISIS accounts: this dataset contains 3,395,901 tweets gen
erated in the time interval January-June 2015 by the 25,538
 accounts identified by Twitter as supporters of ISIS. This is
 a significant portion of all the accounts suspended by Twitter
 in relation to ISIS.1
 Users exposed to ISIS: this dataset contains 29,193,267
 tweets generated during January-June 2015 by a set of 25
 thousand users randomly sampled among the larger set of
 users that constitute ISIS accounts’ followers. This set is by
 choice of equal size to the former one, to avoid introducing
 class imbalance issues.</t>
  </si>
  <si>
    <t>Table2summarizestheperformanceofLRand
 RFaccordingtothefourqualitymeasuresdescribedabove
 (cf.3.1.2):Bothmodelsperformwell,withRandomForests
 achieving an accuracy above 87%asmeasuredbyAUC.
 Theseresultsareencouraginganddemonstrate that simple
 off-the-shelfmodelscanyieldgoodperformanceinT1A. |#&gt; Table4summarizes theperformance
 ofourmodels:RandomForestsemergesagainas thebest
 performer, although the gapwith Logistic Regression is
 narrow, and the latter provides significantlybetterRecall.
 Overall,T2AappearsclearlymorechallengingthanT1A,as
 thetopperformanceyieldsa77.1%AUCscore.Theresults
 onthestaticpredictionarepromisingandsetagoodbaseline
 for thereal-timepredictionscenario,discussednext.|#&gt; Table6reports the
 predictionperformanceofour twomodels:overall, thetask
 proveschallengingasexpected, beingRandomForests the
 bestperformer, yieldingexcellentRecall and69.2%AUC.
 LogisticRegressionprovidesfairperformancewitha65.8%
 AUCscore, andbothPrecisionandRecallaround69%.</t>
  </si>
  <si>
    <t>Logistic Regression with LASSO regularization and Random Forests</t>
  </si>
  <si>
    <t>user metadata, timing features, network statistics</t>
  </si>
  <si>
    <t>The dataset included about 3.4 million tweets from 25,538 extremist accounts and about 29 million tweets from 25,000 regular users</t>
  </si>
  <si>
    <t>The study used Precision, Recall, F1, and AUC as performance metrics. The best AUC scores in real-time predictions with Random Forests were 93.2% for extremist detection, 80.2% for content adoption, and 72.6% for interaction reciprocity.</t>
  </si>
  <si>
    <t>Logistic Regression, Random Forests (RF)</t>
  </si>
  <si>
    <t>[20] Thabit-HybridizedTerm-WeightingMethod_Revised_Final_s.pdf</t>
  </si>
  <si>
    <t>Table 3 Classifiers parameters Classifier Parameters SVM KNN Kernel: Linear | default values for other parameters K = 25 | Distance function : Euclidean DT 
NB 
ELM 
Default 
Default</t>
  </si>
  <si>
    <t>The next step in the experiment was the representation of the documents in VSM model, based on different term-weighting techniques A, B, C, D, and E, which stands for TF, DF, TF-IDF, Glasgow, and Entropy weighting techniques, respectively. |#&gt; Figure 13 shows the classification performance of the term weighting schemes, where it can be seen that the schemes E and D which stand for Entropy and Glasgow schemes respectively are generally outperforming other schemes in F-measure, and Accuracy, however, TF-IDF scheme performance is the least in the same perspectives. |#&gt; Using the different term-weighting techniques, HTW combines small feature sets generated by the basic TF, DF, 
IDF, TF-IDF, Glasgow, and Entropy term-weighting techniques into one feature set in different views.</t>
  </si>
  <si>
    <t xml:space="preserve"> The data on DWFP is collected from 17 Arabic forums, and many other forums in other languages 
such as English, German, French, and Russian languages  |#&gt;  OSAC dataset includes 22,429 Arabic text documents collected from many websites, 
where the documents are distributed into 11 categories (History, Entertainments, Economics, Education &amp; Family, 
Religious discussions, Heath, Sports, Astronomy, Stories, Low, and Cooking Recipes). |#&gt; A 
selected balanced dataset downloaded from the DWFP is used in testing, evaluating and benchmarking the 
proposed method using many common text classifiers.</t>
  </si>
  <si>
    <t>OSAC dataset includes 22,429 Arabic text documents collected from many websites, |#&gt;  The data on DWFP is collected from 17 Arabic forums, and many other forums in other languages 
such as English, German, French, and Russian languages (Fu et al., 2010). However, this research focuses on 
Arabic web pages. Therefore, a native Arabic domain expert labeled the web pages manually. |#&gt; The dataset used for the experiments in this research is a balanced dataset, which consists of 1000 
documents (50% of the documents are labeled as dark and 50% are non-dark). In the literature, many existing DW 
detection studies such as (Aknine et al., 2005; Greevy and Smeaton, 2004) use a balanced dataset in which the</t>
  </si>
  <si>
    <t>Table 7 ANOVA statistical significance test for classification performance between groups Classifier Performance Measure Hybridization Function Hybridization level Mean number of features* SVM KNN DT NB ELM F-measure SD 1 500 80.80 85.65 37.82 7.43 83.42 2 690 90.10 86.48 44.09 1.88 84.76 3 803 92.80 85.68 49.14 6.49 85.44 4 909 92.20 88.94 41.74 11.04 86.97 5 916 90.00 87.89 54.55 15.52 86.47 UN 1 500 80.80 85.65 37.82 7.43 83.42 2 845 92.40 87.04 54.40 8.72 87.72 3 1094 93.80 88.49 46.43 14.27 89.31 4 1283 93.20 90.14 53.28 16.27 89.98 5 1431 93.00 92.25 58.33 18.12 90.43 Accuracy SD 1 500 77.80 83.88 50.00 50.48 81.82 2 690 89.00 85.08 50.00 49.79 83.36 3 803 92.70 83.71 50.00 50.53 84.66 4 909 91.80 88.00 50.00 51.56 86.42 5 916 90.00 87.10 50.00 53.20 86.60 UN 1 500 77.80 83.88 50.00 50.48 81.82 2 845 91.80 84.99 50.00 49.77 87.10 3 1094 93.60 86.78 50.00 50.16 88.96 4 1283 93.00 88.98 50.00 50.60 89.84 5 1431 93.00 91.80 50.00 51.20 90.50</t>
  </si>
  <si>
    <t>SVM (Support Vector Machine), KNN (K-Nearest Neighbors), DT (Decision Tree), NB (Naive Bayes), ELM (Extreme Learning Machine)</t>
  </si>
  <si>
    <t>TF, DF, IDF, TF-IDF, Glasgow, and Entropy</t>
  </si>
  <si>
    <t>DWFP, OSAC</t>
  </si>
  <si>
    <t>1000 documents (50% of the documents are labeled as dark and 50% are non-dark) | OSAC dataset includes 22,429 Arabic text documents</t>
  </si>
  <si>
    <t>SVM (Acc: 93.6%), KNN (Acc: 91,8%), DT (Acc: 50%), NB (Acc: 51.2%), ELM (Acc: 90.5%)</t>
  </si>
  <si>
    <t xml:space="preserve">SVM, KNN, DT, NB, ELM </t>
  </si>
  <si>
    <t>ELM (Extreme Learning Machine)</t>
  </si>
  <si>
    <t>[21] PID5934311.pdf</t>
  </si>
  <si>
    <t xml:space="preserve">we experimented with multiple classification algorithms, including RF, NN, SVM, and KNN and found that RF and NN produced the best performance. </t>
  </si>
  <si>
    <t xml:space="preserve">We explore three categories of information to identify relevant features to detect radical content. Some features are user-based while others are message-based. The three categories are: 1) Radical language (Textual features FT); 2) Psychological sig nals (Psychological features FP); and 3) Behavioural features (FB). </t>
  </si>
  <si>
    <t>) we evaluate these models on Twitter
 to determine the extent to which it is possible to automatically
 identify online radical tweets. |#&gt;  We verify that this dataset is indeed non
 radical by checking the status of users in Twitter and found
 that a subset (24000 users) was suspended. We remove those
 4https://www.kaggle.com/fifthtribe/how-isis-uses-twitter/data
 5https://www.kaggle.com/activegalaxy/isis-related-tweets/home
 from the dataset and only keep users that are still active on
 Twitter. This dataset is labelled as counterpoise data.|#&gt;  We acquired a publicly available dataset of tweets posted
 by known pro-ISIS Twitter accounts that was published during
 the 2015 Paris attacks by Kaggle data science community4.</t>
  </si>
  <si>
    <t xml:space="preserve">  The dataset consists of around 17000 tweets posted by more
 than 100 users. |#&gt; This second dataset consists of around 8000
 tweets published by around 1000 users. A random sample of
 200 tweets was manually verified to ascertain it did not contain
 radical views. |#&gt; A third dataset is used which was acquired from Kaggle
 community5. This dataset is created to be a counterpoise to
 the pro-ISIS dataset (our known-bad) as it consists of tweets
 talking about topics concerning ISIS without being radical. It
 contains 122000 tweets from around 95000 users collected
 on two separate days. </t>
  </si>
  <si>
    <t>TABLE I: Exp 1: Evaluation metrics across all feature groups Features AC Precision Recall F-measure FT(tf idf) 0.52 0.76 0.52 0.37 FT(w2v) 0.81 0.82 0.81 0.81 FT 0.84 0.84 0.84 0.84 FB 0.94 0.95 0.94 0.94 FP 1.0 1.0 1.0 1.0 FALL 1.0 1.0 1.0 1.0 TABLE II: Exp 2: Evaluation metrics across all feature groups Features AC Precision Recall F-measure FT(tf idf) 0.56 0.69 0.56 0.48 FT(w2v) 0.73 0.73 0.73 0.73 FT 0.80 0.80 0.80 0.80 FB 0.91 0.92 0.91 0.91 FP 1.0 1.0 1.0 1.0 FALL 1.0 1.0 1.0 1.0</t>
  </si>
  <si>
    <t>Random Forest (RF), Neural Networks (NN), Support Vector Machine (SVM), and K-Nearest Neighbors (KNN).</t>
  </si>
  <si>
    <t>The models used textual (radical language), psychological signals, and behavioural features.</t>
  </si>
  <si>
    <t>The study analyzed three datasets: 17k tweets (100+ users), 8k tweets (1k users), and 122k tweets (95k users).</t>
  </si>
  <si>
    <t>The metrics were accuracy, precision, recall, F1, and AUC. Reported values ranged from 0.52 (TF-IDF) up to 1.0 (psychological features FP).</t>
  </si>
  <si>
    <t>RF, NN, SVM, KNN</t>
  </si>
  <si>
    <t>[23] 1902.01577v1.pdf</t>
  </si>
  <si>
    <t xml:space="preserve"> Semi-Supervised: Laplacian support vector machines
 (SVM) [2], graph inference-based label spreading ap
proach [21] with radial basis function (RBF) and
 K-nearest neighbor (KNN) kernels, and co-training
 learner [7] with two SVMs.
 Supervised: SVM, KNN, Gaussian na¨ ıve Bayes, lo
gistic regression, adaboost, random forest, and Char
LSTM [24]. |#&gt;  SVM: Tolerance for stopping criteria was set to the
 default value of 0.001. Penalty parameter C was set to 1
 and linear kernel was used.
 Char-LSTM: This is similar to the character-aware
 models used for sequential word predictions. We adapt
 the neural network to a sequence classification problem
 where the inputs are the vector of one-hot encoding of
 each character of the handle and the output is the handle
 being classified as extremist or non-extremist. We set the
 maximum username length to 10, padding with zeros
 where necessary. We use an embedding layer after the
 input layer to convert each username dimension to 16.
 This is fed to a single layer LSTM module having 30
 units.
 LabelSpreading (RBF): RBF Kernel was used and 
was set to the default value of 20.
 Laplacian SVM: We used linear kernel and set the
 parameters Cl = 06 and Cs = 06.
 LabelSpreading (KNN): KNN kernel was used and the
 number of neighbors was set to 5.
 Co-training (SVM): We followed the algorithm intro
duced in [7] and used two SVM as our classifiers. For
 both SVMs we set the tolerance for stopping criteria to
 0.001 and the penalty parameter C = 1.
 KNN: The number of neighbors was set to 5.
 Gaussian NB: There were no specific parameter to tune.
 Logistic regression: We used the l2 penalty. We also
 set the parameter C = 1 (the inverse of regularization
 strength) and tolerance for stopping criteria to 0.01.
 Adaboost: The number of estimators was set to 200 and
 we also set the learning rate to 0.01.
 Random forest: We used 200 estimators and the entropy
 criterion was used.</t>
  </si>
  <si>
    <t>Twitter handle’s related features: this group contains 3
 features related to the given handle, namely, length of the
 handle, number of unique characters in the handle, and
 complexity of the handle. To compute the complexity,
 Kolmogorov complexity is used, which is defined as the
 length of the shortest program to reproduce the handle
 on a universal machine such as Turing machine [13].
 Since Kolmogorov complexity is computationally in
tractable, we use the Entropy of the handle as a way
 to approximate its complexity.
 2) Profile related features: this group contains 7 features
 related to the profile of the user who posted the tweet, in
cluding the number of her followers, friends and tweets,
 the existence of profile’s description and location. Also,
 for the last two features in this group, we check if the
 account is verified and geo-enabled.
 3) Content related features: we have the following 3
 features related to the content of the given tweet: the
 number of URLs, the number of hashtags and the
 sentiment of the content. For the sentiment, we check if
 the content has a higher negative score than its positive
 score.</t>
  </si>
  <si>
    <t xml:space="preserve"> Results on
 a real-world ISIS-related dataset from Twitter demonstrate the
 effectiveness of the methodology in identifying extremist users. |#&gt;  The dataset was collected from Twitter and consists of ap
proximately 1.6M tweets that were posted using 25 extremism
related hashtags such as #AbuBakralBaghdadi, #ISIL, #ISIS,
 #Daesh, and #IslamicState.</t>
  </si>
  <si>
    <t xml:space="preserve"> The dataset was collected from Twitter and consists of ap
proximately 1.6M tweets that were posted using 25 extremism
related hashtags such as #AbuBakralBaghdadi, #ISIL, #ISIS,
 #Daesh, and #IslamicState.  |#&gt;  We construct our extremist
 labels (positive labels) by collecting a limited number of 150
 suspended ISIS-related Twitter handles which were reported
 to the Twitter Safety account (@TwitterSafety) by normal
 users. To make a balanced labeled dataset, 150 random handles
 corresponding to normal users were also collected to serve as
 our negative labels. |#&gt; This way, we obtain 300K
 highly extremism related tweets from which we randomly pick
 a smaller sample of 3K handles who posted the tweets. </t>
  </si>
  <si>
    <t>we report the average of
 10 different runs, using various evaluation metrics including
 precision, recall and F1-score in Table II. |#&gt; TABLE II
 COMPARISON OF THE METHODS ON THE LABELED DATA, FOR THE
 POSITIVE (EXTREMIST) CLASS.
 Learner Precision Recall F1-score
 SVM 0.96 0.5 0.65
 Char-LSTM 0.77 0.76 0.76
 LabelSpreading (RBF) 0.85 0.69 0.76
 Laplacian SVM 0.89 0.6 0.7
 LabelSpreading (KNN) 0.83 0.67 0.73
 Co-Training (SVM) 0.9 0.53 0.66
 KNN 0.81 0.7 0.74
 Gaussian NB 0.89 0.56 0.69
 Logistic Regression 0.76 0.61 0.67
 AdaBoost 0.88 0.58 0.69
 Random Forest 0.79 0.71 0.74</t>
  </si>
  <si>
    <t>The study used supervised algorithms (SVM, KNN, Naïve Bayes, Logistic Regression, AdaBoost, Random Forest, Char-LSTM) and semi-supervised approaches (Laplacian SVM, Label Spreading, Co-Training).</t>
  </si>
  <si>
    <t>The models used 13 features across three groups: handle-related (length, uniqueness, entropy), profile-related (followers, friends, tweets, description, location, verification, geo-enabled), and content-related (URLs, hashtags, sentiment).</t>
  </si>
  <si>
    <t>The dataset included ~1.6M raw tweets, filtered to 300K extremist-related tweets, sampled down to 3K handles, with 150 extremist and 150 normal labeled accounts.</t>
  </si>
  <si>
    <t>Metrics used: precision, recall, F1. Key results: SVM had highest precision (0.96), Char-LSTM and LabelSpreading (RBF) had highest F1 (0.76), and Char-LSTM achieved balanced precision (0.77) and recall (0.76).</t>
  </si>
  <si>
    <t>SVM, KNN, Naïve Bayes, Logistic Regression, AdaBoost, Random Forest, Char-LSTM</t>
  </si>
  <si>
    <t>[35] ICDCIT2015.pdf</t>
  </si>
  <si>
    <t>We employ a single-class SVM and KNN algorithm
 for one-class classification task. |#&gt; We conduct a series of experiments to train a one-class SVM and KNN classifier and test its effec
tiveness for the given classification task.</t>
  </si>
  <si>
    <t>We propose several
 linguistic features such as presence of war, religious, negative emotions
 and offensive terms to discriminate hate and extremism promoting tweets
 from other tweets. |#&gt;  We conduct a manual analysis of tweets and identify linguistic
 features which can be used as discriminators for the task of identifying hate
 and extremism promoting tweets. We demonstrate a correlation between such
 tweets and features like presence of war, religious, negative emotions and offen
sive terms. |#&gt; Table 3. List of Tweet Classification Goals and Linguistic Features
 (a) Categories
 Symbol
 Summary
 C1 Sentiment Classification
 C2 Sarcasm Classification
 C3 Irony Classification
 C4 HumorClassification
 C5 Offensive Tweets
 C6 Interestingness
 C7 SpamDetection
 C8 News&amp;Public Opinion
 C9 Software Related
 C10 Political Preference
 C11 Writing Style
 (b) Features
 Symbol
 Summary
 F1 Direct Message
 F2 Shortened URLs
 F3 Emoticons
 F4 Punctuations
 F5 Topics
 F6 Hashtags
 F7 Mentioned Entities
 F8 N-grams
 F9 +veand-veComments
 F10 Emphasis (CAPS)
 F11 Terms</t>
  </si>
  <si>
    <t xml:space="preserve"> We conduct experiments on publicly available dataset so that our results can be
 replicated or used for benchmarking or comparison purposes. We download two
 datasets: UDI-TwitterCrawl-Aug20127 and ATM-TwitterCrawl-Aug20138.UDI
TwitterCrawl-Aug2012 consists of 50 million tweets approximately and was col
lected in May 2011 [6]. ATM-TwitterCrawl-Aug2013 consists of 5 million English
 tweets and was collected in June 2011 [5]. |#&gt; We require training dataset to create a statistical model for one-class clas
sification task of identifying hate and extremism promoting tweets. We use  a semi-supervised learning3 approach to create our training dataset. Anno
tating Tweets is a time-consuming and tedious task (practically challenging
 to annotate a large dataset). </t>
  </si>
  <si>
    <t xml:space="preserve"> We conduct experiments on publicly available dataset so that our results can be
 replicated or used for benchmarking or comparison purposes. We download two
 datasets: UDI-TwitterCrawl-Aug20127 and ATM-TwitterCrawl-Aug20138.UDI
TwitterCrawl-Aug2012 consists of 50 million tweets approximately and was col
lected in May 2011 [6]. ATM-TwitterCrawl-Aug2013 consists of 5 million English
 tweets and was collected in June 2011 [5]. |$&gt;  . Initially we have 53,234,567 tweets
 in our dataset. In this paper, we focus only on English language tweets, there
fore we discard all non-English (7,889,609) tweets and remain with a total of
 45,344,958 tweets. |#&gt;  To avoid
 overfitting in classification we collect only 10,486 labeled tweets for training
 dataset, which is a very small fraction of experimental dataset. We perform a
 random sampling on all 45.3 million tweets of experimental dataset and collect a
 random sample of 1 million tweets as testing (or validation) dataset. </t>
  </si>
  <si>
    <t>We compute accuracy of our classifier in terms of precision, recall
 and f-score.  |#&gt;  Table 6(c) reveals that
 overall LibSVM classifier (accuracy of 97%) outperforms than KNN classifier
 (accuracy of 90%). Results shows that precision, f-score and accuracy of Lib
SVM classifier are much higher in comparison to KNN classifier and similarly
 recall is reasonably high for LibSVM classifier. |#&gt;  Table 6. Confusion Matrix And Accuracy Results
 (a) KNN Classifier
 Predicted
 Positive Unknown
 Actual
 Actual
 Positive
 67,798
 15,522
 Unknown 74,968 841,712
 (b) LibSVM Classifier
 Predicted
 Positive Unknown
 Positive
 73,555
 9,765
 Unknown 20,420 896,260
 (c) Accuracy Results of Classifiers
 Classifier Precision Recall TNR NPV F-Score Accuracy
 KNN
 0.48
 LibSVM 0.78
 0.81
 0.88
 0.92 0.98
 0.98 0.99
 0.60
 0.83
 0.90
 0.97</t>
  </si>
  <si>
    <t>one-class SVM and one-class KNN</t>
  </si>
  <si>
    <t>linguistic indicators: war-related terms, religious terms, negative emotions, offensive words, slang, emoticons, punctuation</t>
  </si>
  <si>
    <t>The dataset included 45.3M tweets (English only), with 10,486 labeled tweets for training and 1M tweets for testing.</t>
  </si>
  <si>
    <t>precision, recall, F-score, accuracy. Results: SVM – Accuracy 97%, F-score 0.83; KNN – Accuracy 90%, F-score 0.60</t>
  </si>
  <si>
    <t>SVM, KNN</t>
  </si>
  <si>
    <t>[48] IdentifyingRadicalSocialMediaPostsusingMachineLearning.pdf</t>
  </si>
  <si>
    <t xml:space="preserve"> Data is classifiedas        
radical or nonradical using supervised machine learning       
classification techniques (Naive Bayes, SVM, AdaBoost and       
RandomForest)withvaryingparameters. |#&gt; Different classification algorithms used      
were: Naive Bayes, SVM (Support Vector Machines),        
AdaBoost and RandomForestClassification .SVMwastested        
over different values of its “kernel” parameter to get the          
optimum results for various kernels. </t>
  </si>
  <si>
    <t xml:space="preserve">Intheexperiment,atotalof613featureswereconsidered          
which belonged to 2 different types of feature classes: 
● stylometric features (SF) 
● time pattern features (TF) |#&gt; A. Stylometric Features (SF) 
Therewereatotalof 582stylometricfeatures(Table II).           
WeusedthefrequencyofallEnglishnounwordsoccurringin           
the tweets inTTFEATUREdataset aftercleaningthetweets         
and preprocessing them.  
TABLE II.         STYLOMETRIC FEATURES (SF) 
frequent words occurrence of most frequent noun words 443 
hashtags occurrence of most frequent hashtags 139 
Themost frequent 443wordswereusedas the features.          
The 10most frequentwords fromthese 443were, “isis”,          
“monitor”,“imam”,“thanks”,“world”,“woman”,“group”,      
“saudi”,,“attack”,“mischief”,“fighter”,“car” .Amongthe       
most frequentwordsused,wecannotice thewords that are           
related toradical activities( “isis”,“attack” ),wordsthatcan         
or cannot relate to radical activities ( “world”, “woman”,        
“car” )andalsotheword imam .Thewordimamreferstothe            
personwholeadsprayersinamosque. It isawordoriginated            
from Arabic language. 
The 139 most frequent hashtags were used for the         
experiment. The 10most frequent hashtags were, #ISIS,        
#IslamicState, #Taliban, #IS, #Wahhabism, #AlQaeda,     
#SaudiArabia, #ISIL,#Syria,#Daesh . Itcanbeobservedthat         
allof themost frequenthashtagsarerelatedtoradicalgroups           
and their activities. # ISIS, #IslamicState, #IS, #ISIL, #Daesh        
all signify theSunnimilitant group. #AlQaeda and #Taliban         
alsoaremilitantgroups,whereas #SaudiArabia and #Syria are         
the countries which are affected by these groups. 
B. Time Pattern Features (TF) 
The date and time at which the tweet was posted for           
recognizingapatternwasused.Thedayof theweekandthe            
hourofdaywereusedsinceotherattributeslikemonthwere           
not relevant inour experiment since thedata from4weeks.           
The considered attributes are: 
● Hour of day (Hour 0, Hour 1, Hour 2, …, Hour 23) 
● Day of week (Monday, Tuesday, …, Sunday) 
Intotal31timepatternfeatureswereused,24forhoursand7             
for days. 
</t>
  </si>
  <si>
    <t xml:space="preserve">Extraction of tweets is done fromTwitter |#&gt; TwitterSearchRESTAPI[4]wasusedforextractingthe          
public tweets for thehashtagswhichareassociatedwiththe          
radical groups. A fewseedhashtags ( #ISIS, #IslamicState )        
wereselectedmanuallyandall the tweetsfor thosehashtags          
wereextracted. |#&gt;     
The dataset of        
these 25,482 tweets is called TTTRAIN [19]. </t>
  </si>
  <si>
    <t xml:space="preserve">The dataset of        
these 25,482 tweets is called TTTRAIN [19].  |#&gt; This           
processwas repeatedfor18morehashtags (apart fromseed          
hashtags)givingaround57,698tweetsofwhich48,644tweets         
wereunique. |#&gt; Test data forexperimentwasextractedusingafewof the           
most popular hashtags ( #IslamicState, #ISIS, #AlQaeda,      
#Wahhabism, #Talibanand #Daesh )asseedhashtags.All the         
tweetswithat least oneof theseedhashtagswereextracted           
using theTwitterAPI for oneweek. 10,282unique tweets          
were extracted (TTTRAINPRO [19]). A randomhashtag       
(which was safely assumed to be not about any radical          
discussion) was taken ( #IPL ). 15,200 unique tweetswere        
extracted fromthis (TTTRAINCON[19]). The dataset of        
these 25,482 tweets is called TTTRAIN [19].  |#&gt; A         
dataset with 5,297 tweets was extracted using the same         
extractionmethod as TTFEATURE dataset using a seed        
hashtag( #GameOfThrones ).ThisdatasetwascalledTTTEST       
[19] and the ratio between </t>
  </si>
  <si>
    <t xml:space="preserve">TABLE III.           RESULTS USING ALL FEATURES ON TTTEST 
Classifier Correctly 
Classified 
Incorrectly 
Classified Accuracy 
Naive Bayes 4933 364 93.1282 
Random Forest Classifier 5214 83 98.4331 
AdaBoost Classifier 5245 52 99.0183 
SVM 
Linear 5161 136 97.4325 
RBF 5199 98 98.1499 
Sigmoidal 5193 104 98.0366 </t>
  </si>
  <si>
    <t>Naive Bayes, Support Vector Machines (SVM), AdaBoost, and Random Forest</t>
  </si>
  <si>
    <t>stylometric features (most frequent noun words, hashtags) and time pattern features (hour of day, day of week)</t>
  </si>
  <si>
    <t>The study analyzed several datasets: TTFEATURE – 48,644 unique tweets, TTTRAIN – 25,482 tweets (10,282 pro-radical + 15,200 control), and TTTEST – 5,297 tweets.</t>
  </si>
  <si>
    <t>Accuracy. Results: Naive Bayes – 93.1%, Random Forest – 98.4%, AdaBoost – 99.0%, SVM (Linear – 97.4%, RBF – 98.1%, Sigmoidal – 98.0%)</t>
  </si>
  <si>
    <t>Naive Bayes, SVM, AdaBoost, RF</t>
  </si>
  <si>
    <t>[51] 1701.04931v1.pdf</t>
  </si>
  <si>
    <t>We
 implementthreedifferentone-classclassifiers(RandomForest
 (RF),NaiveBayes(NB)andDecisionTree(DT))andcompare
 theiraccuracyfor thepostsclassifiedas topicinStage1.</t>
  </si>
  <si>
    <t xml:space="preserve"> On a high level, we create a vector space of
 5 features set (F1 to F5) which is further categorized into
 15 unique vectors. Table III shows the list of all features
 extracted and grouped into 5 feature vectors. |#&gt;  TABLEIII
 FEATURECODESANDGROUPINGOFSIMILARFEATUREVECTORS.
 SOURCE:AGARWALETAL. [12]
 Code GroupedFeatures
 F1 DocumentSentiment
 F2 SemanticTagging
 F3 Emotion Anger, Fear, Joy,Disgust,Sad
ness
 F4 Writing Analytical,Confident,Tentative
 F5 Social Openness,Conscientiousness,Ex
traversion, Agreeableness andEmotional
 Range
 </t>
  </si>
  <si>
    <t xml:space="preserve">We conduct our study on
 Tumblr microblogging website and develop a cascaded ensemble
 learning classifier for identifying the posts having racist or
 radicalized intent.  |#&gt;  In this paper, we conduct our study on Tumblr
 microblogging website and address the challenge of mining
 intention of a narrative behind such posts. </t>
  </si>
  <si>
    <t>Using Tumblr Search API, we were able to extract
 a total of 3228 text posts made by 2224 unique bloggers
 consisting of 10217 unique tags. Table I shows a complete
 schema of additional metadata extracted for each post and
 unique blogger.  |#&gt;  We use 2456 English language posts
 for annotation which spans only 83% of the extracted data.</t>
  </si>
  <si>
    <t>TABLEV PERFORMANCEEVALUATIONMETRICSFORINTENTCLASSIFICATION. SOURCE:AGARWALETAL. [12] Test-Data1 Test-Data2 DT RF NB DT RF NB Recall 0.79 0.82 0.79 0.82 0.84 0.83 Precision 0.72 0.78 0.74 0.75 0.81 0.78</t>
  </si>
  <si>
    <t>Random Forest, Naive Bayes, and Decision Tree as one-class classifiers</t>
  </si>
  <si>
    <t>Features included document sentiment, semantic tagging, emotion tones, writing style, and social personality traits</t>
  </si>
  <si>
    <t>Tumblr</t>
  </si>
  <si>
    <t>3,228 posts were extracted, but 2,456 English posts were analyzed.</t>
  </si>
  <si>
    <t>Metrics: precision and recall. Random Forest performed best with precision up to 0.81 and recall up to 0.84</t>
  </si>
  <si>
    <t>RF, Naive Bayes, DT</t>
  </si>
  <si>
    <t>[34] Detecting-multipliers-of-jihadism_FOI-S--5656--SE.pdf</t>
  </si>
  <si>
    <t xml:space="preserve">In our experiments we have used an AdaBoost classifier.
 The AdaBoost algorithm was introduced by [14]. AdaBoost
 models were created using the ada R package 4 [15]. |#&gt;  Before
 4The package is freely available from http://CRAN.R-project.org/
 choosing AdaBoost, other classifier5 was evaluated but since
 AdaBoost outperformed the other classifier the experiments
 were done using AdaBoost. AdaBoost is a machine learning
 algorithm based on boosting that combines moderately inac
curate rules of thumb or simple classifiers to create a very
 accurate classifier. </t>
  </si>
  <si>
    <t xml:space="preserve">We use two different sets of features: data dependent
 features and data independent features. |#&gt; The data dependent
 features are features that are heavily influenced by the specific
 dataset, this kind of features can be very useful if a specific
 topic or domain is considered but the results can not be
 generalized to work on different datasets.  |#&gt;  Data independent
 features on the other hand are features that are independent of  the dataset and that can be used on other datasets with similar
 result. |#&gt;  A. Data independent features  The classes of data independent features that we have used
 are described in Table I. |#&gt; The data independent features are
 stylistic features (as described in [12]), time features (e.g. what
 time or what day a tweet is posted, we use a subset of the time
 features described in [13]), and emotion words. The emotions
 words are used to capture emotions and sentiments. Most of
 the features are similar for both English and Arabic text. |#&gt;  B. Data dependent features
 The data dependent features that we have used are in
f
 luenced by the specific dataset.  |#&gt; The data dependent feature classes that we use
 are the most common hashtags, most common word bigrams,
 most common letter bigrams and the most frequent words. </t>
  </si>
  <si>
    <t xml:space="preserve"> Twitter has become an important way of communicating
 for jihadist groups, most likely since it is easy to use and
 provide rapid updates to a large amount of users. Twitter has
 also been used live at the battlefield to report about injuries or
 deaths of fighters and battle outcomes without any censorship. |#&gt;  Wehavealsocollectedasetof tweetscontaininghashtags
 that were related to jihadists, and in particular ISIS.</t>
  </si>
  <si>
    <t xml:space="preserve"> In this guide 66 users are highlighted as ”The most
 important jihadi and support sites for jihad and the mujahideen
 on Twitter”. We have used 30 tweeps from the guide and
 downloaded the latest 3400 tweets from each of the 30 users  (theotheraccountsweresuspendedbyTwitter).Wehavealso
 usedasetof45tweeps thatwheremanuallyidentifiedtobe
 multipliersof jihadism,all theseusersarefollowersof the66
 usersandarespreadingjihadistpropaganda |#&gt; Dataset Description Size Training Testing Validation
 TWEEP-PRO-E Englishtweeps involvedinmediamujahideen. 93 41 31 21
 TWEEP-RAND-E RandomlycollectedtweepsonEnglish. 742 377 220 145
 TWEEP-PRO-A Arabictweeps involvedinmediamujahideen. 81 33 28 20
 TWEEP-RAND-A Randomlycollectedtweepsonarabic. 256 136 74 46
 TW-PRO-E Englishtweetscontainingjihadistpropaganda 27753 13994 18027 5459
 basedonhashtagsandnetworkofknownjihadists.
 TW-RAND-E Randomlycollectedtweetsdiscussingvarious topicsonEnglish. 60000 29882 8299 12091
 TW-PRO-A Arabictweetscontainingjihadistpropaganda. 16000 7973 4836 3191
 basedonhashtagsandnetworkofknownjihadists.
 TW-RAND-A Randomlycollectedtweetsdiscussingvarious topicsonarabic. 45013 22534 13468 9011
 TABLEIII. THEDIFFERENTDATASETSUSEDINTHEEXPERIMENTS.</t>
  </si>
  <si>
    <t xml:space="preserve"> The results for using data dependent
 anddata independent feature are shown inTableV.While
 usingdata independent features the accuracy is 0.9242 and
 theprecision0.8.Withdatadependentfeaturestheaccuracyis
 0.9848andtheprecision0.8260.Usingbothdataindependent
 anddatadependent features the accuracy is 0.9697and the
 precision0.9.As couldbeexpectedprecision, accuracyand
 recall are significantly lower when using data independent
 features compared todata dependent features. In this small
 sample dataset, we can not tell if a combination of data
 dependentanddataindependent features improves theresult. |#&gt; When classifying individual tweets on
 Arabic the results are not as good as when classifying tweeps
 (that had written at least 60 messages). The accuracy is
 0.824 for data independent features, 0.8466 for data dependent
 features and 0.8638 for a combination of both set of features.
 The precision and the accuracy has decreased significantly
 compared to the experiments done on Arabic tweeps. The
 precision had dropped to 0.4738 for data independent features
 and 0.5691 for the combination data dependent and data inde
pendent features. Figure 1 shows the precision, accuracy and
 recall for classifying Arabic tweets using the data independent
 features (Indep), data dependent features (Dep) and both data
 dependent and independent features (All) |#&gt; TABLE V.
 RESULTS FOR CLASSIFYING ARABIC TWEEPS
 Features Confusion Matrix Precision Accuracy Recall
 Data independent 45 4
 1 16 0.8 0.9242 0.9411
 46
 Data dependent
 Data dependent + Data independent
 1
 0 19 0.8260 0.9848 1.0
 46
 2
 0 18 0.9 0.9697 1.0
 TABLE VI.
 RESULTS FOR CLASSIFYING ENGLISH TWEEPS
 Features Confusion Matrix Precision Accuracy Recall
 Data independent 145 1
 0 20 0.9528 0.994 1.0
 145
 Data dependent
 Data dependent + Data independent
 0
 0 21 1.0 1.0 1.0
 145
 0
 0 21 1.0 1.0 1.0
 TABLE VII.
 RESULTS FOR CLASSIFYING ARABIC TWEETS
 Features Confusion Matrix Precision Accuracy Recall
 Data independent 8542 1679
 469
 1512
 0.4738
 0.824
 8699
 Data dependent
 312
 1560
 1631
 0.5111
 0.7633
 0.8466
 8724
 Data dependent + Data independent
 TABLE VIII.
 287
 1375
 1816
 0.5691
 0.8638
 RESULTS FOR CLASSIFYING ENGLISH TWEETS
 0.8394
 0.8635
 Features Confusion Matrix Precision Accuracy Recall
 Data independent 12006 122
 85
 5337
 0.9776
 0.9882
 12087
 Data dependent
 4
 159
 5300
 0.9708
 0.9843
 0.9907
 12085
 Data dependent + Data independent
 6
 80
 5379
 0.9853
 1
 0.8
 0.6
 0.4
 0.2
 0
 0.9951
 0.9992
 0.9988</t>
  </si>
  <si>
    <t xml:space="preserve">AdaBoost </t>
  </si>
  <si>
    <t>data independent (stylistic, time-based, emotional words) and data dependent (hashtags, word/letter bigrams, frequent words)</t>
  </si>
  <si>
    <t>The dataset included ~1,172 tweeps (users) and ~148,766 tweets (27.7k pro-jihad English, 60k random English, 16k pro-jihad Arabic, 45k random Arabic).</t>
  </si>
  <si>
    <t>Metrics used: precision, accuracy, recall. Results: English tweeps reached perfect scores (1.0), Arabic tweeps up to accuracy 0.98, precision 0.90, Arabic tweets lower (accuracy 0.82–0.86, precision 0.47–0.57), English tweets very high (accuracy &gt;0.98, precision ~0.97–0.98, recall ~0.99)</t>
  </si>
  <si>
    <t>data independent, data dependent</t>
  </si>
  <si>
    <t>[44] BigData_DW.pdf</t>
  </si>
  <si>
    <t xml:space="preserve"> Our proposed active learning based approach is not de
pendent on the choice of the underlying classifier and we
 have performed the experiments using two popular classifiers
 Logistic Regression (LGS) and Random Forest (RF). </t>
  </si>
  <si>
    <t xml:space="preserve">Two types of feature descriptors are defined to obtain a
 comprehensive description of each forum post: Personality
 Indicators (PI) and URL based features, each representing the
 post from an independent view. |#&gt;  The comprehensive PI descriptors include multiple feature
 attributes to obtain an exhaustive representation of the text
 content along with the poster’s feeling hidden underneath:  1) Post Topics: (...)  2) Topic Sensitivity: (...)  3) Post Effectiveness Indicator: (...) 4) Emotion Indicators: |#&gt; The 19 dimensional URL feature descriptor includes attributes
 like site-popularity scores (based on it’s host, host country
 etc.), URL length, host length, number of dots, average token
 length, token count, largest token, average domain token
 length, domain token count, largest domain, average path to
ken, path token count, largest path, count of security sensitive
 words and IP address presence in the URL. </t>
  </si>
  <si>
    <t xml:space="preserve"> In the first set of experiments, we combined a collection of
 pro-ISIS fanboys tweets and its counterpoise collection of
 general tweets about ISIS around a timeframe when two ISIS
 operatives murdered a priest saying Mass in a French church
 to form a dataset for the two-class classification problem. |#&gt; The
 third collection used in our experiments is Cyber-Recruitment
 dataset that was crawled from the invitation-only Ansar Alji
had Network forum within a timeframe December 2008 to
 January 2010. Our findings demonstrate that the proposed
 method can ensure convergence of the learning model much
 faster in terms of the classification performance compared to
 fully supervised solutions requiring significantly larger amount
 of annotated samples.</t>
  </si>
  <si>
    <t xml:space="preserve"> While it is not possible to manually annotated and clean the
 huge collection, we choose a random subcollection of 17K
 tweets satisfying the criteria of a minimum tweet length to
 build the collection of general ISIS-related Tweets. Therefore
 in our experiments, the combined collection called Twitter
ISIS dataset, thus contains in total 34K samples from two  different classes (i.e. 17K from pro-ISIS and 17K from ISIS
related-Tweets). To experiment with Twitter-ISIS dataset, a
 random subcollection of 14K samples from each of the classes
 constitute D (i.e. D= 28000). Only 1000 randomly chosen
 samples per category are used to build the initial annotated
 data pool L leaving 26K samples in U = D L, which are
 used in the active learning iterations to gradually update the
 system. The left over collection of 6K samples are used as the
 test samples. In order to investigate the performance, this same
 set of experiments are reiterated several times by randomly
 choosing a different set of samples from ISIS-related-Tweets
 collection. |#&gt;  The third collection, used in our experiments is Cyber
Recruitment dataset [23] which was crawled from the
 invitation-only Ansar Aljihad Network forum within a time
frame December 2008 to January 2010. From the original
 collection of 269548 posts crawled by the Darkweb Portal
 project [41], 28708 English posts are shortlisted and anno
tated by the authors in this dataset. Based on the message
 content, each post is labeled as the representative of one of the
 two classes: recruitment/non-recruitment. The entire corpus
 consists of 2564 recruitment and 28708 non-recruitment
 posts.</t>
  </si>
  <si>
    <t xml:space="preserve"> Figure 3(a)
 reports the performance improvement of the PI-feature based
 single-view classifier by adopting the proposed graph-based
 sample selection scheme. As observed, starting from around
 71% (and 75%) accuracy by the initial single-view LGS (and
 RF) classifier, the learning process shows a quick gain in the
 performance after only a few iterations to a nearly optimum
 77% (and 82%) accuracy by utilizing the human annotations
 on 10% of the samples from U. This is considerably higher
 compared to the 74% (and 78%) accuracy reported by the
 prioritized active learning availing an equivalent amount (10%)
 of the human annotated samples. |#&gt;  Figure 3(c) shows the result in a multi-view environment,
 where PI feature and URL features are treated as two indepen
dent views. Both LGS and RF classifiers show around 2 4%
 improved performance compared to that can be achievable by
 prioritized learning. It also shows an ability to settle down
 faster by utilizing the manual annotation of about 30% samples
 from U. More importantly, in a multi-view environment, just
 by utilizing the manual annotation of 15% samples, LGS (and
 RF) classifier is able to attain an impressive 81% (and 86%)
 accuracy, which clearly demonstrates the effectiveness of the
 proposed learning technique in presence of limited amount of
 annotated samples. Figure 3(d) reports the sensitivity analysis
 of the proposed optimization task under varying values of
 . While similar trends in the classifier performance gain
 are observed for different values of in the range [0507],
 =06 is set as the default choice in our system.
 Figure 4 reports the performance of the proposed method
 in Cyber-Recruitment dataset. It compares the performance
 of the proposed active learning module with graph-based
 sample selection scheme against two baselines: prioritized
 active learning and random-sampling. As observed for both the
 classifiers, the proposed framework helps in obtaining more
 than 10% improved performance compared to what could have
 been achieved by using prioritized active learning at the cost
 of annotating only 2750 samples constituting of 25% of U.
 Compared to an impressive 9381% (and 8739%) F-score
 achieved by the proposed active learning based framework,
 in a strictly supervised scenario with the expenses of labeling
 75% more samples in U, the RF (and LGS) classifier could
 secure only 15% (and 4%) higher performance at a F-score
 9547% (and 9153%). The sensitivity analysis for in the
 range [0507] also confirms the stability of the optimization
 scheme, under different neighboring values of in the range.</t>
  </si>
  <si>
    <t>Logistic Regression, Random Forests</t>
  </si>
  <si>
    <t>Personality Indicators (topics, sensitivity, effectiveness, emotion indicators) and URL-based features (popularity, length, tokens, IP presence, etc.)</t>
  </si>
  <si>
    <t>Twitter, Ansar Aljihad Network forum</t>
  </si>
  <si>
    <t>34,000 tweets (Twitter-ISIS dataset) and 28,708 forum posts (Cyber-Recruitment dataset)</t>
  </si>
  <si>
    <t>For Twitter-ISIS dataset: accuracy reached up to 81% (Logistic Regression) and 86% (Random Forest) in multi-view learning.
For Cyber-Recruitment dataset: F-scores were 93.81% (RF) and 87.39% (LGS), compared to 95.47% and 91.53% in fully supervised settings.</t>
  </si>
  <si>
    <t>LGS, RF</t>
  </si>
  <si>
    <t>Personality Indicators, URL-based features</t>
  </si>
  <si>
    <t>Twitter, Network forum</t>
  </si>
  <si>
    <t>Network forum</t>
  </si>
  <si>
    <t>[49] 1907.12368v2.pdf</t>
  </si>
  <si>
    <t xml:space="preserve">An LSTM based feed forward neural
 network is employed to detect radical content.  |#&gt;  Then three machine learning algorithms namely SVM, Random
 Forest andMaxEntareimplementedtoachieveclassificationoftexts
 being radical or not radical. </t>
  </si>
  <si>
    <t xml:space="preserve">. Here, the pre
processed data is first converted to vectors with an ASCII
 supported integration.
 Thedensevectorrepresentationofwordslearnedbyword2vec
 have shown remarkable progression in carrying semantic
 meanings[12]. Apparently, word2vec framework has been
 employed and vectors are neutrally trained separately for
 Radical and Non-Radical texts to generate word embeddings
 employing a Levenberg training mechanism. </t>
  </si>
  <si>
    <t>Data Collection
 The data is collected from multiple sources namely: Blogs,
 Articles, Twitter, News. We have taken expert guidance to
 identify data sources that may contain radical content. De
tails of the same is shown in Table 3 below. We developed
 crawler that collected 61601 records from online social media
 sources.</t>
  </si>
  <si>
    <t>The data is collected from multiple sources namely: Blogs,
 Articles, Twitter, News. We have taken expert guidance to
 identify data sources that may contain radical content. De
tails of the same is shown in Table 3 below. We developed
 crawler that collected 61601 records from online social media
 sources. |#&gt;  In all
 1274 records are used for training and validation labelled
 into 3 categories: R(radical), NR(non-radical), I(Irrelevant).</t>
  </si>
  <si>
    <t>A precision of 85.9% has been achieved with the
 proposed approach. |#&gt; Approach
 Feedforward NN
 supported
 by
 Precision
 85.96
 Recall
 F-score
 53.26
 LSTM
 Random Forest
 SVM
 MaxEnt
 73.50
 53.50
 69.50
 64.00
 50.50
 68.00
 65.77
 65.55
 45.00
 68.55
 Table 6: Different performance measures of our implemen
tation expressed in percentage.</t>
  </si>
  <si>
    <t>LSTM (feedforward NN), SVM, Random Forest and MaxEnt</t>
  </si>
  <si>
    <t>word embeddings - word2vec</t>
  </si>
  <si>
    <t>Blogs, Articles, Twitter, News</t>
  </si>
  <si>
    <t>61,601 records were collected, and after cleaning, 1,274 records were used for analysis.</t>
  </si>
  <si>
    <t>The metrics used were Precision, Recall, and F-score. The LSTM model performed best (Precision 85.9%), outperforming RF, SVM, and MaxEnt.</t>
  </si>
  <si>
    <t>LSTM, SVM, RF, MaxEnt</t>
  </si>
  <si>
    <t>MaxEnt</t>
  </si>
  <si>
    <t>[50] Discovering_Hidden_Networks_in_On-line_Social_Netw.pdf</t>
  </si>
  <si>
    <t xml:space="preserve"> In this paper, we deploy a rule based 
approach for classifying messages in Twitter which can 
also successfully reveal overlapping clusters. |#&gt; Traditional data mining for data 
pre-processing, filtering, a variant of rule based 
approach for message classification and social network 
analysis for community tracking and analysis. T</t>
  </si>
  <si>
    <t xml:space="preserve">The 
approach incorporates dictionaries of enriched themes 
where each theme is categorized by semantically related 
words. The message is vectorized according to the 
security dictionaries and is termed as ‗Security Vector‘. 
The documents are classified in categories on the basis 
of security associations.   |#&gt; Document Vectorization incorporating Security 
related features: The approach caters to the fact that 
the presence of terms relevant to security is more 
important that their frequency of occurrence. </t>
  </si>
  <si>
    <t xml:space="preserve">We examine the case of Twitter, a micro
blogging social network in our paper. We propose the 
following in this paper which is an extension of our 
previous work |#&gt;  We have chosen Twitter for our case 
study, since it provides APIs which allow us to access 
data.  |#&gt; </t>
  </si>
  <si>
    <t xml:space="preserve"> The data will be captured corresponding to 
specific hashtags through our customized crawler for 
a week. |#&gt; Each excel file stored 10,000 tweets and a 
new file was created for additional tweets.   |#&gt; </t>
  </si>
  <si>
    <t>the study used a rule-based classification approach supported by security dictionaries and social network analysis techniques.</t>
  </si>
  <si>
    <t>Security Vector</t>
  </si>
  <si>
    <t>The dataset contained tweets collected for one week, with up to 10,000 tweets per file; the exact total size is not explicitly stated.</t>
  </si>
  <si>
    <t>rule-based classification</t>
  </si>
  <si>
    <t>[52] 3-691-698.pdf</t>
  </si>
  <si>
    <t>Sentiment detection in machine
subjective or objective (Liu, 2010).                                                       learning is trained to determine positive, negative and
                      Based on Fig. 1, the two main approaches in     neutral sentiments classification. Machine learning
sentiment analysis are the machine learning and the                   consists of various types of technique which include
lexicon-based approach. Machine learning will be further              support vector machine, neural network, naive bayes,
elaborated while lexicon-based approach. Both of the                  bayesian network and max entropy.|#&gt; naive Bayes is chosen to be used in the
learning and unsupervised learning. Supervised learning                                    future phase. Even though, the accuracy of naive bayes
means the input which is the datasets are given and we                is slightly lower as compared to SVM, it is found to suit</t>
  </si>
  <si>
    <t>service which is Twitter is chosen to be the data source    
because it is the main platform for terrorism                        
communication nowadays. Twitter has recorded the              
highest issues related to the acts of terrorism as compared     
to Facebook and Blogs. The data are collected from                      
Twitter's streaming application programming interface or                        
API.</t>
  </si>
  <si>
    <t xml:space="preserve"> From                         
the number of contributors, there are 1480 tweets                                        
generated which is higher from the number of                                    
contributors.</t>
  </si>
  <si>
    <t>Based on these studies, the researchers          
    mentioned that naive bayes performance is fast and     
   simple to be applied. The accuracy of naive bayes is   
      recorded between 85-96%. Other than that, the        
      researchers concluded and suggested before any        
researcher would like to apply this technique, considering
    to have the right type of feature selection of the
    information first.</t>
  </si>
  <si>
    <t>SVM, Neural Network, Naive Bayes, Bayesian Network, Max Entropy</t>
  </si>
  <si>
    <t>1480 tweets</t>
  </si>
  <si>
    <t>accuracy of naive bayes is recorded between 85-96%.</t>
  </si>
  <si>
    <t>Neural Network, Bayesian Network, Max Entropy</t>
  </si>
  <si>
    <t>[53] moderates17acl.pdf</t>
  </si>
  <si>
    <t xml:space="preserve"> We use logistic regres
sion classification to compare three setups in Ta
ble 2 with results measured with ROC AUC as the
 classes are slightly inbalanced |#&gt; We use a linear regression algorithm with an
 Elastic Net regularizer (Zou and Hastie, 2005)
 as implemented in ScikitLearn (Pedregosa et al.,
 2011).  |#&gt;  The graph regularization (GR) improves
 the classification performance over logistic regres
sion (LR) in all cases, with political leaning based
 matrix (GR–Leaning) obtaining 2% in accuracy
 higher than the political engagement one (GR
Engagement) and the learnt matrix (GR–Learnt)
 obtaining best results </t>
  </si>
  <si>
    <t>In our analysis, we use a broad range of linguistic
 features described below. |#&gt; Unigrams … LIWC … Word2Vec… Sentiment &amp; Emotions … Political Terms</t>
  </si>
  <si>
    <t xml:space="preserve">We asked users their Twitter handle and down
loaded their most recent 3,200 tweets, leading to
 a total of 4,833,133 tweets.  </t>
  </si>
  <si>
    <t>We asked users their Twitter handle and down
loaded their most recent 3,200 tweets, leading to
 a total of 4,833,133 tweets.  |#&gt; we also use a data set of 13,651 users
 with overt political orientation (D2). We se
lected popular political figures unambiguously as
sociated with US liberal politics (@SenSanders,
 @JoeBiden, @CoryBooker, @JohnKerry) or US
 conservative politics (@marcorubio, @tedcruz,
 @RandPaul, @RealBenCarson). Liberals in our
 set (Nl = 7417) had to follow on Twitter all of
 the liberal political figures and none of the con
servative figures. Likewise, conservative users
 (Nc = 6234) had to follow all of the conservative
 f
 igures and no liberal figures. We downloaded up
 to 3,200 of each user’s most recent tweets, leading
 to a total of 25,493,407 tweets. All tweets were
 downloaded around 10 August 2016.</t>
  </si>
  <si>
    <t xml:space="preserve"> Method Accuracy Baseline 19.6%
 LR 22.2%
 GR–Engagement 24.2%
 GR–Leaning 26.2%
 GR–Learnt 27.6%
 Table 4: Experimental results for seven-way classification
 using multi-task learning (GR–Engagement, GR–Leaning,
 GR-Learnt) and 500 Word2Vec clusters as features.</t>
  </si>
  <si>
    <t>logistic regression, linear regression, graph regularization, GR–Learnt</t>
  </si>
  <si>
    <t>unigrams, LIWC, Word2Vec, sentiment/emotion lexicons, and political terms</t>
  </si>
  <si>
    <t>Two datasets were analyzed: 3,938 users (≈4.83M tweets) and 13,651 users (≈25.49M tweets)</t>
  </si>
  <si>
    <t>Accuracy improved from 22.2% (LR) to 27.6% (GR-Learnt)</t>
  </si>
  <si>
    <t>[55] Sentiment_analysis_of_extremism_in_socia.pdf</t>
  </si>
  <si>
    <t xml:space="preserve"> The labeled dataset is created in the previous step. Now with the help of two machine learning algorithms including 
Linear Support Vector Classifier and Multinomial Naïve Bayes the data is classified. </t>
  </si>
  <si>
    <t>3.4 Feature Selection  Tf-idf terms weighting (...)  Stopwords removal (...) Common vectorizer (...)  Univariate selection (...) Principle component analysis (...) Features on the basis of importance</t>
  </si>
  <si>
    <t>The multilingual data that shows extremism is collected from Facebook’s news 
pages by using the Data Miner Scrapper tool to perform sentiment analysis. |#&gt; Data is extracted by using Data Miner Scrapper from different pages of news agencies, including ARY news, Ptv 
news, Dawn, The News, Samaa, Express, Dunya news, and Geo.</t>
  </si>
  <si>
    <t>Now, data of approximately 20,000 rows (476,050 words) and 4300 lexicons word count are prepared for analysis. First 
step is to label a dataset for classification with the help of the presented procedure. |#&gt;  Table 9. Dataset Size of different extreme’s classes 
Moderate dataset
 Neutral dataset
 Highly Extreme dataset
 5279
 4315
 6912
 Low Extreme dataset
 Total dataset
 2991
 19497|#&gt; In Fig. 4 graph shows the number of correctly and incorrectly classified classes of test data. The test dataset contains 3900 
posts and comments. Training data consist of 15597 posts and comments in which moderate contain 5279, Neutral contain 
4315, High extreme contains 6912 and low extreme contain 2991 posts and comments</t>
  </si>
  <si>
    <t>Table 10 shows that by changing different parameters, i.e. n-gram, alpha, tf-idf, and stop-words, the best achieved result 
by Multinomial Naïve Bayes on our dataset is 66%.
 Table 10. The accuracy of MNB.
 Alpha
 0.01
 n-gram
 (1,2)
 accuracy
 0.66
 0.01
 1e-5
 (1,1)
 (1,2)
 0.639
 0.63 |#&gt; Table 12 shows the precision and recall of different classes. It can be observed that precision and recall of low extreme 
class is not good. Overall precision and recall are 0.65 and 0.66, respectively.
 Table 12. Precision and Recall.
 classes
 Moderate
 precision
 0.68
 recall
 0.75
 F1
 0.71
 Neutral
 Low extreme
 Highly extreme
 0.67
 0.44
 0.71
 0.46
 0.30
 0.88
 0.55
 0.36
 0.78
 Avg/total 0.65 0.66 0.65 |#&gt;   It can be observed from Table 13 that Linear Support Vector Classifier gives much higher accuracy than Multinomial 
Naive Bayes. It gives approximately 82% accuracy for multilingual extreme text classification. It is the most suitable 
classifier for the underlying situation. It can be observed that by adjusting different parameters of Linear Support Vector 
Classifier. More precisely, it gives the best result on uni-gram with penalty L1 and tolerance 1e-3.
 Table 13. The accuracy of Linear SVC.
 n
gram
 1,1
 penalty
 L1
 tolerance
 1e-3
 Stop 
words
 Accuracy
 none
 1,1
 1,1
 1,2
 1,2
 L1
 L2
 L1
 L1
 1e-3
 1e-3
 1e-3
 1e-5
 true
 none
 none
 true
 82.1
 80.1
 80
 81
 80.6 |#&gt; Precision and recall: The precision and recall of the Linear Support Vector Classifier are depicted in Table 15. This 
classifier improves the precision of low extreme class but not same in the case of recall. Other classes precision and recall 
improve very well due to this SVM modification. In support vector machine, the Linear Support Vector Classifier 
modification performs well for text classification. 
Table 15. Precision and recall of linear SVC.
 classes
 Moderate
 Precision
 0.86
 recall
 0.92
 F1
 0.89
 Neutral
 Low extreme
 Highly extreme
 0.76
 0.66
 0.87
 0.86
 0.33
 0.93
 0.81
 0.44
 0.90
 Avg/total 0.81 0.82 0.81</t>
  </si>
  <si>
    <t>Linear Support Vector Classifier and Multinomial Naïve Bayes</t>
  </si>
  <si>
    <t>Tf-idf terms weighting, Stopwords removal, Common vectorizer,  Univariate selection, Principle component analysis, Features on the basis of importance</t>
  </si>
  <si>
    <t>Facebook</t>
  </si>
  <si>
    <t>19,497 posts and comments (training: 15,597; testing: 3,900).</t>
  </si>
  <si>
    <t>MNB: Accuracy 66%, precision 0.65, recall 0.66.
Linear SVC: Accuracy 82%, precision 0.81, recall 0.82.</t>
  </si>
  <si>
    <t>Linear SVC, Multinomial Naïve Bayes</t>
  </si>
  <si>
    <t>[56] aci-12-2021-0326.pdf</t>
  </si>
  <si>
    <t xml:space="preserve">Weconductedmachinelearning classification using KNN, BNB and SVMlinear Kernel OAO
 and OAAclassifiers. </t>
  </si>
  <si>
    <t>The Arabic language uses many stop words, which appear frequently in writings, yet they
 are of little utility for our objectives. Removing these words will disclose meaningful words
 and improve the performance of the classifiers, which is a common practice in the literature |#&gt;  The process involves the steps as follows:
 (1) Filtering the duplicate tweets;
 (2) Tokenizing the tweets into uni/bi/tri-grams;
 (3) Removing diacritic marks (i.e. pronunciation signs);
 (4) Normalization by deleting repeated letters, along with removing Persian letters
 similar to the Arabic ones and
 (5) Lemmatizing the dataset by removing inflectional endings and unnecessary word
 beginnings, which leaves only the lemma of the words (i.e. the base or dictionary
 form) [24].</t>
  </si>
  <si>
    <t xml:space="preserve"> We have built our own crawler to download
 tweets from suspected ISIS accounts. The list of accounts is available from a Twitter hashtag
 called #OpISISandprovidedbytheredculthackersgroupontheirPastebinwebsite |#&gt;  We used Python 2.7.14 and the Tweepy tool, which
 enabled us to retrieve the most recent 3,240 tweets per user. This is the maximum set by the
 Twitter policy [20]</t>
  </si>
  <si>
    <t xml:space="preserve">We
 investigated 14,081 accounts, out of which 2,503 were still active and containing 1,610,448
 tweets. |#&gt;  These efforts resulted in
 173 accounts having 24,078 tweets.  |#&gt; The experiments were performed on three processed versions of the same data: (1) the raw
 dataset after removing duplicates (23,936 tweets), (2) normalized data (23,897 tweets) and (3)
 lemmatized data (23,870 tweets). </t>
  </si>
  <si>
    <t xml:space="preserve"> Table4.
 Theclassification
 performancemetrics
 forthefour
 classification
 algorithmsafter
 processingthe
 lemmatizeddatato
 mergetheNon
Terroristand
 Unrelatedtweetsinto
 oneclass  KNN BNB SVM-OAA SVM-OAO
 Overallaccuracy 76.4% 76.05% 82.6% 81.5%
 F1-score 69.6% 77.3% 83.2% 82.5%
 Precision 64.2% 74.7% 82.2% 80.7%
 Recall 76.6% 80.1% 84.3% 83.5%
 Note(s):TheF1-score,precisionandrecallmetricsusedclassterroristasthetruepositive</t>
  </si>
  <si>
    <t>K-Nearest Neighbor (KNN), Bernoulli Naive Bayes (BNB), and Support Vector Machine (SVM) with one-against-one (OAO) and one-against-all (OAA) kernels</t>
  </si>
  <si>
    <t>textual markers and keywords related to ISIS rhetoric, n-grams (uni/bi/tri), normalized and lemmatized Arabic text after stop-word removal and preprocessing</t>
  </si>
  <si>
    <t>173 accounts and about 24,000 tweets</t>
  </si>
  <si>
    <t>precision, recall, F1-score, and accuracy. Best results - SVM-OAA: accuracy 82.6%, F1 83.2%, precision 82.2%, recall 84.3%.</t>
  </si>
  <si>
    <t xml:space="preserve">KNN, Bernoulli Naive Bayes (BNB), SVM-OOA, SVM-OAA </t>
  </si>
  <si>
    <t xml:space="preserve"> Bernoulli Naive Bayes (BNB), SVM-OOA, SVM-OAA </t>
  </si>
  <si>
    <t>[57] An_Approach_for_Radicalization_Detection_Based_on_.pdf</t>
  </si>
  <si>
    <t xml:space="preserve"> As
 classifiers, in this work, both Logistic Regression and Linear
 SVMare considered. |#&gt; In contrast, many of the related works include some ma
chine learning techniques to study radicalization. In this
 regard, our method uses two popular machine learning al
gorithms, logistic regression and Support Vector Machine
 (SVM). </t>
  </si>
  <si>
    <t>This work proposes a model that exploits several sources of
 information, aiming at improving the final performance in
 the task of radicalization detection. For this end, a machine
 learning system is introduced that consists of two submod
ules: (i) emotion-based (Sect. IV-A) and (ii) embedding word
 similarity feature extraction (Sect. IV-B). |#&gt;   an emotion lexicon-based representation is
 proposed that makes use of statistical measures to encode the
 emotion of the text. |#&gt;  In this way, we propose the application of the SIMilarity
based sentiment projectiON (SIMON) method [7] as a fea
ture extractor in radicalization detection. This method makes
 use of a word embedding model and orients the extracted
 features to a particular domain utilizing a domain-centered
 lexicon. In this work, the SIMON method is adapted to
 extract features for radicalization detection by using radical
oriented lexicons.</t>
  </si>
  <si>
    <t xml:space="preserve"> The datasets used for the evaluation are presented in Table 3.
 Apart from the dataset presented in Section III, other two
 datasets have been used, which contain data from Twitter. |#&gt;  TABLE 3: Statistics of the datasets used for the evaluation:
 number of positive (radical), negative and total instances.
 Dataset
 Positive
 Pro-Neu [28]
 Negative
 Total
 112
 Pro-Anti [11]
 Magazines (this work)
 566
 112
 566
 224
 1,132
 316
 152
 468 |#&gt;
 TABLE 4: Statistics of the Twitter datasets used in the
 evaluation.
 Pro-Neu [28]
 Pro-Anti [11]
 Statistic
 Pro
 Neu
 Pro
 Total no. of tweets
 17,350
 197,743
 602,511
 Anti
 1,368,827
 Avg. no. of tweets
 Total no. of words
 Avg. no. of words
 154
 271,842
 2,427
 1,765
 3,151,107
 1,065
 3,945,815
 2,418
 9,375,841
 28,134
 6,971
 16,570</t>
  </si>
  <si>
    <t xml:space="preserve"> This dataset is composed of two different
 datasets, both in English, collected by [28]. The first one
 contains 17,350 tweets extracted from 112 distinct Twitter
 pro-ISIS accounts, which can be found online4. |#&gt;  The
 second one, which comprises 122k tweets from more than
 95k accounts, has been used as a counterexample from the
 pro-ISIS instances since it contains ISIS-related messages
 (that can be either neutral or anti-ISIS). </t>
  </si>
  <si>
    <t xml:space="preserve"> TABLE9:AveragedF1-ScoresforthemodelusingEmotion,
 SIMON,andSIMON+Emotion,usingLogisticRegression
 asclassificationalgorithminacross-datasetevaluation.
 PRO-NEU PRO-ANTI MAGAZINES
 EmoFeat
 PRO-NEU- 65.81 63.25
 PRO-ANTI 73.66- 66.24
 MAGAZINES 45.54 47.53
SIMON
 PRO-NEU
 Sentiment- 69.61 71.79
 Radical- 66.25 68.80
 FreqSelect- 61.75 70.30
 PRO-ANTI
 Sentiment 55.80- 65.17
 Radical 66.07- 67.74
 FreqSelect 54.02- 60.90
 MAGAZINES
 Sentiment 66.07 63.43
Radical 64.73 42.93
FreqSelect 63.39 38.34
SIMON+EmoFeat
 PRO-NEU
 Sentiment- 69.61 72.22
 Radical- 66.61 67.31
 FreqSelect- 61.75 71.79
 PRO-ANTI
 Sentiment 57.59- 65.38
 Radical 71.43- 71.79
 FreqSelect 56.70- 68.38
 MAGAZINES
 Sentiment 60.27 56.63
Radical 51.52 41.17
FreqSelect 58.93 38.25 |#&gt;  Previous research has studied the Twitter datasets used
 in this work, which allows us to compare the performance
 of our approach to those that use the same datasets. The
 Pro-Neu was used in [28] where the authors present a two
dimensional model for classifying users radical and non
radical users, reporting 90.60% as F-Score. In comparison,
 the proposed emotion model reaches 91.07%, while the full
 model (EmoFeat and SIMON) yields 99.11%.</t>
  </si>
  <si>
    <t>Logistic Regression and Linear Support Vector Machine (SVM)</t>
  </si>
  <si>
    <t xml:space="preserve">emotion features (EmoFeat), semantic similarity features (SIMON) </t>
  </si>
  <si>
    <t>1st dataset: 17,350 twitts, 2nd: 122k twitts</t>
  </si>
  <si>
    <t>reporting 90.60% as F-Score. In comparison,
 the proposed emotion model reaches 91.07%, while the full
 model (EmoFeat and SIMON) yields 99.11%.</t>
  </si>
  <si>
    <t>Logistic Regression, SVM</t>
  </si>
  <si>
    <t>[58] A_Framework_for_Predicting_and_Identifyi.pdf</t>
  </si>
  <si>
    <t xml:space="preserve"> This framework follows semi-supervised learning algorithm. More we will train this
 system, more efficient it becomes. |#&gt; We are proposing here a framework to address this type of social issue.
 By NLPandsemi-supervised machine learning, we can design a system which will
 predict the probability of WhatsApp group to be a threat for civilization.
</t>
  </si>
  <si>
    <t xml:space="preserve"> First, we will take input of chat log and preprocess data. We will only take nouns,
 nominal adjective, noun phrases, etc. |#&gt;  Next, we will execute the pattern mining algorithm to build sequential and non
sequential patterns. This pattern will be stored in database as variable length word
 collection.</t>
  </si>
  <si>
    <t xml:space="preserve"> One of the major online messaging applications is
 WhatsApp. |#&gt;  Collection of Data and Initial Analysis
 WhatsApp group message of those people who are provoking riot is a tough job to
 collect.</t>
  </si>
  <si>
    <t>semi-supervised learning, natural language processing (NLP)</t>
  </si>
  <si>
    <t>textual patterns (nouns, noun phrases, adjectives)</t>
  </si>
  <si>
    <t>WhatsApp</t>
  </si>
  <si>
    <t>AdaBoost, Best-first Search, Char-LSTM, Decision Trees, LabelSpreading (RBF), Naive Bayes, Neural Networks, RF, SVM</t>
  </si>
  <si>
    <t>DWFP, Facebook, Instagram, LinkedIn, OSAC, Reddit, Tumblr, Twitter, YouTube</t>
  </si>
  <si>
    <t>Table 3 Classifiers parameters
Classifier Parameters
SVM KNN Kernel: Linear | default values for other parameters
K = 25 | Distance function : Euclidean DT Default
NB Default
ELM Default</t>
  </si>
  <si>
    <t>However, this research considers five weighting schemes to be applied and combined as a
hybridized feature selection method. (...) Term frequency (TF), Document frequency (DF), Term frequency - Inverse document frequency (TF-IDF), Glasgow, Entropy</t>
  </si>
  <si>
    <t>To test and evaluate the HTW method, an experiment was conducted. First, thousands of Arabic web
pages were downloaded from the DWFP. DWFP is the largest collection of crawled terrorist-related documents
(Fu et al., 2010). The data on DWFP is collected from 17 Arabic forums, and many other forums in other languages
such as English, German, French, and Russian languages (Fu et al., 2010) Then non-dark files were added from the Open Source Arabic Corpora (OSAC)
(Saad and Ashour, 2010). OSAC dataset includes 22,429 Arabic text documents collected from many websites,
where the documents are distributed into 11 categories (History, Entertainments, Economics, Education &amp; Family,
Religious discussions, Heath, Sports, Astronomy, Stories, Low, and Cooking Recipes</t>
  </si>
  <si>
    <t>First, thousands of Arabic web pages were downloaded from the DWFP. The dataset used for the experiments in this research is a balanced dataset, which consists of 1000 documents (50% of the documents are labeled as dark and 50% are non-dark).</t>
  </si>
  <si>
    <t>𝐴𝑐𝑐𝑢𝑟𝑎𝑐𝑦 = |𝑇𝑃|+|𝑇𝑁|
|𝑇𝑃|+|𝐹𝑃|+|𝐹𝑁|+|𝑇𝑁|
o 𝑃𝑟𝑒𝑐𝑖𝑠𝑖𝑜𝑛(𝐷𝑎𝑟𝑘) = |𝑇𝑃|
o 𝑅𝑒𝑐𝑎𝑙𝑙(𝐷𝑎𝑟𝑘) = |𝑇𝑃|
Authors' copy
False Negative (FN): Number of non-dark documents incorrectly identified by the classifier.
|𝑇𝑃|+|𝐹𝑃|
|𝑇𝑃|+|𝐹𝑁|
o 𝐹 − 𝑚𝑒𝑎𝑠𝑢𝑟𝑒 = 2 × 𝑃𝑟𝑒𝑐𝑖𝑠𝑖𝑜𝑛×𝑅𝑒𝑐𝑎𝑙</t>
  </si>
  <si>
    <t>SVM, KNN, DT, Naive bayes, extreme learning machine</t>
  </si>
  <si>
    <t>TF-IDF, Glasgow, Entropy</t>
  </si>
  <si>
    <t>NOT social media, but DWFP and OSAC datasets</t>
  </si>
  <si>
    <t>thousands of Arabic web pages, final data 1000 documents (50% dark 50% non dark)</t>
  </si>
  <si>
    <t>f-measure, recall, precision, accurayc</t>
  </si>
  <si>
    <t>SVM, Naive Bayes</t>
  </si>
  <si>
    <t>DFWP, OSAC</t>
  </si>
  <si>
    <t>Accuracy, Recall, F1 Score, Precision</t>
  </si>
  <si>
    <t>Decision Tree, K-neighrest neighbours, extreme learning machine</t>
  </si>
  <si>
    <t>not social media</t>
  </si>
  <si>
    <t>Semi-Supervised: Laplacian support vector machines
(SVM) [2], graph inference-based label spreading ap-
proach [21] with radial basis function (RBF) and
K-nearest neighbor (KNN) kernels, and co-training
learner [7] with two SVMs.
• Supervised: SVM, KNN, Gaussian na¨ ıve Bayes, lo-
gistic regression, adaboost, random forest, and Char-
LSTM [24].</t>
  </si>
  <si>
    <t>1) Twitter handle’s related features: this group contains 3
features related to the given handle, namely, length of the
handle, number of unique characters in the handle, and
complexity of the handle. To compute the complexity,
Kolmogorov complexity is used, which is defined as the
length of the shortest program to reproduce the handle
on a universal machine such as Turing machine [13].
Since Kolmogorov complexity is computationally in-
tractable, we use the Entropy of the handle as a way
to approximate its complexity.
2) Profile related features: this group contains 7 features
related to the profile of the user who posted the tweet, in-
cluding the number of her followers, friends and tweets,
the existence of profile’s description and location. Also,
for the last two features in this group, we check if the
account is verified and geo-enabled.
3) Content related features: we have the following 3
features related to the content of the given tweet: the
number of URLs, the number of hashtags and the
sentiment of the content. For the sentiment, we check if
the content has a higher negative score than its positive
score.</t>
  </si>
  <si>
    <t>The dataset was collected from Twitter and consists of ap-
proximately 1.6M tweets that were posted using 25 extremism-
related hashtags such as #AbuBakralBaghdadi, #ISIL, #ISIS,
#Daesh, and #IslamicState. We construct our extremist
labels (positive labels) by collecting a limited number of 150
suspended ISIS-related Twitter handles which were reported
to the Twitter Safety accoun</t>
  </si>
  <si>
    <t>The dataset was collected from Twitter and consists of ap-
proximately 1.6M tweets that were posted using 25 extremism-
related hashtags such as #AbuBakralBaghdadi, #ISIL, #ISIS,
#Daesh, and #IslamicState. We construct our extremist
labels (positive labels) by collecting a limited number of 150
suspended ISIS-related Twitter handles which were reported
to the Twitter Safety account (@TwitterSafety) by normal
users. To make a balanced labeled dataset, 150 random handles
corresponding to normal users were also collected to serve as
our negative labels. nspired by the literature [8], [11], [19], we define 3 major
groups of overall 13 features, which could be leveraged to
filter out less likely extremists. This way, we obtain 300K
highly extremism related tweets from which we randomly pick
a smaller sample of 3K handles who posted the tweets. Name Value
Raw 1.6M
Filtered 300K
Unlabeled (sampled) 3K
Labeled Positive Negative
150 150</t>
  </si>
  <si>
    <t>Learner Precision Recall F1-score
SVM 0.96 0.5 0.65
Char-LSTM 0.77 0.76 0.76
LabelSpreading (RBF) 0.85 0.69 0.76
Laplacian SVM 0.89 0.6 0.7
LabelSpreading (KNN) 0.83 0.67 0.73
Co-Training (SVM) 0.9 0.53 0.66
KNN 0.81 0.7 0.74
Gaussian NB 0.89 0.56 0.69
Logistic Regression 0.76 0.61 0.67
AdaBoost 0.88 0.58 0.69
Random Forest 0.79 0.71 0.74</t>
  </si>
  <si>
    <t>SVM, Char-LSTM, LabelSpeading (RBF), Laplacian SVM, LabelSpreading (KNN), Co-Training (SVM), KNN, Gaussian NB, Logistic Regression, AdaBoost, Random Forest</t>
  </si>
  <si>
    <t>twitter handles related features, profile related features, content related features</t>
  </si>
  <si>
    <t>Original dataset was approximately 1.6M tweets, after filtering it was 300K, sampled 3K</t>
  </si>
  <si>
    <t>Char-LSTM, SVM, LabelSpreading (RBF), Laplacian SVM, Co-Training SVM, Naive Bayes, Random Forest</t>
  </si>
  <si>
    <t>Precision, Recall F1-score</t>
  </si>
  <si>
    <t>LabelSpreading (KNN)</t>
  </si>
  <si>
    <t>In our experiments we have used an AdaBoost classifier.</t>
  </si>
  <si>
    <t>Feature class Description Number of features
Word length Letters* Digits Punctuation Arabic Function words English Function words Time Emotion words Hashtag * Only for English tweets
Relative frequency of words with 1-20 characters Relative frequency of a to z (ignoring case) Relative frequency of 0 to 9 Relative frequency of characters . ? ! , ; : ( ) ” - ´ Relative frequency of various function words Relative frequency of various function words Features related to time Relative frequency of various sentiments words Relative frequency of hashtags 1
TABLE I. DATA INDEPENDENT FEATURES
20
26
10
11
160
293
39
108
Feature class Description Top 10 English features
Hashtags Word bigrams Letter bigrams Frequent words 100 most common hashtags 100 most common word bigrams 100 most common word bigrams 100 words that are used most frequently #is, #iraq #islamic state, #alleyesonisis, #syria, #islamicstate, #khilafarestored, #islam, #isis, #muslims
of the, islamic state, to the, the islamic, in the, from the, for the, by the, on the, islamic states
th, he, in, er, an, is, re, st, es, at
the, of, in, to, and, a, from, is, for, islamic The data dependent feature classes that we use
are the most common hashtags, most common word bigrams,
most common letter bigrams and the most frequent words.</t>
  </si>
  <si>
    <t xml:space="preserve">Our approach towards
this problem is to use machine learning and train a model
that can recognize if a twitter user is supporting a jihadist
groups and disseminate propaganda content online (also called
a media mujahid). </t>
  </si>
  <si>
    <t>Our approach towards
this problem is to use machine learning and train a model
that can recognize if a twitter user is supporting a jihadist
groups and disseminate propaganda content online (also called
a media mujahid). Dataset Description Size Training Testing Validation
TWEEP-PRO-E English tweeps involved in media mujahideen. 93 41 31 21
TWEEP-RAND-E Randomly collected tweeps on English. 742 377 220 145
TWEEP-PRO-A Arabic tweeps involved in media mujahideen. 81 33 28 20
TWEEP-RAND-A Randomly collected tweeps on arabic. 256 136 74 46
TW-PRO-E English tweets containing jihadist propaganda 27753 13994 18027 5459
based on hashtags and network of known jihadists.
TW-RAND-E Randomly collected tweets discussing various topics on English. 60000 29882 8299 12091
TW-PRO-A Arabic tweets containing jihadist propaganda. 16000 7973 4836 3191
based on hashtags and network of known jihadists.
TW-RAND-A Randomly collected tweets discussing various topics on arabic. 45013 22534 13468 9011 one on English called TW-
PRO-E and one on Arabic called TW-PRO-A. We also have
two sets of ”random” tweets one English called TW-RAND-E
and one on Arabic called TW-RAND-A.</t>
  </si>
  <si>
    <t>TABLE V. RESULTS FOR CLASSIFYING ARABIC TWEEPS
Features Confusion Matrix Precision Accuracy Recall
Data independent 45 4
1 16 0.8 0.9242 0.9411
Data dependent 46 1
0 19 0.8260 0.9848 1.0
Data dependent + Data independent 46 2
0 18 0.9 0.9697 1.0
TABLE VI. RESULTS FOR CLASSIFYING ENGLISH TWEEPS
Features Data independent Data dependent Data dependent + Data independent Confusion Matrix 145 1
0 20 145 0
0 21 145 0
0 21 Precision 0.9528 1.0 1.0 Accuracy 0.994 1.0 1.0 Recall
1.0
1.0
1.0
TABLE VII. RESULTS FOR CLASSIFYING ARABIC TWEETS
Features Data independent Data dependent Data dependent + Data independent Confusion Matrix 8542 1679
469 1512 8699 1560
312 1631 8724 1375
287 1816 Precision 0.4738 0.5111 0.5691 Accuracy 0.824 0.8466 0.8638 Recall
0.7633
0.8394
0.8635
TABLE VIII. RESULTS FOR CLASSIFYING ENGLISH TWEETS
Features Data independent Data dependent Data dependent + Data independent Confusion Matrix Precision 12006 122
85 5337 0.9776 12087 159
4 5300 0.9708 12085 80
6 5379 0.9853 Accuracy 0.9882 0.9907 0.9951 Recall
0.9843
0.9992
0.9988</t>
  </si>
  <si>
    <t>AdaBoost</t>
  </si>
  <si>
    <t>data independent features such as: word lenght, letters, digits, punctuation, arabic function words, english function words, time, emotion words, hashtag, word bigrams, letter bigrams, frequent words and data dependent features such as most common hashtags, most common word bigrams, most common letter bigrams and most frequent words</t>
  </si>
  <si>
    <t>twitter</t>
  </si>
  <si>
    <t>6729 usernames of known jihadist was used to filter to ensure relevance, of tweets, in total 30 tweeps from twitter guide and 45 tweeps from multipliers of jihadist and latest 3400 tweets were downloaded from each</t>
  </si>
  <si>
    <t>Precision, Accuracy, Recall</t>
  </si>
  <si>
    <t xml:space="preserve">We employ a single-class SVM and KNN algorithm
for one-class classification task. </t>
  </si>
  <si>
    <t>To identify linguistic and stylistic features and characteristics
of hate and extremism promoting tweets. In phase 4, we perform characterization and identification
of various discriminatory features and compute the frequency (TF) of various
terms. For example, religious, oﬀensive, slang, negative emotions, punctuations
and war related terms</t>
  </si>
  <si>
    <t>We conduct experiments on publicly available dataset so that our results can be
replicated or used for benchmarking or comparison purposes. We download two
datasets: UDI-TwitterCrawl-Aug20127 and ATM-TwitterCrawl-Aug20138. UDI-
TwitterCrawl-Aug2012 consists of 50 million tweets approximately and was col-
lected in May 2011 [6]. ATM-TwitterCrawl-Aug2013 consists of 5 million English
tweets and was collected in June 2011 [5].</t>
  </si>
  <si>
    <t>nitially we have 53, 234, 567 tweets
in our dataset. In this paper, we focus only on English language tweets, there-
fore we discard all non-English (7, 889, 609) tweets and remain with a total of
45, 344, 958 tweets.  To avoid
overfitting in classification we collect only 10, 486 labeled tweets for training
dataset, which is a very small fraction of experimental dataset. We perform a
random sampling on all 45.3 million tweets of experimental dataset and collect a
random sample of 1 million tweets as testing (or validation) dataset</t>
  </si>
  <si>
    <t>Experimental results
on large and real-world dataset demonstrate that the proposed approach
is eﬀective with F-score of 0.60 and 0.83 for the KNN and SVM classifier
respectively. Classifier Precision Recall TNR NPV F-Score Accuracy
KNN 0.48 0.81 0.92 0.98 0.60 0.90
LibSVM 0.78 0.88 0.98 0.99 0.83 0.97</t>
  </si>
  <si>
    <t>SVM and KNN</t>
  </si>
  <si>
    <t>Predominantly discriminatory features related to religious, offensive, slang, negative emotions, punctuations and war related terms, computed via term frequency</t>
  </si>
  <si>
    <t>inital dataset was 53234567 tweets, but after filtering it was 45344958. 10486 labeled tweets for training, 1 million tweets randomly sampled as test/validation</t>
  </si>
  <si>
    <t>Precision, Recall, TNR, NPV, F-score, Accuracy</t>
  </si>
  <si>
    <t>SVM</t>
  </si>
  <si>
    <t>KNN</t>
  </si>
  <si>
    <t>[44] Identifying-Extremism-in-Social-Media-with-Multi-view-Context-Aware-Subset-Optimization.pdf</t>
  </si>
  <si>
    <t xml:space="preserve">Our proposed active learning based approach is not de-
pendent on the choice of the underlying classifier and we
have performed the experiments using two popular classifiers
Logistic Regression (LGS) and Random Forest (RF). </t>
  </si>
  <si>
    <t>B. Feature Extraction
Two types of feature descriptors are defined to obtain a
comprehensive description of each forum post: Personality
Indicators (PI) and URL based features, each representing the
post from an independent view.
The comprehensive PI descriptors include multiple feature
attributes to obtain an exhaustive representation of the text
content along with the poster’s feeling hidden underneath:
1) Post Topics: Each forum post is defined as a mixture
representation of some topics. In contrast to assigning
specific topic to each post, such topic distribution offers
more insight to the poster’s attitude and interest.
2) Topic Sensitivity: 2,000 flagged words are manually
crawled from various web based resources. This in-
cludes 324 flagged words identified by Department of
Homeland Security (DHS) along with a good number
of non-English words, which were identified as sensitive
by independent annotators, works as some potential
threat indicators. Total number of such sensitive words
appearing in a forum post normalized by its total text
length, defines the sensitivity score of the post. To the
best of our knowledge, until now the largest publicly
available collection of flagged words is the 324 words’
list provided by DHS. We plan to publish this wordlist
to the research community after the work is published.3
3) Post Effectiveness Indicator: The number of @ refer-
ences in a forum post can represent its effect within the
community. In addition to it, typically introvert users
are at a higher risk of being radicalized. Therefore, the
length of the post normalized by the average post lengths
observed in the forum, can also provide an important cue
to the poster’s characteristics.
4) Emotion Indicators: The compact emotion indicator
represents the poster’s 10 psychological traits reflected
through his/her post in consideration and include:
Happy, Fear, Anger, Sadness, Shame, Secretiveness,
Urgency, Confusion, Inspiring, Frustration. An average
of 50 words per emotion category constitute the set
of the initial keyword representatives. Following [13],
in order to measure these indicators, each sentence
is divided into words and indicators are computed by
counting the combined occurrences of some keywords
or its synonyms from Wordnet [43] after stemming.
The Frustration indicator is computed by counting the
occurrences of swear and negation words, along with av-
erage number of capitalized words per sentence. Each of
these indicators is max-normalized to make an unbiased
representation.
The 19 dimensional URL feature descriptor includes attributes
like site-popularity scores (based on it’s host, host country
etc.), URL length, host length, number of dots, average token
3We thank Shreyas Vaidyanath for his help in crawling some parts of the
wordlist.
length, token count, largest token, average domain token
length, domain token count, largest domain, average path to-
ken, path token count, largest path, count of security sensitive
words and IP address presence in the URL. In cases there are
no URL in a post, the values to its entries are computed as
0. In presence of two or more URLs, we obtain an average
representative as the URL feature descriptor. Brief snapsots of
all the wordlists used in our works are provided in the table
I.</t>
  </si>
  <si>
    <t xml:space="preserve">In the
first set of experiments, we have combined a collection of
pro-ISIS fanboys tweets1 and its counterpoise collection of
general tweets about ISIS2 around a timeframe when two
ISIS operatives murdered a priest saying mass in a French
church to form a dataset for the two class classification
problem. The pro-ISIS collection has around 17000 tweets
from several accounts since the Paris attack in November
2015 and was collected and processed by a digital agency
to get released in the public domain. The second collection
of general tweets discussing ISIS issue in Twitter, called
ISIS-related-Tweets, contains 122000 tweets collected on two
separate dates 7/14/2016 and 7/11/2016. The tweets were
collected using a set of keywords like ISIS, islamicstate, raqqa,
Mosul etc. </t>
  </si>
  <si>
    <t>The proposed malicious activity identification framework is
evaluated using three publicly available datasets to investigate
its effectiveness in addressing the problem scenario in real life
settings. However, given the sensitive nature of the problem
setting, it is really difficult to find the open dataset, more
specifically a reliably annotated sample collection. In the
first set of experiments, we have combined a collection of
pro-ISIS fanboys tweets1 and its counterpoise collection of
general tweets about ISIS2 around a timeframe when two
ISIS operatives murdered a priest saying mass in a French
church to form a dataset for the two class classification
problem. The pro-ISIS collection has around 17000 tweets
from several accounts since the Paris attack in November
2015 and was collected and processed by a digital agency
to get released in the public domain. The second collection
of general tweets discussing ISIS issue in Twitter, called
ISIS-related-Tweets, contains 122000 tweets collected on two
separate dates 7/14/2016 and 7/11/2016. The tweets were
collected using a set of keywords like ISIS, islamicstate, raqqa,
Mosul etc. With a significantly large amount of samples from
both these collections being accompanied by URL links as
part of the post, these datasets are found to be very suitable
to perform analysis for our multi-view learning framework.
As such the collection of ISIS-related-Tweets are not strictly
validated and may also contain a small set of pro-ISIS tweets.
While it is not possible to manually annotated and clean the
huge collection, we choose a random subcollection of 17K
tweets satisfying the criteria of a minimum tweet length to
build the collection of general ISIS-related Tweets. Therefore
in our experiments, the combined collection called Twitter-
ISIS dataset, thus contains in total 34K samples from two
1https://www.kaggle.com/kzaman/how-isis-uses-twitter
2https://www.kaggle.com/activegalaxy/isis-related-tweets
6
TABLE I: Examples of Word Lists’ Entries
Text Sensitivity
State Representative Words
Sensitiveness Aljihaad, Kafer, Mujahideen, Mosul, Nacros, Phish, etc.
Happy Childlike, Elated, Glowing, Jovial, Thankful, Satisfied, etc.
Fear Anxiety, Death, Foreboding, Jittery, Phobia, Shaken, etc.
Anger Enraged, Harsh, Infuriated, Rebellious, Vindictive, Violent, etc.
Sadness Bad, Dejected, Fail, Low, Pity, Wistful, etc.
Shame Appalled, Blot, Irritation, Terrible, Shameful, Scandal, etc.
Secretive Blacklisted, Curiosity, Cover, Confess, Censor, Underground, etc.
Urgency Important, Instant, Magical, Quick, Sensational, Should, etc.
Confusion Distrustful, Fatigue, Indecision, Stress, Trap, Terrified, etc.
Inspiring Authentic, Bold, Confident, Eager, Okay, Tenacious, etc.
Frustration Antipathy, Disgust, Foul, Revolt, Yacky, Vulger, etc.
Security Sensitive Banking, Ebayisapi, Login, Signin, Secure,Webscr, etc.
different classes (i.e. 17K from pro-ISIS and 17K from ISIS-
related-Tweets). To experiment with Twitter-ISIS dataset, a
random subcollection of 14Ksamples from each of the classes
constitute D(i.e. |D|= 28000). Only 1000 randomly chosen
samples per category are used to build the initial annotated
data pool Lleaving 26K samples in U= D\L, which are
used in the active learning iterations to gradually update the
system. The left over collection of 6K samples are used as the
test samples. In order to investigate the performance, this same
set of experiments are reiterated several times by randomly
choosing a different set of samples from ISIS-related-Tweets
collection.
The third collection, used in our experiments is Cyber-
Recruitment dataset [23] which was crawled from the
invitation-only Ansar Aljihad Network forum within a time-
frame December 2008 to January 2010. From the original
collection of 2,69,548 posts crawled by the Darkweb Portal
project [41], 28,708 English posts are shortlisted and anno-
tated by the authors in this dataset. Based on the message
content, each post is labeled as the representative of one of the
two classes: recruitment/non-recruitment. The entire corpus
consists of 2,564 recruitment and 28,708 non-recruitment
posts. To start with, 1,500 samples from recruitment category
and 10,500 samples from the non-recruitment category are
used to build D, among which 500 samples from each class
constitute the initial annotated data pool L, while 1,000 and
10,000 samples respectively from the recruitment and non-
recruitment categories are left in U= D\L. Finally, the
test collection is formed with 19,272 samples from the two
classes of which 1,064 samples are from recruitment category
and 18,208 samples from the non-recruitment category. This
dataset does not have sufficient amount of samples with
URL links accompanying the sample posts. Therefore for this
dataset we have restricted our experiments in the single view
platform only.</t>
  </si>
  <si>
    <t>For Twitter-ISIS dataset
which is mostly balanced in nature, accuracy is used as the
compact evaluation metric computed by relating FP (False
Positives), FN (False Negatives), TP (True Positives) and TN
(True Negatives) and defined as follows:
TP + TN
Accuracy=
TP + TN + FP + FN (16)
On the other hand, due to the un-balanced nature of the
Cyber-Recruitment dataset, F-score which combines both pre-
cision and recall by computing their harmonic mean, is used
as the evaluation metric. In addition to be more compact, F-
measure is also found to be more appropriate than Receiver
Operating Characteristic (ROC) [45] and hence was found to
be more appropriate for our scenario.
F-score= 2 Precision×Recall
Precision+ Recall (17)
where, Precision= TP/(TP + FP) and Recall=
TP/(TP + FN).</t>
  </si>
  <si>
    <t>Logistic Regression and Random Forest</t>
  </si>
  <si>
    <t>Personality Indicators (PI), which analyzed post topics, topic sensitivity, post effectiveness, and ten distinct emotion indicators from the text, and a 19-dimensional set of URL-based features for any links, which included attributes like site popularity, URL length, and the presence of security-sensitive words.</t>
  </si>
  <si>
    <t>Twitter-ISIS Dataset: 34000 tweets (halfpro-ISIS and 17000 general), Cyber-Recruitment Dataset: 2564 and 28708 non recrutiment</t>
  </si>
  <si>
    <t>Accuracy and F1-score</t>
  </si>
  <si>
    <t>Logistic Regression, Random Forest</t>
  </si>
  <si>
    <t>Accuracy, F1 Score</t>
  </si>
  <si>
    <t xml:space="preserve">An LSTM based feed forward neural
network is employed to detect radical content.  Approach Precision Recall F-score
Feedforward NN
supported by
LSTM
85.96 53.26 65.77
Random Forest 73.50 64.00 65.55
SVM 53.50 50.50 45.00
MaxEnt 69.50 68.00 68.55 Maximum Entropy Classifier
selects the model with largest entropy among all the models fitting
training data for classification. </t>
  </si>
  <si>
    <t>) Generating Word Embeddings
All the word embedding representation methods are based
on a hypothesis that words generally carry similar meaning
that occur in similar contexts. [7] A good representation of
text should aim at maintaining the analogy between words
during course of word embedding generation. Here, the pre-
processed data is first converted to vectors with an ASCII
supported integration.
The dense vector representation of words learned by word2vec
have shown remarkable progression in carrying semantic
meanings[12]. Apparently, word2vec framework has been
employed and vectors are neutrally trained separately for
Radical and Non-Radical texts to generate word embeddings
employing a Levenberg training mechanism. The validation
criteria used while training: Propogative iterations and Gra-
dient satisfaction. The weights are updated according to the
equation: At first, bag-
of-words technique is employed to build a term document matrix.
Then three machine learning algorithms namely SVM, Random
Forest and MaxEnt are implemented to achieve classification of texts
being radical or not radical.  LSTM and Fully-connected Layer
A feedforward neural network supported by LSTM is used
for weight training as it is presumes texts to be interre-
lated. Many models use word embeddings as direct features
while some use avg task i.e. calcuate the weighted average
of word embeddings in similar context as representations
of text[11]. Hence, the fully connected layer predicts labels
for test datasets by comparing thresholds, generated using
mean of radical and non-radical weights.</t>
  </si>
  <si>
    <t>The data is collected from multiple sources namely: Blogs, Articles, Twitter, News. We have taken expert guidance to identify data sources that may contain radical content. De- tails of the same is shown in Table 3 below. We developed crawler that collected 61601 records from online social media sources.</t>
  </si>
  <si>
    <t>61601 records from online social media
sources.</t>
  </si>
  <si>
    <t>Approach Precision Recall F-score
Feedforward NN
supported by
LSTM
85.96 53.26 65.77
Random Forest 73.50 64.00 65.55
SVM 53.50 50.50 45.00
MaxEnt 69.50 68.00 68.55</t>
  </si>
  <si>
    <t>LSTM, Random Forest, SVM, Maximum Entropy Classifier</t>
  </si>
  <si>
    <t>Embeddings were used to train the LSTM model, while for benchmarks term-document matrix was created with bag-of-words</t>
  </si>
  <si>
    <t>61601 records from online social media sources</t>
  </si>
  <si>
    <t>Precision, Recall, F-Score</t>
  </si>
  <si>
    <t>LSTM, Random Forest, SVM</t>
  </si>
  <si>
    <t>Maximum Entropy Classifier</t>
  </si>
  <si>
    <t>[50] discovering-hidden-networks-in-on-line-social-networks-5azjy09itl.pdf</t>
  </si>
  <si>
    <t>After the
creation of security dictionaries, topic hierarchies
were created for all possible combination of topics
which may occur together to yield a new topic. This
resulted in the identification of new security
association rules. These were then pruned for each
category. The pruned rules for some of the categories
are shown in Table 1. n this paper, we use content-based SNA, an approach
to combine SNA and Text Mining (TM) in order to find revealing a content-based Social Network. Content-
based SNA consists of extracting overlapping topic
related sub-networks from the entire communication
network. In our case, we were able to discover
subgroups of users related together by topic of
conversation at any instance of time. Once the messages
were classified, we retrieved the users who had posted
the messages corresponding to categories and
constructed a network which can be analysed using
techniques of social networks analysis.</t>
  </si>
  <si>
    <t>Document Vectorization incorporating Security
related features: The approach caters to the fact that
the presence of terms relevant to security is more
important that their frequency of occurrence. Document Vectorization: Once subcategories have
been decided, document vector is represented as V,
where V= [v1,v2, ….vn] where 1..n refer to
subcategories which are enriched security
dictionaries of themes of interest to the security
communities. Value in any column vector is 1, if
the document contains words relevant to that
category. For example, if we have chosen three
categories for our messages say V= [‗Jihad‘,
‗Terroris m‘, ‗Country‘] then D1 refers to
document vector for document 1. D1= [1, 0, 1]
means that document contains words relevant for
categories ‗Jihad‘ and ‗Country‘. Thus, the
document is vectorized not according to the
frequency of terms but rather on the basis of
presence of security related keywords. This has
relevance keeping in view if a person is talking
about ‗Alqaeda‘, then the number of times he talks
about it is less important than the fact that
keyword ‗Alqaeda‘ interests him.  The document/ message is
vectorized according to the security dictionaries and is
termed as ‗Security Vector‘.</t>
  </si>
  <si>
    <t xml:space="preserve">We have chosen Twitter for our case
study, since it provides APIs which allow us to access
data. </t>
  </si>
  <si>
    <t>We designed our customized crawler in
python to capture tweets according to hashtag ‗Alqaeda‘.
The tweets were initially filtered for English language
and stored in the form of excel files. General format of
tweet is shown in Fig. 6. Each of our captured tweet
contains information about sender (represented by
From_User), receiver (To_UNAME, TO_USER,
TO_UID) if any, text (represented by Text), Date of
posting (From_UCR_Date) , Tag (represented by TAG)
and language (From_ULANG) as shown in Fig. 6.
respectively. Each excel file stored 10,000 tweets and a
new file was created for additional tweets</t>
  </si>
  <si>
    <t>No specific algorithm is mentioned</t>
  </si>
  <si>
    <t>documents are vectorized to security vectors that contain security related features, which refer to words containing relevant categories such as Jihad</t>
  </si>
  <si>
    <t>The overall size was not specified aside of informaiton that each excel file stored 10000 tweets</t>
  </si>
  <si>
    <t>specific performance metrics are not reported</t>
  </si>
  <si>
    <t>Method Baseline LR GR–Engagement GR–Leaning GR–Learnt Accuracy
19.6%
22.2%
24.2%
26.2%
27.6% seven classes as a
graph regularizer in a logistic regression frame-
work.</t>
  </si>
  <si>
    <t>Features #
Feat.
Political
Leaning
Political
Engagement
Unigrams 6060 .294 .165
LIWC 73 .286 .149
Word2Vec Clusters 500 .300 .169
Emotions 8 .145 .079
Political Terms 234 .256 .169 Word2Vec clusters obtain the highest predictive
accuracy for political leaning, even though they
did not perform as well in the previous classifi-
cation tasks. For political engagement, political
terms and Word2Vec clusters obtain similar pre-
dictive accuracy.</t>
  </si>
  <si>
    <t>We asked users their Twitter handle and down-
loaded their most recent 3,200 tweets, leading to
a total of 4,833,133 tweets. Before adding users
to our 3,938 user data set, we performed the fol-
lowing checks to ensure that the Twitter handle
was the user’s own:</t>
  </si>
  <si>
    <t>The main data set used in this study consists of
3,938 users recruited through the Qualtrics plat-
form (D1). We asked users their Twitter handle and down-
loaded their most recent 3,200 tweets, leading to
a total of 4,833,133 tweets. Before adding users
to our 3,938 user data set, we performed the fol-
lowing checks to ensure that the Twitter handle
was the user’s own In addition, to facilitate comparison to previ-
ous work, we also use a data set of 13,651 users
with overt political orientation (D2). We se-
lected popular political figures unambiguously as-
sociated with US liberal politics (@SenSanders,
@JoeBiden, @CoryBooker, @JohnKerry) or US
conservative politics (@marcorubio, @tedcruz,
@RandPaul, @RealBenCarson). Liberals in our
set (Nl = 7417) had to follow on Twitter all of
the liberal political figures and none of the con-
servative figures. Likewise, conservative users
(Nc = 6234) had to follow all of the conservative
figures and no liberal figures. We downloaded up
to 3,200 of each user’s most recent tweets, leading
to a total of 25,493,407 tweets. All tweets were
downloaded around 10 August 2016.</t>
  </si>
  <si>
    <t>ethod Baseline LR GR–Engagement GR–Leaning GR–Learnt Accuracy
19.6%
22.2%
24.2%
26.2%
27.6% We use logistic regres-
sion classification to compare three setups in Ta-
ble 2 with results measured with ROC AUC as the
classes are slightly inbalanced:</t>
  </si>
  <si>
    <t>Logistic Regression with possible graph regularization</t>
  </si>
  <si>
    <t>word frequencies (unigrams), psychological language categories (LIWC), automatically generated semantic topics (Word2Vec clusters), sentiment and emotion scores from lexicons, and manually curated lists of political terms and proper names.</t>
  </si>
  <si>
    <t>total of 30,326,540 tweets from two distinct groups: a primary dataset of 4,833,133 tweets from 3,938 users recruited via Qualtrics , and a comparative dataset of 25,493,407 tweets from 13,651 users selected for following exclusively liberal (7,417 users) or conservative (6,234 users) political figures.</t>
  </si>
  <si>
    <t>Accuracy, ROC-AUC</t>
  </si>
  <si>
    <t>Logistic Regression</t>
  </si>
  <si>
    <t>ROC-AUC</t>
  </si>
  <si>
    <t>We adopt two off-the-shelf learning models as a proof of
concept for the three classification tasks that we will discuss
later (see §4): Logistic Regression and Random Forests.
Logistic Regression: The first implemented algorithm is a
simple Logistic Regression (LR) with LASSO regulariza-
tion. The advantage of this approach is its scalability, which
makes it very effective to (possibly real-time) classification
tasks on large datasets. The only parameter to tune is the
loss function C. We expect that LR will provide the baseline
classification and prediction performance.
Random Forests: We also use a state-of-the-art implemen-
tation of Random Forests (RF) [10]. The vectors fed into
the learning models represent each user’s features. Random
Forests are trained using 100 estimators and adopting the
Gini coefficient to measure the quality of splits. Optimal pa-
rameters setting is obtained via cross validation (see 3.1.1).</t>
  </si>
  <si>
    <t>TABLE 1. LIST OF 52 FEATURES EXTRACTED BY OUR FRAMEWORK User metadata &amp; activity
Number of followers
Number of friends (i.e., followees)
Number of posted tweets
Number of favorite tweets
Ratio of retweets / tweets
Ratio of mentions / tweets
Avg number of hashtags
(avg, var) number of retweets
Avg. number of mentions
Avg. number of mentions (excluding retweets)
Number of URLs in profile description
(avg, std, min, max, proportion) URLs in tweets
Length of username
Timing
(avg, var) number of tweets per day
(avg, std, min, max) interval between two consecutive tweets
(avg, std, min, max) interval between two consecutive retweets
(avg, std, min, max) interval between two consecutive mentions
Netw. stats
(avg, std, min, max) distribution of retweeters’ number of followers
(avg, std, min, max) distribution of retweeters’ number of friends
(avg, std, min, max) distribution of mentioners’ number of followers
(avg, std, min, max) distribution of mentioners’ number of friends
(avg, std, min, max) number of retweets of the tweets by others</t>
  </si>
  <si>
    <t>We leverage an unprecedented dataset that contains
over 3 millions tweets generated by over 25 thou-
sand extremist accounts, who have been manually
identified, reported, and suspended by Twitter. We
also use around 30 million tweets generated by a
random sample of 25 thousand regular users who
were exposed to, or consumed, extremist content.</t>
  </si>
  <si>
    <t>TABLE 2. EXTREMISTS DETECTION (T1A)
Precision Recall F1 AUC
Logistic Regression 0.778 0.506 0.599 0.756
Random Forests 0.855 0.893 0.874 0.871</t>
  </si>
  <si>
    <t>Number of followers, Number of friends, Number of posted tweets, Number of favorite tweets, Ratio of retweets / tweets, Ratio of mentions / tweets, Avg number of hashtags, Avg number of retweets, Variance of number of retweets, Avg. number of mentions, Avg. number of mentions (excluding retweets), Number of URLs in profile description, Avg number of URLs in tweets, Std of number of URLs in tweets, Min number of URLs in tweets, Max number of URLs in tweets, Proportion of tweets with URLs, Length of username, Avg number of tweets per day, Variance of number of tweets per day, Avg interval between two consecutive tweets, Std interval between two consecutive tweets, Min interval between two consecutive tweets, Max interval between two consecutive tweets, Avg interval between two consecutive retweets, Std interval between two consecutive retweets, Min interval between two consecutive retweets, Max interval between two consecutive retweets, Avg interval between two consecutive mentions, Std interval between two consecutive mentions, Min interval between two consecutive mentions, Max interval between two consecutive mentions, Avg number of followers of retweeters, Std number of followers of retweeters, Min number of followers of retweeters, Max number of followers of retweeters, Avg number of friends of retweeters, Std number of friends of retweeters, Min number of friends of retweeters, Max number of friends of retweeters, Avg number of followers of mentioners, Std number of followers of mentioners, Min number of followers of mentioners, Max number of followers of mentioners, Avg number of friends of mentioners, Std number of friends of mentioners, Min number of friends of mentioners, Max number of friends of mentioners, Avg number of retweets of tweets by others, Std number of retweets of tweets by others, Min number of retweets of tweets by others, Max number of retweets of tweets by others</t>
  </si>
  <si>
    <t>3 millions tweets generated by over 25 thou-
sand extremist accounts and 30 million tweets generated by a
random sample of 25 thousand regular users</t>
  </si>
  <si>
    <t>Precision, Recall, F1, AUC</t>
  </si>
  <si>
    <t>Precision, Recall, F-score, ROC-AUC</t>
  </si>
  <si>
    <t>The proposed method is a multi-step process primarily
consists of three phases, Training Profile Collection, Sta-
tistical Model Building and Focused Crawler. We perform
a manual analysis and a visual inspection of activity feeds
and contextual metadata of various YouTube channels. We
collect 35 positive class channels (promoting hate and ex-
tremism) used as training profiles. We build our training
dataset by extracting the discriminatory features (user ac-
tivity feeds such as titles of videos uploaded, shared, favour-
ited &amp; commented by the user and profile information) of
these 35 channels using YouTube API1
. We build a statisti-
cal model from these training profiles by applying character
n-gram based language modeling approach. We build a fo-
cused crawler (best-first search) which is a recursive process.</t>
  </si>
  <si>
    <t>(user activity feeds such as titles of videos uploaded, shared, favour-
ited &amp; commented by the user and profile information)</t>
  </si>
  <si>
    <t>We perform
a manual analysis and a visual inspection of activity feeds
and contextual metadata of various YouTube channels. We
collect 35 positive class channels (promoting hate and ex-
tremism) used as training profiles.ing such videos promoting hate and extremism on YouTube.</t>
  </si>
  <si>
    <t>We create a list
of 35 user-ids used as training profiles. The 35 user ids
consists of 612 videos and hence the training is performed
on 612 videos.</t>
  </si>
  <si>
    <t>Table 1: Best-First Search Confusion Matrix
Predicted
Relevant Irrelevant
Actual Relevant 921 314
Irrelevant 125 67</t>
  </si>
  <si>
    <t>Titles of videos uploaded, Titles of videos shared, Titles of videos favourited, Titles of videos commented by the user, Profile information</t>
  </si>
  <si>
    <t>612 videos</t>
  </si>
  <si>
    <t>Accuracy</t>
  </si>
  <si>
    <t>Previous research investigating similar problems reported
better performances for Random Forest (RF) classifiers [26].
RF usually performs very well as it is scalable and is robust
to outliers. RF typically outperforms decision trees as it has
a hierarchical structure and is based on multiple trees. This
allows RF to be able to model non-linear decision boundaries.
Moreover, Neural Networks (NN) also produced good results
when applied to problems related to image recognition, text
and natural language processing [27]. However, they usually tend to require very large amounts of data to train. For
the purpose of this study, we experimented with multiple
classification algorithms, including RF, NN, SVM, and KNN
and found that RF and NN produced the best performance.
Due to space limitation, we only report results obtained using
RF model. We configured the model to use 100 estimators trees
with a maximum depth of 50, and we selected gini impurity
for the split criteria. We used the out-of-bag samples (oob)
score to estimate the generalization accuracy of the model.
Additionally, since RF tends to be biased towards the majority
class, we apply the cost sensitive learning method described
earlier to make RF more suitable for imbalanced data [25].</t>
  </si>
  <si>
    <t>The three categories are: 1)
Radical language (Textual features FT ); 2) Psychological sig-
nals (Psychological features FP ); and 3) Behavioural features
(FB).
TABLE III: Features Importance
Top 10 Features Category
1 Radical psych-profile distance FP
2 Us-Them dichotomy FP
3 # of mentions a user make FB
4 User rank (hub and authority) FB
5 Sad emotion FP
6 Risk driver FP
7 All-caps count FT
8 URL count FT
9 Violent-word ratio FT
10 Hash count FT</t>
  </si>
  <si>
    <t>To model the normal behaviour, we collected a random
sample of tweets from ten-trending topics in Twitter using
the Twitter streaming API. These topics were related to news
events and on-going social events (e.g., sports, music). We
filter out any topics and keywords that may be connected to
extremist views. This second dataset consists of around 8, 000
tweets published by around 1, 000 users. A random sample of
200 tweets was manually verified to ascertain it did not contain
radical views. We label this dataset as our random-good data.
A third dataset is used which was acquired from Kaggle
community5
. This dataset is created to be a counterpoise to
the pro-ISIS dataset (our known-bad) as it consists of tweets
talking about topics concerning ISIS without being radical. It
contains 122, 000 tweets from around 95, 000 users collected
on two separate days. We verify that this dataset is indeed non
radical by checking the status of users in Twitter and found
that a subset (24, 000 users) was suspended. We remove those
4https://www.kaggle.com/fifthtribe/how-isis-uses-twitter/data
5https://www.kaggle.com/activegalaxy/isis-related-tweets/home
from the dataset and only keep users that are still active on
Twitter. This dataset is labelled as counterpoise data.</t>
  </si>
  <si>
    <t>Features 
AC Precision Recall F-measure
FT (tf − idf) 0.52 0.76 0.52 0.37
FT (w2v) 0.81 0.82 0.81 0.81
FT 0.84 0.84 0.84 0.84
FB 0.94 0.95 0.94 0.94
FP 1.0 1.0 1.0 1.0
FALL 1.0 1.0 1.0 1.0</t>
  </si>
  <si>
    <t>Random Forest</t>
  </si>
  <si>
    <t>Radical psych-profile distance, Us-Them dichotomy, # of mentions a user make, User rank (hub and authority), Sad emotion, Risk driver, All-caps count, URL count, Violent-word ratio, Hash count</t>
  </si>
  <si>
    <t>17, 000 tweets posted by more than 100 users; 8, 000 tweets published by around 1, 000 users; 122, 000 tweets from around 95, 000 users</t>
  </si>
  <si>
    <t>Accuracy, Precision, Recall, F-measure</t>
  </si>
  <si>
    <t>Accuracy, Precision, Recall, F-score</t>
  </si>
  <si>
    <t>We have used three different classification algorithms: SVM,
Naive Bayes and Adaboost.</t>
  </si>
  <si>
    <t>function words, frequent words, punctuation, hashtags, letter bigrams
and word bigrams</t>
  </si>
  <si>
    <t>Outline This paper is outlined as follows. In Section II
we describe how Sunni extremists, to whom we refer to as
jihadists, use social media and in particular Twitter.</t>
  </si>
  <si>
    <t>the experiments we have used
between 4000 and 7500 tweets in total and the ratio between
testing data set and training data set was approximately 1:4.</t>
  </si>
  <si>
    <t>As can be noted AdaBoost performs very well with 100 %
accuracy on the test set.
The results for using the datasets TW-PRO and TW-CON
are shown in Table V, the accuracy when using the AdaBoost
classifier is still high (99.5%).</t>
  </si>
  <si>
    <t>SVM, Naive Bayes, Adaboost</t>
  </si>
  <si>
    <t>function words, frequent words, punctuation, hashtags, letter bigrams, word bigrams</t>
  </si>
  <si>
    <t>4000-7500 tweets</t>
  </si>
  <si>
    <t>Using this training data, a
system is made to learn using classification algorithms: (1)
SVM (Support Vector Machine), (2) Naive Bayes, (3) Adaboost
Classification and (4) Random Forest Classification using
scikit­learn (Python library for machine learning) [5].</t>
  </si>
  <si>
    <t>TABLE II. STYLOMETRIC FEATURES (SF)
frequent words occurrence of most frequent noun words 443
hashtags occurrence of most frequent hashtags 139
In total 31 time pattern features were used, 24 for hours and 7
for days.
In the experiment, a total of 613 features were considered
which belonged to 2 different types of feature classes:
● stylometric features (SF)
● time pattern features (TF)</t>
  </si>
  <si>
    <t>Twitter Search REST API [4] was used for extracting the
public tweets for the hashtags which are associated with the
radical groups.</t>
  </si>
  <si>
    <t>This
process was repeated for 18 more hashtags (apart from seed
hashtags) giving around 57,698 tweets of which 48,644 tweets
were unique.</t>
  </si>
  <si>
    <t>TABLE III. RESULTS USING ALL FEATURES ON TT­TEST
Classifier
Correctly
Classified
Incorrectly
Classified
Accuracy
Naive Bayes 4933 364 93.1282
Random Forest Classifier 5214 83 98.4331
AdaBoost Classifier 5245 52 99.0183
SVM
Linear 5161 136 97.4325
RBF 5199 98 98.1499
Sigmoidal 5193 104 98.0366</t>
  </si>
  <si>
    <t>SVM, AdaBoost, Random Forest, Naive Bayes</t>
  </si>
  <si>
    <t>frequent words, hashtags and time pattern features (not specified)</t>
  </si>
  <si>
    <t>48,644 tweets</t>
  </si>
  <si>
    <t>Table V shows the accuracy metrics for Random Forest (RF),
Decision Tree (DT) and Naive Bayes (NB) algorithms.</t>
  </si>
  <si>
    <t>Based on the prior literature and our hypothesis design,
we create our feature space by analyzing the linguistic
features (semantic and sentiment tone) of Tumblr posts. We
divide our features set into three categories: Topic Modeling,
Tone Analysis and Semantic Tagging. We also discuss other
contextual metadata features that can be extracted from
Tumblr posts but are not applicable in intent classification.</t>
  </si>
  <si>
    <t>We apply natural language processing techniques on
Tumblr posts for identifying discriminatory features for
intent classification.</t>
  </si>
  <si>
    <t>Using Tumblr Search API, we were able to extract
a total of 3, 228 text posts made by 2, 224 unique bloggers
consisting of 10, 217 unique tags.</t>
  </si>
  <si>
    <t>TABLE V
PERFORMANCE EVALUATION METRICS FOR INTENT CLASSIFICATION.
SOURCE: AGARWAL ET AL. [12]
Test-Data1 Test-Data2
DT RF NB DT RF NB
Recall 0.79 0.82 0.79 0.82 0.84 0.83
Precision 0.72 0.78 0.74 0.75 0.81 0.78</t>
  </si>
  <si>
    <t>Random Forest, Decision Trees, Naive Bayes</t>
  </si>
  <si>
    <t>Metadata, Topic Modeling, Tone Analysis and Semantic Tagging</t>
  </si>
  <si>
    <t xml:space="preserve"> 3, 228 text posts made by 2, 224 unique bloggers
consisting of 10, 217 unique tags</t>
  </si>
  <si>
    <t>Precision, Recall</t>
  </si>
  <si>
    <t>Decision Trees</t>
  </si>
  <si>
    <t>Naive Bayes algorithm</t>
  </si>
  <si>
    <t>?</t>
  </si>
  <si>
    <t>In this research, thi micro-blogging sevice which is Twitter</t>
  </si>
  <si>
    <t>Naive Bayes</t>
  </si>
  <si>
    <t>precision and recall of the Linear Support Vector Classifier are depicted in Table 15.</t>
  </si>
  <si>
    <t>Creation of Lexicons
Sentiment lexicons are generated by undergoing the following steps:
 Took around 1800 positive/negative English lexicon lists from GitHub source for initialization.
 Asssigned weights to the lexicons according to the extremism domain.
 We have updated the list by adding domain-specific (extreme) lexicons manually along with their weights.
 We have constructed the Urdu lexicons list related to extreme and moderate sentiment.
 We have updated the lexicons with Roman Urdu, English, and Urdu</t>
  </si>
  <si>
    <t>The work presented in this research will reveal the extreme sentiments of users from the posts and comments they write
on Facebook.</t>
  </si>
  <si>
    <t>Now, data of approximately 20,000 rows (476,050 words) and 4300 lexicons word count are prepared for analysis.</t>
  </si>
  <si>
    <t>Table 12. Precision and Recall.
classes precision recall F1
Moderate 0.68 0.75 0.71
Neutral 0.67 0.46 0.55
Low extreme 0.44 0.30 0.36
Highly extreme 0.71 0.88 0.78
Avg/total 0.65 0.66 0.65</t>
  </si>
  <si>
    <t>Linear Support Vector Classifier</t>
  </si>
  <si>
    <t>lexicons</t>
  </si>
  <si>
    <t xml:space="preserve"> 20,000 rows (476,050 words) and 4300 lexicons word count</t>
  </si>
  <si>
    <t>Precision, Recall, F1</t>
  </si>
  <si>
    <t>Linear SVC</t>
  </si>
  <si>
    <t>Precision, Recall, F-score</t>
  </si>
  <si>
    <t>We conducted machine learning classification using KNN, BNB and SVM linear Kernel OAO and OAA classifiers.</t>
  </si>
  <si>
    <t>(1) We collect data from suspected terror-leaning Twitter accounts;\</t>
  </si>
  <si>
    <t>[18]. The
majority of these tweets were written in Arabic with a few in other languages. We
investigated 14,081 accounts, out of which 2,503 were still active and containing 1,610,448
tweets.</t>
  </si>
  <si>
    <t>Table 2.
The classification
precision (P), recall (R)
and F1-score for the
four classification
algorithms using
lemmatized data
KNN BNB SVM-OAA SVM-AOA
P R F1 P R F1 P R F1 P R F1
N 61.4 54.6 57.8 73.9 67.1 70.3 75.3 77.9 76.6 75.3 77.5 76.3
U 55.7 22 31.6 57.7 74 64.8 69.2 52.3 59.6 71.9 55.2 62.4
T 60.5 75.7 67.2 76.5 78.1 77.3 81.6 83.6 82.6 80.4 82.6 81.5</t>
  </si>
  <si>
    <t>KNN, BNB, SVM</t>
  </si>
  <si>
    <t>14,081 accounts, out of which 2,503 were still active and containing 1,610,448
tweets</t>
  </si>
  <si>
    <t>KNN, BNB</t>
  </si>
  <si>
    <t>[57] An_Approach_for_Radicalization_Detection_Based_on_Emotion_Signals_and_Semantic_Similarity.pdf</t>
  </si>
  <si>
    <t>above. As
classifiers, in this work, both Logistic Regression and Linear
SVM are considered.</t>
  </si>
  <si>
    <t>In order to evaluate the use of the different features by
our model, the experiments explore the performance using
the following selection of features: (i) EmoFeat, (ii) SIMON,
and (iii) EmoFeat combined with SIMON.</t>
  </si>
  <si>
    <t>bodies. In total,
129 articles have been collected from CNN, and 23 from The
New York Times.
Apart from the dataset presented in Section III, other two
datasets have been used, which contain data from Twitter.</t>
  </si>
  <si>
    <t>bodies. In total,
129 articles have been collected from CNN, and 23 from The
New York Times.
Pro-Neu. This dataset is composed of two different
datasets, both in English, collected by [28]. The first one
contains 17,350 tweets extracted from 112 distinct Twitter
pro-ISIS accounts, which can be found online4
Pro-Anti, formed by 1,132 Twitter accounts and their time-
lines, which have been collected in [11]. This dataset is in
English.
Consequently, these
161 accounts were removed, obtaining 566 pro-ISIS users
in total [11]. In order</t>
  </si>
  <si>
    <t>TABLE 9. Averaged F1-Scores for the model using emotion, SIMON, and
SIMON + emotion, using logistic regression as classification algorithm in
a cross-dataset evaluation.</t>
  </si>
  <si>
    <t>Logistic regression, SVM</t>
  </si>
  <si>
    <t>Emotion-based, semantic similarity based</t>
  </si>
  <si>
    <t>CNN, NYT</t>
  </si>
  <si>
    <t>129 articles from CNN, and 23 from The
New York Times; 17,350 tweets;  566 pro-ISIS users
in total</t>
  </si>
  <si>
    <t>F-score</t>
  </si>
  <si>
    <t>CNN, NYT, Twitter</t>
  </si>
  <si>
    <t>This framework follows semi-supervised learning algorithm. More we will train this
system,</t>
  </si>
  <si>
    <t>goal is to develop an analyzation framework for predicting radi-
calization attempts through WhatsApp messages.</t>
  </si>
  <si>
    <t>Here, we are showing a case study on our synthetic data.</t>
  </si>
  <si>
    <t>Own algorithm?</t>
  </si>
  <si>
    <t>[47] Learning_to_Classify_Hate_and_Extremism_Promoting_Tweets.pdf</t>
  </si>
  <si>
    <t>In phase 5,
we implement two independent one-class classifiers (KNN and
LIBSVM) to classify a tweet as hate promoting or unknown. In
last phase, we evaluate the performance of the two classifiers
using standard confusion matrix.</t>
  </si>
  <si>
    <t>In phase 4, we perform characterization and
identification of various discriminatory features.</t>
  </si>
  <si>
    <t>The motivation of the work
is to investigate solutions to address the problems encountered
by intelligence and security informatics agents and Twitter
moderators for countering online radicalization on the largest
micro-blogging platform on Internet.</t>
  </si>
  <si>
    <t>We execute our classifiers on a testing dataset of size 1 million records containing tweets from both target class (posi-
tive) and outliers.</t>
  </si>
  <si>
    <t>TABLE I: Accuracy Results For KNN and LIBSVM Classifiers
Classifier Precision Recall TNR NPV F-Score Accuracy
KNN 0.48 0.81 0.92 0.98 0.60 0.90
LIBSVM 0.78 0.88 0.98 0.99 0.83 0.97</t>
  </si>
  <si>
    <t>KNN, SVM</t>
  </si>
  <si>
    <t>Not reported</t>
  </si>
  <si>
    <t>1 million records containing tweets</t>
  </si>
  <si>
    <t>paper</t>
  </si>
  <si>
    <t>Executor Model</t>
  </si>
  <si>
    <t>CONCISE ANSWER: What features were used to train machine learning models in this study?</t>
  </si>
  <si>
    <t>FULL ANSWER: What features were used to train machine learning models in this study?</t>
  </si>
  <si>
    <t>CONCISE ANSWER: What was the size of the analyzed dataset?</t>
  </si>
  <si>
    <t>FULL ANSWER: What was the size of the analyzed dataset?</t>
  </si>
  <si>
    <t>CONCISE ANSWER: What were the machine learning algorithms used in this study?</t>
  </si>
  <si>
    <t>FULL ANSWER: What were the machine learning algorithms used in this study?</t>
  </si>
  <si>
    <t>CONCISE ANSWER: What were the performance metrics and their reported values for each machine learning model in the study?</t>
  </si>
  <si>
    <t>FULL ANSWER: What were the performance metrics and their reported values for each machine learning model in the study?</t>
  </si>
  <si>
    <t>CONCISE ANSWER: Which social network or platform was used for data collection?</t>
  </si>
  <si>
    <t>FULL ANSWER: Which social network or platform was used for data collection?</t>
  </si>
  <si>
    <t>[1] 1605.00659v1</t>
  </si>
  <si>
    <t>qwen/qwen-2.5-7b-instruct</t>
  </si>
  <si>
    <t>In this study, a set of 52 manually crafted features were used to train machine learning models. These features belong to three different classes: user metadata, timing features, and network statistics. The features were designed to capture various aspects of user behavior and metadata on social media platforms, particularly Twitter.</t>
  </si>
  <si>
    <t>50 thousand instances</t>
  </si>
  <si>
    <t>The analyzed dataset contained two roughly equal-sized classes, each with about 25 thousand instances. One class consisted of ISIS accounts labeled as positive instances, and the other class consisted of regular users labeled as negative ones. Therefore, the total size of the analyzed dataset was approximately 50 thousand instances.</t>
  </si>
  <si>
    <t>Logistic Regression with LASSO regularization, Random Forests</t>
  </si>
  <si>
    <t>In this study, two machine learning algorithms were used as a proof of concept for the three classification tasks: Logistic Regression with LASSO regularization and Random Forests.</t>
  </si>
  <si>
    <t>The study reported the following performance metrics and their values for each machine learning model:
 - **Logistic Regression:**
  - Precision: 0.778
  - Recall: 0.506
  - F1: 0.599
  - AUC: 0.756
 - **Random Forests:**
  - Precision: 0.855
  - Recall: 0.893
  - F1: 0.874
  - AUC: 0.871</t>
  </si>
  <si>
    <t>The study used Twitter for data collection.</t>
  </si>
  <si>
    <t>[57] An_Approach_for_Radicalization_Detection_Based_on_</t>
  </si>
  <si>
    <t>EmoFeat, SIMON, Word2Vec, FastText, Glove, pro-neu, pro-anti, magazines, logistic regression, Linear SVM</t>
  </si>
  <si>
    <t>In this study, the machine learning models were trained using several features, including EmoFeat, SIMON, and the combination of EmoFeat and SIMON. Specifically, the features used for training the models were evaluated in combination with different word vectors (Word2Vec, FastText, Glove) and different datasets (pro-neu, pro-anti, magazines). The models also utilized a logistic regression and Linear SVM classification algorithms.</t>
  </si>
  <si>
    <t>17,350, 197,743, 602,511, 1,368,827</t>
  </si>
  <si>
    <t>The analyzed dataset sizes varied across different categories. For the Pro-Neu dataset, the total number of tweets was 17,350 for the pro-ISIS accounts and 197,743 for the neutral accounts. For the Pro-Anti dataset, the total was 602,511 for the pro-ISIS accounts and 1,368,827 for the anti-ISIS accounts. Additionally, the Pro-Neu dataset consisted of 112 distinct Twitter pro-ISIS accounts, while the Pro-Anti dataset had 566 distinct pro-ISIS accounts.</t>
  </si>
  <si>
    <t>logistic regression, Support Vector Machine, Linear SVM</t>
  </si>
  <si>
    <t>In this study, two machine learning algorithms were used: logistic regression and Support Vector Machine (SVM). Additionally, a Linear SVM was also employed for certain experiments.</t>
  </si>
  <si>
    <t>F1-Scores, Word2Vec, SIMON Facebook, Glove, SIMON + Emotion Facebook, Linear SVM</t>
  </si>
  <si>
    <t>In the study, the performance metrics for each machine learning model were reported using F1-Scores. Here are the detailed performance metrics for each model:
 ### Logistic Regression:
 - **Word2Vec:**
  - PRO-NEU: 95.09 (EmoFeat), 87.95 (Sentiment), 97.32 (Radical)
  - PRO-ANTI: 82.42 (FreqSelect), 73.06 (Sentiment), 85.07 (Radical)
  - MAGAZINES: 81.20 (FreqSelect), 77.78 (Sentiment), 88.68 (Radical)
 - **SIMON Facebook:**
  - PRO-NEU: 95.98 (EmoFeat), 90.18 (Sentiment), 97.77 (Radical)
  - PRO-ANTI: 82.77 (FreqSelect), 78.45 (Sentiment), 87.46 (Radical)
  - MAGAZINES: 84.83 (FreqSelect), 82.91 (Sentiment), 94.44 (Radical)
 - **Glove:**
  - PRO-NEU: 96.43 (EmoFeat), 90.18 (Sentiment), 97.32 (Radical)
  - PRO-ANTI: 82.24 (FreqSelect), 72.61 (Sentiment), 87.90 (Radical)
  - MAGAZINES: 81.84 (FreqSelect), 81.62 (Sentiment), 90.60 (Radical)
 - **SIMON + Emotion Facebook:**
  - PRO-NEU: 95.09 (EmoFeat), 90.62 (Sentiment), 97.32 (Radical)
  - PRO-ANTI: 82.69 (FreqSelect), 79.59 (Sentiment), 87.90 (Radical)
  - MAGAZINES: 85.47 (FreqSelect), 83.97 (Sentiment), 94.44 (Radical)
 - **Glove:**
  - PRO-NEU: 96.43 (EmoFeat), 91.07 (Sentiment), 97.77 (Radical)
  - PRO-ANTI: 82.77 (FreqSelect), 73.67 (Sentiment), 87.10 (Radical)
  - MAGAZINES: 83.33 (FreqSelect), 82.26 (Sentiment), 91.03 (Radical)
 ### Linear SVM:
 - **Word2Vec:**
  - PRO-NEU: 95.54 (EmoFeat), 80.80 (Sentiment), 97.77 (Radical)
  - PRO-ANTI: 65.72 (FreqSelect), 83.92 (Sentiment), 75.43 (Radical)
  - MAGAZINES: 77.78 (FreqSelect), 88.46 (Sentiment), 75.43 (Radical)
 - **SIMON Facebook:**
  - PRO-NEU: 95.09 (EmoFeat), 89.29 (Sentiment), 99.11 (Radical)
  - PRO-ANTI: 69.52 (FreqSelect), 86.22 (Sentiment), 79.49 (Radical)
  - MAGAZINES: 79.49 (FreqSelect), 94.02 (Sentiment), 79.49 (Radical)
 - **Glove:**
  - PRO-NEU: 97.32 (EmoFeat), 86.16 (Sentiment), 98.66 (Radical)
  - PRO-ANTI: 65.46 (FreqSelect), 85.07 (Sentiment), 79.15 (Radical)
  - MAGAZINES: 79.49 (FreqSelect), 88.25 (Sentiment), 79.91 (Radical)
 - **SIMON + Emotion Facebook:**
  - PRO-NEU: 95.09 (EmoFeat), 91.07 (Sentiment), 99.11 (Radical)
  - PRO-ANTI: 72.53 (FreqSelect), 86.57 (Sentiment), 83.12 (Radical)
  - MAGAZINES: 83.12 (FreqSelect), 93.80 (Sentiment), 83.12 (Radical)
 - **Glove:**
  - PRO-NEU: 96.88 (EmoFeat), 87.95 (Sentiment), 98.66 (Radical)
  - PRO-ANTI: 79.42 (FreqSelect), 85.42 (Sentiment), 89.10 (Radical)
  - MAGAZINES: 78.85 (FreqSelect), 89.10 (Sentiment), 88.25 (Radical)</t>
  </si>
  <si>
    <t>The social network or platform used for data collection was Twitter.</t>
  </si>
  <si>
    <t>[44] BigData_DW</t>
  </si>
  <si>
    <t>PI features, URL features, site-popularity scores, URL length, host length, number of dots, average token length, token count, largest token, average domain token length, domain token count, largest domain, average path token length, path token count, largest path, count of security sensitive words, IP address presence in the URL</t>
  </si>
  <si>
    <t>In this study, two types of features were used to train machine learning models: PI (Post Information) features and URL features. Specifically, the URL features descriptor includes attributes like site-popularity scores, URL length, host length, number of dots, average token length, token count, largest token, average domain token length, domain token count, largest domain, average path token length, path token count, largest path, count of security sensitive words, and IP address presence in the URL.</t>
  </si>
  <si>
    <t>34,000 samples</t>
  </si>
  <si>
    <t>The analyzed dataset, referred to as the Twitter-ISIS dataset, contained a total of 34,000 samples from two classes. This dataset was formed by combining a collection of pro-ISIS fanboys tweets and a collection of general tweets discussing ISIS, resulting in 17,000 samples from each class.</t>
  </si>
  <si>
    <t>In this study, the machine learning algorithms used were Logistic Regression (LGS) and Random Forest (RF).</t>
  </si>
  <si>
    <t>Performance metrics, F-score, PI Features, URL Features, LGS Classifier, RF Classifier, Active Learning Module, Prioritized Active Learning, Random Sampling</t>
  </si>
  <si>
    <t>In the study, the performance metrics and their reported values for each machine learning model in the Twitter-ISIS dataset and Cyber-Recruitment dataset are as follows:
 ### Twitter-ISIS Dataset:
 - **Single-View Classifier (PI Features):**
  - Performance at 10% of samples: 0.78
  - Performance at 20% of samples: 0.82
  - Performance at 30% of samples: 0.84
 - **Single-View Classifier (URL Features):**
  - Performance at 10% of samples: 0.7
  - Performance at 20% of samples: 0.72
  - Performance at 30% of samples: 0.74
 - **Multi-View Classifier (PI and URL Features):**
  - Performance at 30% of samples: 0.81 (LGS Classifier)
  - Performance at 30% of samples: 0.86 (RF Classifier)
 ### Cyber-Recruitment Dataset:
 - **Proposed Active Learning Module:**
  - Performance with 25% of samples: 93.81% F-score (LGS Classifier)
  - Performance with 25% of samples: 87.39% F-score (RF Classifier)
 - **Prioritized Active Learning:**
  - Performance with 25% of samples: 91.53% F-score (LGS Classifier)
  - Performance with 25% of samples: 87.39% F-score (RF Classifier)
 - **Random Sampling:**
  - Performance with 25% of samples: 91.53% F-score (LGS Classifier)
  - Performance with 25% of samples: 87.39% F-score (RF Classifier)
 These values represent the F-scores achieved by different machine learning models under varying conditions of sample annotation.</t>
  </si>
  <si>
    <t>The social network or platform used for data collection was Twitter. The context mentions collecting tweets related to ISIS using keywords like ISIS, islamicstate, raqqa, and Mosul.</t>
  </si>
  <si>
    <t>[52] 3-691-698</t>
  </si>
  <si>
    <t>tweets, sentiment polarity, positive, negative, neutral</t>
  </si>
  <si>
    <t>In this study, the data from social media, specifically tweets, were gathered through Twitter streaming API and then pre-processed. The pre-processing steps included cleaning the data by filtering and removing URLs, @tags, #hashtags, spelling errors, non-English words, and correcting lowercase and uppercase. After pre-processing, the data were prepared and tagged with input and output labels. The data were then classified into sentiment polarity, which are positive, negative, or neutral classes, using machine learning methods. However, the specific features used to train the machine learning models were not explicitly detailed in the provided context.</t>
  </si>
  <si>
    <t>1,480 tweets</t>
  </si>
  <si>
    <t>The size of the analyzed dataset was 1,480 tweets, which were extracted based on specific keywords related to terrorism, such as "terrorism, jihad, bomb, radical, Al-Qaeda, Abu Sayyaf, isis, extremist," from 30-31 March 2016.</t>
  </si>
  <si>
    <t>Support Vector Machines, Naive Bayes, Neural Networks</t>
  </si>
  <si>
    <t>In this study, several machine learning algorithms were mentioned, including Support Vector Machines (SVM), Naive Bayes, and Neural Networks. The research proposed to use a machine learning approach, with Naive Bayes being chosen as the technique to be adopted and improved due to its high scalability and fast classification rate, especially for large datasets like Twitter data.</t>
  </si>
  <si>
    <t>Accuracy, Training Time, Advantages, Disadvantages</t>
  </si>
  <si>
    <t>The study provided performance metrics and reported values for several machine learning models, including Support Vector Machine (SVM), Neural Network, and Naive Bayes. Here are the performance metrics and their reported values:
 - **Support Vector Machine (SVM):**
  - Accuracy: High
  - Training Time: High
  - Advantages: Can better cope with many noisy features; easy to use with few parameters
  - Disadvantages: Long training time needed
 - **Neural Network:**
  - Accuracy: Low
  - Training Time: High
  - Advantages: Not specified in the given context
  - Disadvantages: Long training time needed
 - **Naive Bayes:**
  - Accuracy: Medium
  - Training Time: Low
  - Advantages: High scalability of data; fast classification rate
  - Disadvantages: Low accuracy if using less training data</t>
  </si>
  <si>
    <t>The social network used for data collection was Twitter. The data were collected from Twitter's streaming API based on specific criteria such as keywords related to terrorism.</t>
  </si>
  <si>
    <t>[35] ICDCIT2015</t>
  </si>
  <si>
    <t>Religious terms, Offensive words, Slang, Negative emotions, Punctuations, War related terms</t>
  </si>
  <si>
    <t>In this study, the following features were used to train machine learning models:
 - Religious terms
 - Offensive words
 - Slang
 - Negative emotions
 - Punctuations
 - War related terms
 These features were identified through the frequency distribution analysis of terms present in the training and testing datasets. The study also noted that internet slangs and exclamation marks are less important but still contribute slightly to the overall accuracy.</t>
  </si>
  <si>
    <t>45,344,958</t>
  </si>
  <si>
    <t>The size of the analyzed dataset was 45,344,958 English language tweets after discarding non-English tweets.</t>
  </si>
  <si>
    <t>Support Vector Machine (SVM), K-Nearest Neighbors (KNN)</t>
  </si>
  <si>
    <t>In this study, two machine learning algorithms were used for the one-class classification task: Support Vector Machine (SVM) and K-Nearest Neighbors (KNN).</t>
  </si>
  <si>
    <t>KNN classifier, LibSVM classifier</t>
  </si>
  <si>
    <t>For the KNN classifier, the performance metrics and their reported values were:
 - Precision: 0.48
 - Recall: 0.81
 - True Negative Rate (TNR): 0.92
 - Negative Predictive Value (NPV): 0.98
 - F-Score: 0.60
 - Accuracy: 0.90
 For the LibSVM classifier, the performance metrics and their reported values were:
 - Precision: 0.78
 - Recall: 0.88
 - True Negative Rate (TNR): 0.98
 - Negative Predictive Value (NPV): 0.99
 - F-Score: 0.83
 - Accuracy: 0.97</t>
  </si>
  <si>
    <t xml:space="preserve">[58] A_Framework_for_Predicting_and_Identifyi
</t>
  </si>
  <si>
    <t>Nouns, nominal adjectives, noun phrases, patterns, frequency, length, pattern weights, matching scores</t>
  </si>
  <si>
    <t>In this study, the machine learning models were trained using several features derived from WhatsApp group chat logs. These features include:
 1. Nouns, nominal adjectives, and noun phrases extracted from the chat logs.
 2. Patterns mined using SPMining and NSPMining methods.
 3. Frequency of these patterns in the chat logs.
 4. Length of the patterns.
 5. Human intervention to assign a weight (0 or 1) indicating the relevance of the pattern to the topic of interest.
 6. Pattern weights calculated based on frequency and length.
 7. Matching scores between patterns in the test data and stored patterns in the database.
 These features were processed and analyzed using natural language processing techniques and pattern mining algorithms to train the semi-supervised machine learning models.</t>
  </si>
  <si>
    <t>not specified</t>
  </si>
  <si>
    <t>The provided context does not specify the exact size of the analyzed dataset. It describes the methodology and framework for analyzing WhatsApp group chat logs but does not mention the number of chat logs or messages processed.</t>
  </si>
  <si>
    <t>FP-growth, SPMining, NSPMining, string-wise keyword matching, Naïve Bayes</t>
  </si>
  <si>
    <t>In this study, the researchers used natural language processing techniques and semi-supervised machine learning. Specifically, they utilized the FP-growth algorithm for pattern mining, SPMining and NSPMining methods for searching sequential and non-sequential patterns, and stored the data in a SQL database. Additionally, they employed a string-wise keyword matching algorithm and a Naïve Bayes classifier in some related work, but these were not mentioned as the primary machine learning algorithms used in this particular study.</t>
  </si>
  <si>
    <t>No information provided</t>
  </si>
  <si>
    <t>The provided context does not include any information about machine learning models or their performance metrics. The context focuses on a framework for predicting and identifying radicalization using pattern mining techniques and natural language processing. It describes the process of pattern mining, frequency calculation, and scoring but does not mention any specific machine learning models or their performance metrics.</t>
  </si>
  <si>
    <t>The social network or platform used for data collection was WhatsApp. The authors gathered WhatsApp group message data related to provoking riots and civil unrest, although they had to create synthetic data based on dark web datasets due to security issues in collecting real WhatsApp chat data directly from such groups.</t>
  </si>
  <si>
    <t>[33] 8657a161</t>
  </si>
  <si>
    <t>stylometric features, time-based features, sentiment-based features</t>
  </si>
  <si>
    <t>In this study, machine learning models were trained using a combination of stylometric features, time-based features, and sentiment-based features. Specifically, the study used 853 stylometric features, 36 time-based features, and 4 sentiment-based features.</t>
  </si>
  <si>
    <t>not explicitly stated</t>
  </si>
  <si>
    <t>The size of the analyzed dataset is not explicitly stated in the provided context. The context mentions that the dataset contains tweets related to ISIS, but the exact number of tweets is not specified.</t>
  </si>
  <si>
    <t>In this study, AdaBoost was used as one of the machine learning algorithms for classifying tweets. The SVM (Support Vector Machine) classifier was also mentioned in the context, though it was used in a different study. AdaBoost performed very well with 100% accuracy on the test set when using the datasets TW-PRO and TW-RAND with the features (S + T + SB).</t>
  </si>
  <si>
    <t>AdaBoost, SVM, Naive Bayes, TW-RAND, TW-PRO, TW-CON, S + T + SB, full dataset, accuracy</t>
  </si>
  <si>
    <t>In the study, the performance metrics for each machine learning model were reported as follows:
 - **AdaBoost**:
  - On TW-RAND and TW-PRO datasets with features (S + T + SB): 100% accuracy.
  - On TW-CON and TW-PRO datasets with features (S + T + SB): 99.5% accuracy.
  - On the full dataset with all features (S + T + SB): 100% accuracy.
 - **SVM**:
  - On TW-RAND and TW-PRO datasets with features (S + T + SB): 98.5% accuracy.
  - On TW-CON and TW-PRO datasets with features (S + T + SB): 97.9% accuracy.
  - On the full dataset with all features (S + T + SB): 97.9% accuracy.
 - **Naive Bayes**:
  - On TW-RAND and TW-PRO datasets with features (S + T + SB): 99.9% accuracy.
  - On TW-CON and TW-PRO datasets with features (S + T + SB): 89.0% accuracy.
  - On the full dataset with all features (S + T + SB): 89.0% accuracy.
 These metrics indicate that AdaBoost generally performed the best across different datasets and feature sets, achieving 100% accuracy in multiple scenarios.</t>
  </si>
  <si>
    <t>[55] Sentiment_analysis_of_extremism_in_socia</t>
  </si>
  <si>
    <t>Tf-idf terms weighting, Stopwords removal, Common vectorizer, Univariate selection, Principal Component Analysis, Features based on importance</t>
  </si>
  <si>
    <t>In this study, several features were used to train machine learning models for sentiment analysis of extremism in social media. These features included:
 1. **Tf-idf terms weighting**: This method was used to assign weights to important words for appropriate classification of the contents, helping to avoid the overlooking of important words with lesser counts.
 2. **Stopwords removal**: Uninformative words such as 'and', 'the', 'him', 'wo', 'ya', 'aur', etc., were removed to avoid wrong prediction patterns.
 3. **Common vectorizer (Count Vectorizer)**: This process was used to extract words in n-gram form, ensuring that words not present in the training text would be ignored in future calls to transform.
 4. **Univariate selection**: Features were selected based on their strongest associations with the output variable using measurable tests, with the SelectKBest class from the scikit-learn library.
 5. **Principal Component Analysis (PCA)**: This method was used to reduce the dimensionality of the dataset, allowing the selection of a specified number of principal components.
 6. **Features based on importance**: The Linear Support Vector Classifier with L1-based feature selection was used to decide important features, focusing on non-zero coefficients for dimensionality reduction.
 These features were processed and selected to improve the performance of the machine learning models, specifically the Linear Support Vector Classifier and Multinomial Naive Bayes, for classifying the sentiment of text related to extremism.</t>
  </si>
  <si>
    <t>The size of the analyzed dataset was 19,497. This can be seen from both Table 9 and Table 19, where the total dataset size is consistently listed as 19,497.</t>
  </si>
  <si>
    <t>Linear Support Vector Classifier, Multinomial Naïve Bayes</t>
  </si>
  <si>
    <t>In this study, two machine learning algorithms were used for classification: Linear Support Vector Classifier and Multinomial Naïve Bayes.</t>
  </si>
  <si>
    <t>Accuracy, Micro-average ROC curve, Macro-average ROC curve, ROC curve of class 0, ROC curve of class 1, ROC curve of class 2, ROC curve of class 3, Accuracy, Precision and recall for different classes, Average/total precision and recall</t>
  </si>
  <si>
    <t>For the Linear Support Vector Classifier, the performance metrics and their reported values were as follows:
 - Accuracy: 82.23%
 - Micro-average ROC curve (area = 0.91)
 - Macro-average ROC curve (area = 0.88)
 - ROC curve of class 0 (area = 0.96)
 - ROC curve of class 1 (area = 0.90)
 - ROC curve of class 2 (area = 0.67)
 - ROC curve of class 3 (area = 0.97)
 For the Multinomial Naive Bayes model, the performance metrics and their reported values were as follows:
 - Accuracy: 66%
 - Precision and recall for different classes:
  - Moderate: Precision = 0.68, Recall = 0.75
  - Neutral: Precision = 0.67, Recall = 0.46
  - Low Extreme: Precision = 0.44, Recall = 0.30
  - Highly Extreme: Precision = 0.71, Recall = 0.88
 - Average/total precision and recall: 0.65 and 0.66, respectively</t>
  </si>
  <si>
    <t>Facebook, ARY news, Ptv news, Dawn, The News, Samaa, Express, Dunya news, Geo</t>
  </si>
  <si>
    <t>Facebook was used for data collection, along with other news pages such as ARY news, Ptv news, Dawn, The News, Samaa, Express, Dunya news, and Geo.</t>
  </si>
  <si>
    <t>[56] aci-12-2021-0326</t>
  </si>
  <si>
    <t>Filtering duplicate tweets, Tokenizing into uni/bi/tri-grams, Removing diacritic marks, Deleting repeated letters, Removing Persian letters similar to Arabic ones, Lemmatizing</t>
  </si>
  <si>
    <t>In this study, the machine learning models were trained using several features derived from the preprocessing of Twitter data. These features included:
 1. Filtering duplicate tweets.
 2. Tokenizing the tweets into uni/bi/tri-grams.
 3. Removing diacritic marks.
 4. Normalizing by deleting repeated letters and removing Persian letters similar to Arabic ones.
 5. Lemmatizing the dataset to remove inflectional endings and unnecessary word beginnings, leaving only the lemma of the words.
 The lemmatized dataset produced the best accuracy and was used for reporting the results.</t>
  </si>
  <si>
    <t>23,870 tweets</t>
  </si>
  <si>
    <t>The size of the analyzed dataset, after removing duplicates, was 23,870 tweets. This number refers to the lemmatized data, which produced the best accuracy according to the document.</t>
  </si>
  <si>
    <t>K-nearest neighbor (KNN), Bernoulli Naive Bayes (BNB), support vector machine (SVM), one-against-all (OAA), all-against-all (AAA)</t>
  </si>
  <si>
    <t>The machine learning algorithms used in this study included K-nearest neighbor (KNN), Bernoulli Naive Bayes (BNB), and support vector machine (SVM) with both one-against-all (OAA) and all-against-all (AAA) approaches.</t>
  </si>
  <si>
    <t>KNN, Bernoulli Naive Bayes (BNB), Support Vector Machine One-Against-One (SVM-OAA), Support Vector Machine One-Against-All (SVM-OAO)</t>
  </si>
  <si>
    <t>The performance metrics and their reported values for each machine learning model in the study are as follows:
 - **KNN**: Precision (P) = 54.6%, Recall = 22%, F1-score = 31.6%
 - **Bernoulli Naive Bayes (BNB)**: Precision (P) = 67.1%, Recall = 74%, F1-score = 70.3%
 - **Support Vector Machine One-Against-One (SVM-OAA)**: Precision (P) = 77.9%, Recall = 76.6%, F1-score = 75.3%
 - **Support Vector Machine One-Against-All (SVM-OAO)**: Precision (P) = 75.3%, Recall = 75.3%, F1-score = 76.3%
 These values are reported for the lemmatized data. The metrics are percentages and represent the performance of the models in classifying tweets into three categories: Non-Terrorist (N), Unrelated (U), and Terrorist (T).</t>
  </si>
  <si>
    <t>The social network used for data collection was Twitter.</t>
  </si>
  <si>
    <t>[51] 1701.04931v1</t>
  </si>
  <si>
    <t>Document sentiment vector, Semantic sentiment, Emotion tagging, Writing tone, Social tone of a text, Semantic tagging</t>
  </si>
  <si>
    <t>In this study, the following features were used to train machine learning models:
 - Document sentiment vector (F4)
 - Semantic sentiment (F2)
 - Emotion tagging (F3)
 - Writing tone (F4, which includes Analytical, Confident, and Tentative)
 - Social tone of a text (F5)
 - Semantic tagging (F2)
 These features were grouped into categories such as Topic Modeling, Tone Analysis, and Semantic Tagging, and were used in conjunction with different classifiers like Decision Tree, Naive Bayes, and Random Forest to evaluate their impact on intent classification.</t>
  </si>
  <si>
    <t>3,228 text posts, 2,224 unique bloggers</t>
  </si>
  <si>
    <t>The size of the analyzed dataset was 3,228 text posts made by 2,224 unique bloggers.</t>
  </si>
  <si>
    <t>Random Forest, Naive Bayes, Decision Tree</t>
  </si>
  <si>
    <t>This study used three different one-class classifiers: Random Forest (RF), Naive Bayes (NB), and Decision Tree (DT).</t>
  </si>
  <si>
    <t>Random Forest, Naive Bayes, Decision Tree, Precision, Recall, Test-Data1, Test-Data2</t>
  </si>
  <si>
    <t>The performance metrics and their reported values for each machine learning model in the study are as follows:
 - **Random Forest (RF):**
  - Precision: 0.78 (for Test-Data1) and 0.81 (for Test-Data2)
  - Recall: 0.82 (for Test-Data1) and 0.84 (for Test-Data2)
 - **Naive Bayes (NB):**
  - Precision: 0.74 (for Test-Data1) and 0.78 (for Test-Data2)
  - Recall: 0.79 (for Test-Data1) and 0.83 (for Test-Data2)
 - **Decision Tree (DT):**
  - Precision: 0.72 (for Test-Data1) and 0.75 (for Test-Data2)
  - Recall: 0.79 (for Test-Data1) and 0.82 (for Test-Data2)
 These values are reported in the table under the section "PERFORMANCE EVALUATION METRICS FOR INTENT CLASSIFICATION."</t>
  </si>
  <si>
    <t>The data was collected from the Tumblr microblogging website.</t>
  </si>
  <si>
    <t>[54] applsci-09-03723-v2</t>
  </si>
  <si>
    <t>In this study, machine learning models were trained using TF-IDF based features computed from n-gram terms in the tweets. Additionally, PCA-based transformed reduced features obtained through the original TF-IDF features were also used to reduce the dimensions of the dataset while preserving maximum structure (in terms of variance preservation).</t>
  </si>
  <si>
    <t>400, 600, 1000</t>
  </si>
  <si>
    <t>The analyzed dataset was divided into three subsets for the purpose of measuring the performance of classifiers, with each subset containing 400, 600, and 1000 tweet samples respectively.</t>
  </si>
  <si>
    <t>Support Vector Machine, naïve Bayes', decision tree, random forest, KNN, bagging, boosting</t>
  </si>
  <si>
    <t>In this study, the following machine learning algorithms were used: Support Vector Machine (SVM), naïve Bayes', decision tree, random forest, KNN, and ensemble classification methods (with bagging and boosting).</t>
  </si>
  <si>
    <t>Accuracy, Precision, Recall, F-Score</t>
  </si>
  <si>
    <t>The performance metrics and their reported values for each machine learning model in the study are as follows:
 - **Naïve Bayes**
  - Accuracy: 83.16%
  - Precision: 82.81%
  - Recall: 80.2%
  - F-Score: 81.48%
 - **Support Vector Machine (SVM)**
  - Accuracy: 80.73% (Unigram)
  - Accuracy: 84.71% (Bigram)
  - Precision: 80.65% (Unigram)
  - Precision: 85.18% (Bigram)
  - Recall: 77.21% (Unigram)
  - Recall: 83.15% (Bigram)
  - F-Score: 78.89% (Unigram)
  - F-Score: 84.15% (Bigram)
 - **Decision Tree**
  - Accuracy: 76.06%
  - Precision: 79.56%
  - Recall: 69.28%
  - F-Score: 74.06%
 - **Random Forest**
  - Accuracy: 70.7%
  - Precision: 74.04%
  - Recall: 70.04%
  - F-Score: 71.98%
 - **K-Nearest Neighbors (KNN)**
  - Accuracy: 74.78%
  - Precision: 73.05%
  - Recall: 72.82%
  - F-Score: 72.93%
 - **Bagging**
  - Accuracy: 83.12%
  - Precision: 82.21%
  - Recall: 81.01%
  - F-Score: 81.61%
 - **Boosting**
  - Accuracy: 81.81%
  - Precision: 80.30%
  - Recall: 78.56%
  - F-Score: 79.42%
 These metrics were evaluated using a 10-fold cross-validation method on the Twitter dataset, which included features derived from unigrams, bigrams, and PCA-based reduced features.</t>
  </si>
  <si>
    <t>The study used Twitter as the social network or platform for data collection.</t>
  </si>
  <si>
    <t>[48] IdentifyingRadicalSocialMediaPostsusingMachineLearning</t>
  </si>
  <si>
    <t>stylometric features, time pattern features, stemming</t>
  </si>
  <si>
    <t>In this study, machine learning models were trained using a total of 613 features, which were categorized into two types: stylometric features (SF) and time pattern features (TF). These features were derived from the tweets to help classify them as radical or not. Additionally, the system reduced derivationally related forms and inflectional forms of words to a common base word through stemming, to ensure consistency in feature representation.</t>
  </si>
  <si>
    <t>57,698 tweets</t>
  </si>
  <si>
    <t>The analyzed dataset, referred to as TT FEATURE, consisted of approximately 57,698 tweets, with 48,644 of those tweets being unique.</t>
  </si>
  <si>
    <t>Naive Bayes, SVM, Adaboost Classification, Random Forest Classification</t>
  </si>
  <si>
    <t>In this study, the following machine learning algorithms were used: Naive Bayes, SVM (Support Vector Machines), Adaboost Classification, and Random Forest Classification.</t>
  </si>
  <si>
    <t>accuracies, precision, recall, F1-score</t>
  </si>
  <si>
    <t>The context provided does not include specific performance metrics and their reported values for each machine learning model used in the study. It mentions that accuracies of each classifier (SVM, Naive Bayes, and AdaBoost) were calculated, but it does not provide the exact values. For a detailed performance analysis, including metrics like accuracy, precision, recall, and F1-score, you would need to refer to the specific results section or tables in the document.</t>
  </si>
  <si>
    <t>The data was collected from Twitter.</t>
  </si>
  <si>
    <t>[49] 1907.12368v2</t>
  </si>
  <si>
    <t>bag-of-words, SVM, Random Forest, MaxEnt</t>
  </si>
  <si>
    <t>In this study, various features were used to train machine learning models. For instance, the bag-of-words technique was employed to build a term document matrix. Additionally, SVM, Random Forest, and MaxEnt algorithms were implemented to classify texts as radical or not radical. The Random Forest method considers multiple decision trees to predict classes, while SVM focuses on finding a hyperplane to classify data points. The MaxEnt classifier selects the model with the largest entropy that fits the training data. These models were compared using performance measures such as precision, recall, and F-score, as detailed in Table 6.</t>
  </si>
  <si>
    <t>61,601 records</t>
  </si>
  <si>
    <t>The size of the analyzed dataset was 61,601 records, collected from online social media sources such as blogs, articles, and Twitter.</t>
  </si>
  <si>
    <t>SVM, Random Forest, MaxEnt</t>
  </si>
  <si>
    <t>In this study, the following machine learning algorithms were used: SVM (Support Vector Machine), Random Forest, and MaxEnt (Maximum Entropy Classifier).</t>
  </si>
  <si>
    <t>Feedforward NN, Random Forest, SVM, MaxEnt</t>
  </si>
  <si>
    <t>The performance metrics and their reported values for each machine learning model in the study are as follows:
 - **Feedforward NN**: Precision - 85.96%, Recall - 53.26%, F-score - 65.77%
 - **Random Forest**: Precision - 73.50%, Recall - 64.00%, F-score - 65.55%
 - **SVM**: Precision - 53.50%, Recall - 50.50%, F-score - 45.00%
 - **MaxEnt**: Precision - 69.50%, Recall - 68.00%, F-score - 68.55%
 These values are derived from Table 6, which lists the different performance measures of the models expressed in percentage.</t>
  </si>
  <si>
    <t>Twitter,Blogs,Articles,News</t>
  </si>
  <si>
    <t>The data was collected from social media platforms including Blogs, Articles, Twitter, and News.</t>
  </si>
  <si>
    <t>[50] Discovering_Hidden_Networks_in_On-line_Social_Netw</t>
  </si>
  <si>
    <t>security dictionaries, security-related features, security association rules</t>
  </si>
  <si>
    <t>In this study, the documents were vectorized according to security dictionaries, incorporating security-related features. The presence of terms relevant to security was considered more important than their frequency of occurrence. Security association rules were determined and pruned to reveal final new categories of topics, which were then used for message classification. These features were used to train the machine learning models for message classification and topic-based social network analysis.</t>
  </si>
  <si>
    <t>10,000 tweets</t>
  </si>
  <si>
    <t>The analyzed dataset consisted of tweets captured for a week, with each excel file storing 10,000 tweets. Therefore, the total size of the analyzed dataset was at least 10,000 tweets per file, and the exact total would depend on the number of files created during the week-long data capture.</t>
  </si>
  <si>
    <t>No specific algorithms mentioned</t>
  </si>
  <si>
    <t>The context provided does not specify the exact machine learning algorithms used in this study. It focuses more on the methodology for capturing and analyzing data from Twitter using a customized crawler and does not detail the specific algorithms applied to uncover hidden networks.</t>
  </si>
  <si>
    <t>No metrics reported</t>
  </si>
  <si>
    <t>The provided context does not include any specific performance metrics or their reported values for machine learning models. The text focuses on the methodology and approach for discovering hidden networks in online social networks, including data capture, message filtering, topic-based social network analysis, and temporal category ranking. There is no mention of machine learning models or their performance metrics in the given context.</t>
  </si>
  <si>
    <t>[21] PID5934311</t>
  </si>
  <si>
    <t>FT (tf-idf), FT (word2vec), FB (behavioral), FP (psychological profile)</t>
  </si>
  <si>
    <t>In this study, multiple features were used to train machine learning models, including:
 - FT (tf-idf) and FT (word2vec) features
 - FB (behavioral) features
 - FP (psychological profile) features
 The study also utilized different combinations of these feature categories (FT, FB, FP) and found that the FP feature group contributed significantly to the high accuracy of the model. Additionally, the word2vec embedding was found to outperform the tf-idf features in terms of performance.</t>
  </si>
  <si>
    <t>37, 000 tweets</t>
  </si>
  <si>
    <t>The analyzed dataset consisted of around 17, 000 tweets posted by more than 100 users, which were pro-ISIS accounts. Additionally, there was a random-good dataset with around 8, 000 tweets published by around 1, 000 users. A third dataset had 122, 000 tweets from around 95, 000 users collected on two separate days, but after removing suspended users, it contained 98, 000 tweets. The total size of the analyzed datasets is approximately 37, 000 tweets.</t>
  </si>
  <si>
    <t>Random Forest, Neural Networks, Support Vector Machines, K-Nearest Neighbors</t>
  </si>
  <si>
    <t>In this study, the researchers experimented with multiple classification algorithms including Random Forest (RF), Neural Networks (NN), Support Vector Machines (SVM), and K-Nearest Neighbors (KNN). However, due to space limitations, they only reported the results obtained using the Random Forest model.</t>
  </si>
  <si>
    <t>In the study, the performance metrics and their reported values for each machine learning model, specifically using the Random Forest (RF) model, are as follows:
 - For Exp 1, the performance metrics and their values are:
  - FT (tf-idf): Accuracy (AC) = 0.56, Precision = 0.69, Recall = 0.56, F-measure = 0.48
  - FT (w2v): AC = 0.73, Precision = 0.73, Recall = 0.73, F-measure = 0.73
  - FT: AC = 0.80, Precision = 0.80, Recall = 0.80, F-measure = 0.80
  - FB: AC = 0.91, Precision = 0.92, Recall = 0.91, F-measure = 0.91
  - FP: AC = 1.0, Precision = 1.0, Recall = 1.0, F-measure = 1.0
  - FALL (all features combined): AC = 1.0, Precision = 1.0, Recall = 1.0, F-measure = 1.0
 - For Exp 2, the performance metrics and their values are:
  - FT (tf-idf): AC = 0.56, Precision = 0.69, Recall = 0.56, F-measure = 0.48
  - FT (w2v): AC = 0.73, Precision = 0.73, Recall = 0.73, F-measure = 0.73
  - FT: AC = 0.80, Precision = 0.80, Recall = 0.80, F-measure = 0.80
  - FB: AC = 0.91, Precision = 0.92, Recall = 0.91, F-measure = 0.91
  - FP: AC = 1.0, Precision = 1.0, Recall = 1.0, F-measure = 1.0
  - FALL: AC = 1.0, Precision = 1.0, Recall = 1.0, F-measure = 1.0
 The study used Random Forest (RF) with 100 estimators and a maximum depth of 50, and gini impurity as the split criteria. The out-of-bag (oob) score was used to estimate the generalization accuracy of the model. The study also applied cost-sensitive learning to make the RF model more suitable for imbalanced data.</t>
  </si>
  <si>
    <t>[13] agarwal2014</t>
  </si>
  <si>
    <t>titles, profile information</t>
  </si>
  <si>
    <t>In this study, the machine learning models were trained using discriminatory features such as the titles of videos uploaded, shared, favorited, and commented by the users, along with their profile information. These features were extracted from the 35 positive class channels (promoting hate and extremism) using the YouTube API.</t>
  </si>
  <si>
    <t>The analyzed dataset consisted of 612 videos, which were derived from 35 user-ids used as training profiles.</t>
  </si>
  <si>
    <t>character n-gram based language modeling</t>
  </si>
  <si>
    <t>The study used a character n-gram based language modeling approach to build a statistical model from the training profiles. However, the specific machine learning algorithms used in this study are not detailed in the provided context.</t>
  </si>
  <si>
    <t>True Positives, False Negatives, False Positives, True Negatives, Misclassification Rates</t>
  </si>
  <si>
    <t>The study did not report performance metrics for multiple machine learning models. Instead, it focused on a focused crawler approach using a best-first search strategy. The performance was evaluated through a confusion matrix for binary classification during the Best-First Search approach. The reported values from the confusion matrix are:
 - True Positives (Relevant and Predicted as Relevant): 921
 - False Negatives (Relevant but Predicted as Irrelevant): 314
 - False Positives (Irrelevant but Predicted as Relevant): 125
 - True Negatives (Irrelevant and Predicted as Irrelevant): 67
 The overall misclassification rates were:
 - 25.42% in predicting relevant users
 - 65.10% in predicting irrelevant users</t>
  </si>
  <si>
    <t>The social network or platform used for data collection was YouTube.</t>
  </si>
  <si>
    <t>[34] Detecting-multipliers-of-jihadism_FOI-S--5656--SE</t>
  </si>
  <si>
    <t>data dependent features, data independent features</t>
  </si>
  <si>
    <t>In this study, two different sets of features were used to train machine learning models: data dependent features and data independent features. Data dependent features include the most common hashtags, most common word bigrams, most common letter bigrams, and the most frequent words. These features are influenced by the specific dataset and are particularly useful for the specific topic or domain of interest, although the results may not be generalizable to different datasets. Data independent features, on the other hand, are not dependent on the specific dataset and were used alongside data dependent features to improve classification accuracy.</t>
  </si>
  <si>
    <t>Not explicitly stated</t>
  </si>
  <si>
    <t>The size of the analyzed dataset is not explicitly stated in the provided context. However, the context mentions that the datasets used in the experiments include various sizes, such as 93, 742, 81, 256, 27,753, 60,000, 16,000, and 45,013 tweets. Additionally, a set of 45 tweeps manually identified as multipliers of jihadism and a set of tweets containing specific hashtags related to ISIS were also analyzed.</t>
  </si>
  <si>
    <t>AdaBoost, Support Vector Machine</t>
  </si>
  <si>
    <t>In this study, the AdaBoost classifier was used for the experiments. Additionally, a Support Vector Machine (SVM) with default parameters was also considered but not used in the experiments.</t>
  </si>
  <si>
    <t>AdaBoost Classifier, Support Vector Machine (SVM)</t>
  </si>
  <si>
    <t>In the study, the performance metrics and their reported values for each machine learning model are as follows:
 1. **AdaBoost Classifier**:
  - For Arabic tweets:
  - Data independent features: Accuracy = 0.824, Precision = 0.4738
  - Data dependent features: Accuracy = 0.8466, Precision = 0.5111
  - Data dependent and data independent features: Accuracy = 0.8638, Precision = 0.5691
  - For English tweets:
  - Data independent features: Accuracy = 0.994, Precision = 0.9528
  - Data dependent features: Accuracy = 1.0, Precision = 1.0
  - Data dependent and data independent features: Accuracy = 1.0, Precision = 1.0
 2. **Support Vector Machine (SVM)**:
  - The SVM was used with default parameters, but specific performance metrics were not detailed in the provided context.</t>
  </si>
  <si>
    <t>[53] moderates17acl</t>
  </si>
  <si>
    <t>Unigrams, LIWC, Word2Vec Clusters</t>
  </si>
  <si>
    <t>In this study, the following features were used to train machine learning models:
 - Unigrams: A bag-of-words representation of the user's posting history, reduced to a normalized frequency distribution over the vocabulary consisting of all words used by at least 10% of the users (6,060 words).
 - LIWC: A dictionary-based approach to representing text, automatically counting word frequencies for 64 different categories based on psychological theory.
 - Word2Vec Clusters: Automatically generated word clusters that help reduce the feature space and provide additional interpretability. These clusters were created using an automatic method that leverages word co-occurrence patterns in large corpora, and the best performing feature set contained 500 Word2Vec clusters.
 These features were used in various machine learning models, including logistic regression, and were evaluated for their predictive power in different tasks and setups.</t>
  </si>
  <si>
    <t>3,938 users</t>
  </si>
  <si>
    <t>The analyzed dataset consisted of 3,938 users.</t>
  </si>
  <si>
    <t>Linear regression, Elastic Net regularizer</t>
  </si>
  <si>
    <t>In this study, a linear regression algorithm with an Elastic Net regularizer was used. The research employed this method for predicting political leaning and engagement. Specifically, the linear regression was implemented using ScikitLearn. No other explicit machine learning algorithms such as Word2Vec, GloVe, or neural networks were mentioned in the provided context.</t>
  </si>
  <si>
    <t>Baseline, Logistic Regression (LR), Gradient Boosting with Engagement (GR–Engagement), Gradient Boosting with Leaning (GR–Leaning), Gradient Boosting with Learnt (GR–Learnt)</t>
  </si>
  <si>
    <t>The performance metrics and their reported values for each machine learning model in the study are as follows:
 - **Baseline**: 19.6% accuracy
 - **Logistic Regression (LR)**: 22.2% accuracy
 - **Gradient Boosting with Engagement (GR–Engagement)**: 24.2% accuracy
 - **Gradient Boosting with Leaning (GR–Leaning)**: 26.2% accuracy
 - **Gradient Boosting with Learnt (GR–Learnt)**: 27.6% accuracy
 These accuracies were reported for a seven-way classification using multi-task learning, with 500 Word2Vec clusters as features. The table also includes other metrics such as the number of features used and their respective predictive accuracies for political leaning and engagement.</t>
  </si>
  <si>
    <t>Qualtrics</t>
  </si>
  <si>
    <t>The data collection used the Qualtrics platform to recruit participants.</t>
  </si>
  <si>
    <t>[23] 1902.01577v1</t>
  </si>
  <si>
    <t>Twitter handle’s related features, Profile related features, Content related features</t>
  </si>
  <si>
    <t>In this study, the machine learning models were trained using features categorized into three major groups:
 1. **Twitter handle’s related features**: This includes the length of the handle, the number of unique characters in the handle, and the complexity of the handle, which is approximated using the entropy of the handle.
 2. **Profile related features**: This group contains features such as the number of followers, friends, and tweets, the existence of a profile description and location, and whether the account is verified and geo-enabled.
 3. **Content related features**: These features are related to the content of the given tweet and include the number of URLs, the number of hashtags, and the sentiment of the content, specifically checking if the content has a higher negative score than its positive score.</t>
  </si>
  <si>
    <t>The size of the analyzed dataset was approximately 1.6 million tweets, which were posted using 25 extremism-related hashtags. After filtering, the dataset consisted of 300,000 highly extremism-related tweets.</t>
  </si>
  <si>
    <t>Laplacian support vector machines, LabelSpreading with RBF and KNN kernels, co-training learner with two SVMs, SVM, KNN, Gaussian naïve Bayes, logistic regression, AdaBoost, random forest, Char-LSTM</t>
  </si>
  <si>
    <t>In this study, the following machine learning algorithms were used:
 - Semi-Supervised: Laplacian support vector machines (SVM), graph inference-based label spreading approach (LabelSpreading) with radial basis function (RBF) and K-nearest neighbor (KNN) kernels, and co-training learner with two SVMs.
 - Supervised: SVM, KNN, Gaussian naïve Bayes, logistic regression, AdaBoost, random forest, and Char-LSTM.</t>
  </si>
  <si>
    <t>SVM, Char-LSTM, LabelSpreading (RBF), Laplacian SVM, LabelSpreading (KNN), Co-Training (SVM), KNN, Gaussian NB, Logistic Regression, AdaBoost, Random Forest</t>
  </si>
  <si>
    <t>The performance metrics and their reported values for each machine learning model in the study are as follows:
 - SVM: Precision = 0.96, Recall = 0.5, F1-score = 0.65
 - Char-LSTM: Precision = 0.77, Recall = 0.76, F1-score = 0.76
 - LabelSpreading (RBF): Precision = 0.85, Recall = 0.69, F1-score = 0.76
 - Laplacian SVM: Precision = 0.89, Recall = 0.6, F1-score = 0.7
 - LabelSpreading (KNN): Precision = 0.83, Recall = 0.67, F1-score = 0.73
 - Co-Training (SVM): Precision = 0.9, Recall = 0.53, F1-score = 0.66
 - KNN: Precision = 0.81, Recall = 0.7, F1-score = 0.74
 - Gaussian NB: Precision = 0.89, Recall = 0.56, F1-score = 0.69
 - Logistic Regression: Precision = 0.76, Recall = 0.61, F1-score = 0.67
 - AdaBoost: Precision = 0.88, Recall = 0.58, F1-score = 0.69
 - Random Forest: Precision = 0.79, Recall = 0.71, F1-score = 0.74</t>
  </si>
  <si>
    <t>The social network or platform used for data collection is Twitter.</t>
  </si>
  <si>
    <t>[20] Thabit-HybridizedTerm-WeightingMethod_Revised_Final_s</t>
  </si>
  <si>
    <t>TF-IDF, lexical, syntactic, stylistic, domain-specific BoW, PoS, n-grams, HTW, SVM, KNN</t>
  </si>
  <si>
    <t>In this study, various features were used to train machine learning models. For text classification, features included term weighting methods such as TF-IDF, as well as other statistical text representations like lexical, syntactic, stylistic, domain-specific Bag of Words (BoW), Parts of Speech (PoS), and n-grams. Additionally, the Hybridized Term-Weighting (HTW) method was applied, where a series of feature sets were constructed by hybridizing the top K features from a Vector Space Model (VSM) matrix. These feature sets were used in different views for classification. The classifiers used included Support Vector Machine (SVM) with a linear kernel and k-Nearest Neighbors (KNN) with K set to 25 and an Euclidean distance function.</t>
  </si>
  <si>
    <t>The size of the analyzed dataset was not explicitly stated in the provided context. However, it mentions that thousands of Arabic web pages were downloaded from the DWFP (Dar al-Ifta al-Misriya Forum) for the experiment. Additionally, non-dark files were added from the Open Source Arabic Corpora (OSAC), which includes 22,429 Arabic text documents. Therefore, while the exact total number is not given, the dataset likely includes thousands of pages from DWFP plus 22,429 documents from OSAC.</t>
  </si>
  <si>
    <t>Support Vector Machine, Extreme Learning Machine</t>
  </si>
  <si>
    <t>In this study, several machine learning algorithms were used for text classification. Specifically, the research applied Support Vector Machine (SVM) and Extreme Learning Machine (ELM) as the benchmark classifiers. These algorithms were utilized to validate the proposed method and compare its performance against well-established techniques in the domain of text categorization.</t>
  </si>
  <si>
    <t>SVM, KNN, Decision Tree, Naive Bayes, Extreme Learning Machine</t>
  </si>
  <si>
    <t>In the study, the following machine learning models were evaluated for their performance metrics:
 - **Support Vector Machine (SVM)**:
  - F-measure: 80.80, 90.10, 92.80, 92.20, 90.00
  - Accuracy: 77.80, 89.00, 92.70, 91.80, 90.00
  - Mean number of features: 500, 690, 803, 909, 916
 - **K-Nearest Neighbors (KNN)**:
  - F-measure: 85.65, 86.48, 85.68, 88.94, 87.89
  - Accuracy: 83.88, 85.08, 83.71, 88.00, 87.10
  - Mean number of features: 500, 690, 803, 909, 1431
 - **Decision Tree (DT)**:
  - F-measure: 37.82, 44.09, 49.14, 41.74, 54.55
  - Accuracy: 50.00, 50.00, 50.00, 50.00, 50.00
  - Mean number of features: 500, 690, 803, 909, 1431
 - **Naive Bayes (NB)**:
  - F-measure: 7.43, 1.88, 6.49, 11.04, 15.52
  - Accuracy: 50.48, 49.79, 50.53, 51.56, 53.20
  - Mean number of features: 500, 690, 803, 909, 1431
 - **Extreme Learning Machine (ELM)**:
  - F-measure: 83.42, 84.76, 85.44, 86.97, 86.47
  - Accuracy: 81.82, 83.36, 84.66, 86.42, 86.60
  - Mean number of features: 500, 690, 803, 909, 916
 These performance metrics were calculated for different hybridization levels and feature sets generated using different hybridization functions (SD and UN).</t>
  </si>
  <si>
    <t>Twitter, Facebook</t>
  </si>
  <si>
    <t>The context information provided does not mention any specific social network or platform used for data collection. It primarily lists references related to text categorization, authorship analysis, and sentiment analysis from various academic papers and conferences without specifying a particular social network or platform.</t>
  </si>
  <si>
    <t>avg hashtags, avg mentions (no RT), avg tweets/day, avg RTs, no. followers, no. friends, no. tweets, mentions/tweets, RTs/tweets</t>
  </si>
  <si>
    <t>The features used to train the machine learning models in this study include:
 - User metadata and activity features (52 manually crafted features belonging to three different classes: user metadata, timing features, and network statistics).
 The specific features are not listed in the provided contexts, but the feature set includes:
 - avg hashtags
 - avg mentions (no RT)
 - avg mentions
 - avg tweets/day
 - avg RTs
 - no. followers
 - no. friends
 - no. tweets
 - mentions/tweets
 - RTs/tweets
 These features were selected through a greedy feature selection process and were used in the two learning models (Logistic Regression and Random Forests) for the classification tasks.</t>
  </si>
  <si>
    <t>25 thousand instances</t>
  </si>
  <si>
    <t>The analyzed dataset contained two roughly equal-sized classes with about 25 thousand instances each.</t>
  </si>
  <si>
    <t>The machine learning algorithms used in this study were Logistic Regression and Random Forests.</t>
  </si>
  <si>
    <t>|  | Precision | Recall | F1 | AUC  |
 | ------------------- | --------- | ------ | ----- | ----- |
 | Logistic Regression | 0.778  | 0.506 | 0.599 | 0.756 |
 | Random Forests | 0.855  | 0.893 | 0.874 | 0.871 |</t>
  </si>
  <si>
    <t>Twitter was used for data collection, specifically leveraging the Twitter gardenhose data source (roughly 10% of the Twitter stream) collected by Indiana University.</t>
  </si>
  <si>
    <t>EmoFeat, SIMON, EmoFeat and SIMON</t>
  </si>
  <si>
    <t>The features used to train machine learning models in this study include EmoFeat (emotion features), SIMON, and the combination of EmoFeat and SIMON.</t>
  </si>
  <si>
    <t>1,368,827 tweets</t>
  </si>
  <si>
    <t>The analyzed dataset sizes vary, with the largest being 1,368,827 tweets in the Anti dataset.</t>
  </si>
  <si>
    <t>logistic regression, Support Vector Machine (SVM), Linear SVM</t>
  </si>
  <si>
    <t>The machine learning algorithms used in this study were logistic regression and Support Vector Machine (SVM). Specifically, the study evaluated these algorithms in the context of feature sets including Word2Vec, SIMON, and SIMON combined with emotion. For the cross-dataset experiment, Linear SVM was also used.</t>
  </si>
  <si>
    <t>F1-Scores, Logistic Regression, Linear SVM</t>
  </si>
  <si>
    <t>The performance metrics reported for each machine learning model in the study are the F1-Scores. These are presented in two tables, one for Logistic Regression and one for Linear SVM. Here are the F1-Scores for each model:
 **Logistic Regression:**
 - Word2Vec: 95.09, 87.95, 97.32, 82.42, 73.06, 85.07, 81.20, 77.78, 88.68
 - SIMON Facebook: 95.98, 90.18, 97.77, 82.77, 78.45, 87.46, 84.83, 82.91, 94.44
 - Glove: 96.43, 90.18, 97.32, 82.24, 72.61, 87.90, 81.84, 81.62, 90.60
 - Word2Vec (repeated): 95.54, 88.39, 97.32, 82.77, 75.00, 85.16, 81.84, 80.34, 89.53
 - SIMON + Emotion Facebook: 95.09, 90.62, 97.32, 82.69, 79.59, 87.90, 85.47, 83.97, 94.44
 - Glove (repeated): 96.43, 91.07, 97.77, 82.77, 73.67, 87.10, 83.33, 82.26, 91.03
 **Linear SVM:**
 - Word2Vec: 95.54, 80.80, 97.77, 80.12, 65.72, 83.92, 77.78, 75.43, 88.46
 - SIMON Facebook: 95.09, 89.29, 99.11, 78.71, 69.52, 86.22, 83.12, 79.49, 94.02
 - Glove: 97.32, 86.16, 98.66, 79.15, 65.46, 85.07, 79.49, 79.91, 88.25
 - Word2Vec (repeated): 95.09, 88.39, 97.77, 79.51, 64.75, 83.75, 79.27, 79.27, 87.39
 - SIMON + Emotion Facebook: 95.09, 91.07, 99.11, 78.80, 72.53, 86.57, 83.12, 83.12, 93.80
 - Glove (repeated): 96.88, 87.95, 98.66, 79.42, 70.23, 85.42, 80.34, 78.85, 89.10</t>
  </si>
  <si>
    <t>Twitter was used for data collection. The datasets used in the evaluation, including the Pro-Neu dataset, were collected from Twitter.</t>
  </si>
  <si>
    <t>PI features, URL features, multi-view features</t>
  </si>
  <si>
    <t>The features used to train machine learning models in this study include:
 1. **PI (Post Information) features**: These are used in a single-view environment and show significant improvement when combined with an active learning approach.
 2. **URL features**: These are also used in a single-view environment and, while not as competitive as PI features in isolation, still show improvement with the active learning approach.
 3. **Multi-view features**: Combining PI and URL features as two independent views, the study shows that the proposed active learning method can achieve better performance with limited manual annotations.
 The specific details of the URL feature descriptor include 19 dimensions such as site-popularity scores, URL length, host length, number of dots, average token length, token count, largest token, average domain token length, domain token count, largest domain, average path token, path token count, largest path, count of security sensitive words, and IP address presence in the URL.</t>
  </si>
  <si>
    <t>The analyzed dataset contained a total of 34,000 samples from two classes combined. This includes 17,000 pro-ISIS tweets and 122,000 general ISIS-related tweets. For the Cyber-Recruitment dataset, the total analyzed dataset consisted of 19,272 samples, with 1,064 from the recruitment category and 18,208 from the non-recruitment category.</t>
  </si>
  <si>
    <t>The machine learning algorithms used in this study were Logistic Regression (LGS) and Random Forest (RF).</t>
  </si>
  <si>
    <t>Accuracy, F-score</t>
  </si>
  <si>
    <t>For the Twitter-ISIS dataset:
 - Accuracy was the evaluation metric, with reported values of 0.84, 0.82, 0.78, 0.76, 0.74, 0.72, 0.7, and 0.65 for different methods and iterations.
 For the Cyber-Recruitment dataset:
 - F-score was the evaluation metric, with reported values of 0.9381 and 0.8739 for the proposed active learning based framework, and 95.47% and 91.53% for the RF classifier with 75% more labeled samples.</t>
  </si>
  <si>
    <t>Text data, sentiment polarity labels, user behavioral data, Decision tree classifiers, Support vector machines, Neural networks, Naive Bayes</t>
  </si>
  <si>
    <t>The features used to train machine learning models in this study include:
 - Text data from Twitter, pre-processed to remove URLs, @tags, #hashtags, spelling errors, non-English words, and normalized text.
 - Sentiment polarity labels (positive, negative, or neutral) assigned to the text data.
 - User behavioral data, specifically the history of tweets from a particular user based on specific keywords related to terrorism.
 The machine learning models proposed for training include:
 - Decision tree classifiers
 - Support vector machines
 - Neural networks
 - Naive Bayes
 Naive Bayes was chosen as the primary technique for this research due to its high scalability and fast classification rate, although it may suffer low accuracy with less training data.</t>
  </si>
  <si>
    <t>The analyzed dataset consisted of 1,480 tweets extracted between March 30, 2016, and March 31, 2016, based on the keywords terrorism, jihad, bomb, radical, Al-Qaeda, Abu Sayyaf, isis, and extremist.</t>
  </si>
  <si>
    <t>Decision tree classifiers, Support vector machines (SVM), Neural network, Naive bayes</t>
  </si>
  <si>
    <t>The machine learning algorithms used in this study include:
 - Decision tree classifiers
 - Support vector machines (SVM)
 - Neural network
 - Naive bayes
 The study proposes to use naive bayes as the primary technique, noting its high scalability and fast classification rate, although it may suffer low accuracy with less training data. SVM and neural networks are also mentioned as alternatives, with SVM noted for its ability to cope with noisy features and neural networks for their adaptability.</t>
  </si>
  <si>
    <t>Naive Bayes, Support Vector Machine (SVM), Neural Network, Decision Tree Classifiers, Linear Classifiers, Rule-based Classifiers</t>
  </si>
  <si>
    <t>The performance metrics and their reported values for each machine learning model in the study are as follows:
 - **Naive Bayes**:
  - Accuracy: 88.0% (Vivek)
  - Accuracy: 86.3% (Hassan et al., 2012)
  - Accuracy: Medium (Compared to SVM and Neural Network) (Table 3)
 - **Support Vector Machine (SVM)**:
  - Accuracy: High
 - **Neural Network**:
  - Accuracy: Low
 - **Decision Tree Classifiers**:
  - Accuracy: Not specified
 - **Linear Classifiers**:
  - Accuracy: Not specified
 - **Rule-based Classifiers**:
  - Accuracy: Not specified
 - **Neural Network**:
  - Accuracy: Low
 Note that the accuracy values for some models are not fully specified in the provided contexts.</t>
  </si>
  <si>
    <t>Twitter was used for data collection. The data were collected from Twitter's streaming API based on specific criteria such as keywords related to terrorism.</t>
  </si>
  <si>
    <t>religious terms, offensive words, slang, negative emotions, punctuations, war-related terms</t>
  </si>
  <si>
    <t>The features used to train the machine learning models in this study include religious terms, offensive words, slang, negative emotions, punctuations, and war-related terms. These features were identified through the frequency distribution analysis of terms present in the training and testing datasets.</t>
  </si>
  <si>
    <t>The analyzed dataset consisted of 45,344,958 English tweets after discarding non-English tweets. Additionally, a random sample of 1 million tweets was collected for the testing dataset.</t>
  </si>
  <si>
    <t>one-class SVM, KNN</t>
  </si>
  <si>
    <t>The machine learning algorithms used in this study were one-class SVM (specifically, the OneClassLibSVM algorithm using the LibSVM library) and KNN (specifically, the OneClassKNN algorithm).</t>
  </si>
  <si>
    <t>Precision, Recall, F-Score, Accuracy</t>
  </si>
  <si>
    <t>| Classifier | Precision | Recall | F-Score | Accuracy |
 | ---------- | --------- | ------ | ------- | -------- |
 | KNN | 0.48 | 0.81  | 0.60 | 0.90  |
 | LibSVM  | 0.78 | 0.88  | 0.83 | 0.97  |</t>
  </si>
  <si>
    <t>[58] A_Framework_for_Predicting_and_Identifyi</t>
  </si>
  <si>
    <t>sequential patterns, non-sequential patterns, frequency, length, pattern weight, matching score</t>
  </si>
  <si>
    <t>The features used to train machine learning models in this study include sequential and non-sequential patterns mined from chat logs using SPMining and NSPMining methods. These patterns are stored in a database along with their frequency, length, and a pattern weight calculated based on frequency and length. The patterns are then compared against the stored patterns to calculate a matching score, which is used to determine the confidence of the chat log being a threat spreading group.</t>
  </si>
  <si>
    <t>The size of the analyzed dataset is not explicitly stated in the provided contexts. However, the contexts describe a framework for analyzing chat logs from WhatsApp groups to identify patterns related to radicalization. The dataset likely includes multiple chat logs, but the exact number is not given.</t>
  </si>
  <si>
    <t>semi-supervised learning, FP-growth, SPMining, NSPMining</t>
  </si>
  <si>
    <t>The machine learning algorithms used in this study include semi-supervised learning. For pattern mining, the study extensively used the FP-growth algorithm to mine patterns. Additionally, SPMining and NSPMining methods were used to search for sequential and non-sequential patterns exhaustively. No other specific machine learning algorithms were mentioned in the provided contexts.</t>
  </si>
  <si>
    <t>Frequency Weight, Pattern Weight, Matching Score</t>
  </si>
  <si>
    <t>The performance metrics and their reported values for each machine learning model in the study are not explicitly provided. However, the study describes a framework for calculating metrics such as Frequency Weight (FW), Pattern Weight (PW), and Matching Score (MScore). For example, for pattern 4, the Frequency Weight (FW) is 0.056603774 and the Pattern Weight (PW) is 0.113208. The Matching Score (MScore) is calculated based on the number of matched elements and the pattern weights. The total matching score for a pattern is the confidence of the chat log.</t>
  </si>
  <si>
    <t>WhatsApp was used for data collection in this research.</t>
  </si>
  <si>
    <t>Stylometric features, Time-based features, Sentiment-based features</t>
  </si>
  <si>
    <t>The features used to train machine learning models in this study include:
 1. Stylometric features: function words, frequent words, punctuation, hashtags, letter bigrams, and word bigrams.
 2. Time-based features: hour of the day, period of the day, day of the week, and type of day (weekday/weekend).
 3. Sentiment-based features (though their exact nature is not specified, it is mentioned that 4 such features were used).
 The study also mentions the use of information gain for feature selection, which helped in identifying the most important features for classification.</t>
  </si>
  <si>
    <t>The size of the analyzed dataset is not explicitly stated in the provided contexts. However, the contexts discuss the use of three datasets (TW-PRO, TW-RAND, and TW-CON) but do not specify their sizes. The results tables show numbers of correctly classified instances, but these do not indicate the total size of the datasets. Therefore, based on the given information, the size of the analyzed dataset cannot be determined.</t>
  </si>
  <si>
    <t>AdaBoost, SVM</t>
  </si>
  <si>
    <t>The machine learning algorithms used in this study include AdaBoost. SVM (Support Vector Machine) was also mentioned in a related work, but not specified as used in this study.</t>
  </si>
  <si>
    <t>SVM, Naive Bayes, AdaBoost, 99.1%, 99.9%, 100%, 97.9%, 89.0%, 100%</t>
  </si>
  <si>
    <t>The performance metrics and their reported values for each machine learning model in the study are as follows:
 - **TW-RAND and TW-PRO (Table IV):**
  - SVM: 99.1% accuracy
  - Naive Bayes: 99.9% accuracy
  - AdaBoost: 100% accuracy
 - **TW-CON and TW-PRO (Table V):**
  - SVM: 97.9% accuracy
  - Naive Bayes: 89.0% accuracy
  - AdaBoost: 100% accuracy
 - **Full dataset (Table VI):**
  - SVM: 97.9% accuracy
  - Naive Bayes: 89.0% accuracy
  - AdaBoost: 100% accuracy
 AdaBoost performed the best in all cases, achieving 100% accuracy in the first two tables and slightly better than the other classifiers in the full dataset table.</t>
  </si>
  <si>
    <t>Twitter was used for data collection. The datasets TW-PRO, TW-RAND, and TW-CON consist of tweets, indicating that Twitter is the social network or platform from which the data was collected.</t>
  </si>
  <si>
    <t>Tf-idf terms weighting, Stopwords removal, Common vectorizer, Univariate selection, Principal component analysis, Features on the basis of importance, Tf-idf, Linear Support Vector Classifier, Multinomial Naive Bayes</t>
  </si>
  <si>
    <t>The features used to train machine learning models in this study include:
 - **Tf-idf terms weighting**: Assigning weights to important words for appropriate classification.
 - **Stopwords removal**: Removing uninformative words such as 'and', 'the', etc.
 - **Common vectorizer (Count Vectorizer)**: Extracting words in n-grams.
 - **Univariate selection**: Using statistical tests to choose the most relevant features.
 - **Principal component analysis (PCA)**: Reducing the dimensionality of the dataset.
 - **Features on the basis of importance**: Using a trained classifier to select important features.
 - **Tf-idf**: Term frequency times inverse document frequency.
 - **Linear Support Vector Classifier**: A supervised learning algorithm for classification.
 - **Multinomial Naive Bayes**: A probabilistic classifier based on applying Bayes' theorem with strong independence assumptions.
 The study used two machine learning algorithms for classification: Linear Support Vector Classifier and Multinomial Naive Bayes.</t>
  </si>
  <si>
    <t>The size of the analyzed dataset was 19,497. This can be seen from Table 9 and Table 19 in the provided contexts, which both show the total dataset size as 19,497.</t>
  </si>
  <si>
    <t>The machine learning algorithms used in this study were Linear Support Vector Classifier and Multinomial Naïve Bayes.</t>
  </si>
  <si>
    <t>The performance metrics and their reported values for each machine learning model in the study are as follows:
 **Linear Support Vector Classifier:**
 - Accuracy: 82% (average of 10-fold cross-validation estimations: 0.78392217, 0.73002049, 0.75179487, 0.81384615, 0.84153846, 0.85120575, 0.84556183, 0.83119548, 0.75731144, 0.77207392)
 - Precision: 0.86 (Moderate), 0.76 (Neutral), 0.66 (Low Extreme), 0.87 (Highly Extreme)
 - Recall: 0.92 (Moderate), 0.86 (Neutral), 0.33 (Low Extreme), 0.93 (Highly Extreme)
 - F1 Score: 0.89 (Moderate), 0.81 (Neutral), 0.44 (Low Extreme), 0.90 (Highly Extreme)
 **Multinomial Naive Bayes:**
 - Accuracy: 66%
 - Precision: 0.68 (Moderate), 0.67 (Neutral), 0.44 (Low Extreme), 0.71 (Highly Extreme)
 - Recall: 0.75 (Moderate), 0.46 (Neutral), 0.30 (Low Extreme), 0.88 (Highly Extreme)
 - F1 Score: 0.71 (Moderate), 0.55 (Neutral), 0.36 (Low Extreme), 0.78 (Highly Extreme)</t>
  </si>
  <si>
    <t>Facebook was used for data collection.</t>
  </si>
  <si>
    <t>lemmatized data, uni/bi/tri-grams</t>
  </si>
  <si>
    <t>The features used to train machine learning models in this study were processed text data, specifically lemmatized data. The text preprocessing steps included filtering duplicates, tokenizing into uni/bi/tri-grams, removing diacritic marks, normalizing by deleting repeated letters, and lemmatizing to remove inflectional endings and unnecessary word beginnings, leaving only the lemma of the words.</t>
  </si>
  <si>
    <t>The analyzed dataset size was 23,870 tweets after lemmatization, which produced the best accuracy according to the provided contexts.</t>
  </si>
  <si>
    <t>K-nearest neighbor, Bernoulli Naive Bayes, support vector machine, one-against-all, all-against-all</t>
  </si>
  <si>
    <t>The machine learning algorithms used in this study were K-nearest neighbor (KNN), Bernoulli Naive Bayes (BNB), and support vector machine (SVM) with both one-against-all (OAA) and all-against-all (AAA) classifiers.</t>
  </si>
  <si>
    <t>SVM-OAA, KNN, BNB, SVM-OAO</t>
  </si>
  <si>
    <t>The performance metrics and their reported values for each machine learning model in the study are as follows:
 - **SVM-OAA**:
  - Precision: 81.6%
  - Recall: 83.6%
  - F1-score: 82.6%
  - Accuracy: 77.6%
 - **KNN**:
  - Precision: 61.4% (N), 55.7% (U), 60.5% (T)
  - Recall: 54.6% (N), 22% (U), 75.7% (T)
  - F1-score: 57.8% (N), 31.6% (U), 67.2% (T)
 - **BNB**:
  - Precision: 73.9% (N), 74% (U), 76.5% (T)
  - Recall: 67.1% (N), 64.8% (U), 78.1% (T)
  - F1-score: 75.3% (N), 70.3% (U), 81.6% (T)
 - **SVM-OAO**:
  - Precision: 75.3% (N), 52.3% (U), 83.6% (T)
  - Recall: 76.6% (N), 59.6% (U), 82.6% (T)
  - F1-score: 77.9% (N), 76.3% (U), 82.6% (T)
 Note: N: Non-Terrorist; U: Unrelated; T: Terrorist. All values are percentages.</t>
  </si>
  <si>
    <t>The social network or platform used for data collection was Twitter. This was evident from the description of the data collection process, which involved downloading tweets from suspected ISIS accounts using a Twitter hashtag called #OpISIS and a list of accounts from the CtrlSection 1 Twitter group.</t>
  </si>
  <si>
    <t>Document sentiment vector, Semantic sentiment, Emotion tagging, Writing cues, Writing style</t>
  </si>
  <si>
    <t>The features used to train the machine learning models in this study include:
 - Document sentiment vector (F1)
 - Semantic sentiment (F2)
 - Emotion tagging (F3)
 - Writing cues (F4)
 - Writing style (Analytical, Confident, Tentative) (F5)
 These features were grouped into categories such as Topic Modeling, Tone Analysis, and Semantic Tagging. The study found that emotion tone (F3) and writing cues (F4) were the most discriminatory features for identifying intent posts across different classifiers and datasets. Semantic tagging (F2) and social tendency of narratives (F5) were also important features when posts had a wide range of topics or emotional ranges.</t>
  </si>
  <si>
    <t>3,228 text posts, 2,224 unique bloggers, 10,217 unique tags</t>
  </si>
  <si>
    <t>The analyzed dataset consisted of 3,228 text posts made by 2,224 unique bloggers, with 10,217 unique tags.</t>
  </si>
  <si>
    <t>The machine learning algorithms used in this study were Random Forest (RF), Naive Bayes (NB), and Decision Tree (DT).</t>
  </si>
  <si>
    <t>Random Forest Precision, 0.78, 0.81, Random Forest Recall, 0.82, 0.84, Naive Bayes Precision, 0.74, 0.78, Naive Bayes Recall, 0.79, 0.83, Decision Tree Precision, 0.72, 0.75, Decision Tree Recall, 0.79, 0.82</t>
  </si>
  <si>
    <t>The performance metrics for each machine learning model are as follows:
 - **Random Forest (RF):**
  - Precision: 0.78 (Test-Data1), 0.81 (Test-Data2)
  - Recall: 0.82 (Test-Data1), 0.84 (Test-Data2)
 - **Naive Bayes (NB):**
  - Precision: 0.74 (Test-Data1), 0.78 (Test-Data2)
  - Recall: 0.79 (Test-Data1), 0.83 (Test-Data2)
 - **Decision Tree (DT):**
  - Precision: 0.72 (Test-Data1), 0.75 (Test-Data2)
  - Recall: 0.79 (Test-Data1), 0.82 (Test-Data2)</t>
  </si>
  <si>
    <t>TF-IDF features, PCA-based transformed reduced features, SVM, naïve Bayes, decision tree, random forest, KNN, ensemble methods</t>
  </si>
  <si>
    <t>The features used to train machine learning models in this study include TF-IDF features computed from n-gram terms in the tweets and PCA-based transformed reduced features obtained through the original TF-IDF features. These features were used in combination with various classification models such as SVM, naïve Bayes, decision tree, random forest, KNN, and ensemble methods (with bagging and boosting).</t>
  </si>
  <si>
    <t>The analyzed dataset was divided into three subsets, each containing 400, 600, and 1000 tweet samples respectively, for the purpose of measuring the performance of classifiers. However, the total size of the original dataset is not specified in the provided contexts.</t>
  </si>
  <si>
    <t>Support Vector Machine (SVM), naïve Bayes', decision tree, KNN, bagging, boosting</t>
  </si>
  <si>
    <t>The study used the following machine learning algorithms for tweet classification: Support Vector Machine (SVM), naïve Bayes’, decision tree, KNN, and ensemble classification methods with bagging and boosting.</t>
  </si>
  <si>
    <t>Naïve Bayes, SVM, Decision Tree, Random Forest, KNN, Bagging, Boosting</t>
  </si>
  <si>
    <t>The performance metrics and their reported values for each machine learning model in the study are as follows:
 - **Naïve Bayes**
  - Unigram: Accuracy = 83.16%, Precision = 82.81%, Recall = 80.2%, F-Score = 81.48%
  - Bigram: Accuracy = 81.05%, Precision = 79.73%, Recall = 80.84%, F-Score = 80.28%
  - Reduced Feature Set: Accuracy = 68.06%, Precision = 67.87%, Recall = 67.70%, F-Score = 67.78%
 - **SVM**
  - Unigram: Accuracy = 80.73%, Precision = 80.65%, Recall = 77.21%, F-Score = 78.89%
  - Bigram: Accuracy = 84.71%, Precision = 85.18%, Recall = 83.15%, F-Score = 84.15%
  - Reduced Feature Set: Accuracy = 74.10%, Precision = 75.00%, Recall = 73.21%, F-Score = 74.09%
 - **Decision Tree**
  - Unigram: Accuracy = 76.06%, Precision = 79.56%, Recall = 69.28%, F-Score = 74.06%
  - Bigram: Accuracy = 77.43%, Precision = 80.22%, Recall = 71.34%, F-Score = 75.52%
  - Reduced Feature Set: Accuracy = 70.70%, Precision = 76.17%, Recall = 68.77%, F-Score = 72.28%
 - **Random Forest**
  - Unigram: Accuracy = 70.70%, Precision = 74.04%, Recall = 70.04%, F-Score = 71.98%
  - Bigram: Accuracy = 69.56%, Precision = 84.70%, Recall = 50.87%, F-Score = 63.56%
  - Reduced Feature Set: Accuracy = 76.00%, Precision = 78.77%, Recall = 74.69%, F-Score = 76.68%
 - **KNN**
  - Unigram: Accuracy = 74.78%, Precision = 73.05%, Recall = 72.82%, F-Score = 72.93%
  - Bigram: Accuracy = 73.87%, Precision = 70.34%, Recall = 66.29%, F-Score = 68.25%
  - Reduced Feature Set: Accuracy = 72.55%, Precision = 73.85%, Recall = 73.33%, F-Score = 73.59%
 - **Bagging**
  - Unigram: Accuracy = 83.12%, Precision = 82.21%, Recall = 81.01%, F-Score = 81.61%
  - Bigram: Accuracy = 83.66%, Precision = 81.89%, Recall = 80.01%, F-Score = 80.94%
  - Reduced Feature Set: Accuracy = 70.17%, Precision = 73.91%, Recall = 68.44%, F-Score = 71.07%
 - **Boosting**
  - Unigram: Accuracy = 81.81%, Precision = 80.30%, Recall = 78.56%, F-Score = 79.42%
  - Bigram: Accuracy = 84.43%, Precision = 86.29%, Recall = 82.76%, F-Score = 84.49%
  - Reduced Feature Set: Accuracy = 72.52%, Precision = 73.39%, Recall = 71.43%, F-Score = 72.40%</t>
  </si>
  <si>
    <t>Stylometric features, Time pattern features</t>
  </si>
  <si>
    <t>In this study, the following features were used to train machine learning models:
 - Stylometric features (SF)
 - Time pattern features (TF)
 These features were extracted from the tweets and used to generate a feature vector for each tweet. The feature vector contained the value 1 or TRUE if a particular feature was present in the tweet, and 0 or FALSE if the feature was absent. The machine learning models used for training included Naive Bayes, SVM (Support Vector Machines), AdaBoost, and Random Forest.</t>
  </si>
  <si>
    <t>57,698, 5,297</t>
  </si>
  <si>
    <t>The size of the analyzed dataset varied:
 1. **TT FEATURE**: Around 57,698 tweets, of which 48,644 were unique.
 2. **TT TRAIN**: Not explicitly stated, but it was extracted using the same method as TT FEATURE and had 5,297 tweets.
 3. **TT TEST**: 5,297 tweets, with a training to testing ratio of approximately 1:5.
 The exact size of the TT TRAIN dataset is not specified in the provided contexts.</t>
  </si>
  <si>
    <t>The machine learning algorithms used in this study include Naive Bayes, SVM (Support Vector Machines), Adaboost Classification, and Random Forest Classification.</t>
  </si>
  <si>
    <t>accuracy, precision, recall, F1-score</t>
  </si>
  <si>
    <t>The study used several machine learning models including SVM, Naive Bayes, AdaBoost, and Random Forest. However, the specific performance metrics (such as accuracy, precision, recall, F1-score) and their reported values for each model are not provided in the given contexts. Therefore, based on the information available, we cannot report the exact performance metrics and their values for each machine learning model in the study.</t>
  </si>
  <si>
    <t>Twitter was used for data collection, as evidenced by the mention of extracting tweets using the Twitter API and the datasets being in JSON format directly downloaded from Twitter.</t>
  </si>
  <si>
    <t>Bag-of-words, Lexicon-based features, Subjective sentences, Emotions, Word embeddings, Avg, SVM, KNN, Naive Bayes, J48 decision trees, Random Forest, Maximum Entropy Classifier, LSTM</t>
  </si>
  <si>
    <t>The features used to train machine learning models in this study include:
 - Bag-of-words
 - Lexicon-based features (semantic, hate, and theme-based features)
 - Subjective sentences
 - Emotions
 - Word embeddings
 - Avg (weighted average of word embeddings in similar context)
 These features were used in combination with machine learning algorithms such as SVM, KNN, Naive Bayes, J48 decision trees, Random Forest, and Maximum Entropy Classifier. Additionally, the study used a feedforward neural network supported by LSTM for training.</t>
  </si>
  <si>
    <t>The analyzed dataset size was 61,601 records collected from online social media sources.</t>
  </si>
  <si>
    <t>The machine learning algorithms used in this study were SVM (Support Vector Machine), Random Forest, and MaxEnt (Maximum Entropy Classifier).</t>
  </si>
  <si>
    <t>The performance metrics and their reported values for each machine learning model in the study are as follows:
 - **Feedforward NN**: Precision = 85.96%, Recall = 53.26%, F-score = 65.77%
 - **Random Forest**: Precision = 73.50%, Recall = 64.00%, F-score = 65.55%
 - **SVM**: Precision = 53.50%, Recall = 50.50%, F-score = 45.00%
 - **MaxEnt**: Precision = 69.50%, Recall = 68.00%, F-score = 68.55%</t>
  </si>
  <si>
    <t>The data was collected from multiple online social media sources including blogs, articles, and Twitter.</t>
  </si>
  <si>
    <t>Document Vectorization, Security Association rules, Rule Pruning, Message Classification</t>
  </si>
  <si>
    <t>The features used to train machine learning models in this study include:
 1. Document Vectorization incorporating Security related features.
 2. Security Association rules and Rule Pruning.
 3. Message Classification according to security association rules.</t>
  </si>
  <si>
    <t>Each excel file stored 10,000 tweets and a new file was created for additional tweets.</t>
  </si>
  <si>
    <t>rule-based classification, topic modeling</t>
  </si>
  <si>
    <t>The document does not explicitly state the machine learning algorithms used in the study. However, the context suggests that the approach involves text data mining and security vectorization, which implies the use of text mining techniques. Given the focus on uncovering hidden subversive groups and the use of security dictionaries, it is likely that the study employed algorithms such as rule-based classification, topic modeling, or other text mining techniques to process and analyze the Twitter data.</t>
  </si>
  <si>
    <t>not possible</t>
  </si>
  <si>
    <t>The provided contexts do not contain specific performance metrics or reported values for any machine learning models. Therefore, it is not possible to provide the requested information based solely on the given text.</t>
  </si>
  <si>
    <t>FT (tf-idf), FT (word2vec), FB, FP</t>
  </si>
  <si>
    <t>The machine learning models in this study were trained using the following features:
 - FT (tf-idf) and FT (word2vec)
 - FB (behavioral features)
 - FP (psychological profile features)
 The study found that the FP feature group contributed the most to the high accuracy of the model, with the word2vec embedding outperforming tf-idf features. Behavioral features and psychological profile features were also important contributors to the model's performance.</t>
  </si>
  <si>
    <t>17,000, 8,000, 122,000</t>
  </si>
  <si>
    <t>The analyzed datasets consisted of:
 1. Around 17,000 tweets from more than 100 known pro-ISIS Twitter accounts (known-bad dataset).
 2. Around 8,000 tweets from around 1,000 users on ten trending topics (random-good dataset).
 3. 122,000 tweets from around 95,000 users discussing ISIS without being radical (counterpoise dataset).
 The sizes of these datasets are 17,000, 8,000, and 122,000 tweets respectively.</t>
  </si>
  <si>
    <t>Random Forest, Neural Networks</t>
  </si>
  <si>
    <t>The machine learning algorithms used in this study were Random Forest (RF) and Neural Networks (NN). The study found that RF and NN produced the best performance, with RF being configured to use 100 estimators trees with a maximum depth of 50 and gini impurity for the split criteria. Cost sensitive learning was applied to make RF more suitable for imbalanced data.</t>
  </si>
  <si>
    <t>The performance metrics and their reported values for each machine learning model in the study are as follows:
 **Experiment 1:**
 - FT (tf − idf): Accuracy (AC) = 0.52, Precision = 0.76, Recall = 0.52, F-measure = 0.37
 - FT (w2v): AC = 0.81, Precision = 0.82, Recall = 0.81, F-measure = 0.81
 - FT: AC = 0.84, Precision = 0.84, Recall = 0.84, F-measure = 0.84
 - FB: AC = 0.94, Precision = 0.95, Recall = 0.94, F-measure = 0.94
 - FFP: AC = 1.0, Precision = 1.0, Recall = 1.0, F-measure = 1.0
 - ALL: AC = 1.0, Precision = 1.0, Recall = 1.0, F-measure = 1.0
 **Experiment 2:**
 - FT (tf − idf): AC = 0.56, Precision = 0.69, Recall = 0.56, F-measure = 0.48
 - FT (w2v): AC = 0.73, Precision = 0.73, Recall = 0.73, F-measure = 0.73
 - FT: AC = 0.80, Precision = 0.80, Recall = 0.80, F-measure = 0.80
 - FB: AC = 0.91, Precision = 0.92, Recall = 0.91, F-measure = 0.91
 - FP: AC = 1.0, Precision = 1.0, Recall = 1.0, F-measure = 1.0</t>
  </si>
  <si>
    <t>Twitter was used for data collection.</t>
  </si>
  <si>
    <t>titles</t>
  </si>
  <si>
    <t>The features used to train the machine learning models in this study include the titles of videos uploaded, commented, shared, and favourited by the users.</t>
  </si>
  <si>
    <t>The analyzed dataset consisted of 612 videos used for training the statistical model. Additionally, 1046 users were classified as relevant and 381 as irrelevant across 60 iterations for evaluation.</t>
  </si>
  <si>
    <t>The study used a character n-gram based language modeling approach to build the statistical model from the training profiles.</t>
  </si>
  <si>
    <t>confusion matrix, misclassification rate</t>
  </si>
  <si>
    <t>The study does not provide specific performance metrics and their reported values for each machine learning model. However, it does provide a confusion matrix for the binary classification performed during the Best-First Search approach. The confusion matrix shows:
 - 921 relevant users predicted as relevant
 - 125 relevant users predicted as irrelevant
 - 314 irrelevant users predicted as relevant
 - 67 irrelevant users predicted as irrelevant
 There is a misclassification of 25.42% in predicting relevant users and 65.10% in predicting irrelevant users.</t>
  </si>
  <si>
    <t>YouTube was used for data collection.</t>
  </si>
  <si>
    <t>linguistic features, character n-grams, word n-grams, root n-grams, collocations, data dependent features, most common hashtags, most common word bigrams, most common letter bigrams, most frequent words</t>
  </si>
  <si>
    <t>The machine learning models in this study were trained using linguistic features such as character n-grams, word n-grams, root n-grams, and collocations. Additionally, the study used data dependent features including the most common hashtags, most common word bigrams, most common letter bigrams, and the most frequent words. AdaBoost was the classifier used, with 500 boosting iterations.</t>
  </si>
  <si>
    <t>60,000 tweets, 742 tweets, 27,753 tweets</t>
  </si>
  <si>
    <t>The size of the analyzed dataset varies. The largest dataset mentioned is TW-RAND-E with 60,000 tweets, while TWEEP-RAND-E has 742 tweets, and TW-PRO-E has 27,753 tweets.</t>
  </si>
  <si>
    <t>The machine learning algorithm used in this study was AdaBoost. AdaBoost is a boosting algorithm that combines multiple weak classifiers to create a strong classifier.</t>
  </si>
  <si>
    <t>Accuracy: 0.9242, 0.824, 0.8466, 0.8638, 0.9848, 0.8466, 0.9907, 0.8394, 0.9697, 0.8638, 0.9951, 0.8635</t>
  </si>
  <si>
    <t>The performance metrics and their reported values for each machine learning model in the study are as follows:
 - **Data independent features:**
  - Accuracy: 0.9242 (Arabic), 0.824 (Arabic), 0.8466 (English), 0.8638 (English)
  - Precision: 0.8 (Arabic), 0.4738 (Arabic), 0.9776 (English), 0.5691 (English)
 - **Data dependent features:**
  - Accuracy: 0.9848 (Arabic), 0.8466 (Arabic), 0.9907 (English), 0.8394 (English)
  - Precision: 0.8260 (Arabic), 0.5111 (Arabic), 0.9708 (English), 0.5111 (English)
 - **Data dependent + Data independent features:**
  - Accuracy: 0.9697 (Arabic), 0.8638 (Arabic), 0.9951 (English), 0.8635 (English)
  - Precision: 0.9 (Arabic), 0.5691 (Arabic), 0.9853 (English), 0.5691 (English)</t>
  </si>
  <si>
    <t>Twitter was used for data collection in this research. The datasets consisted of tweets containing hashtags related to ISIS and tweets from users identified as supporters of jihadist groups.</t>
  </si>
  <si>
    <t>Unigrams, LIWC, Word2Vec word clusters</t>
  </si>
  <si>
    <t>The machine learning models were trained using the following features:
 - Unigrams (bag-of-words representation)
 - LIWC (Linguistic Inquiry and Word Count)
 - Word2Vec word clusters
 The study also used political terms and emotional categories as features, but the primary features used for training were unigrams, LIWC, and Word2Vec clusters.</t>
  </si>
  <si>
    <t>logistic regression, linear regression with Elastic Net regularizer, multi-task learning with a linear ensemble of multiple classifiers</t>
  </si>
  <si>
    <t>The machine learning algorithms used in this study include logistic regression, linear regression with an Elastic Net regularizer, and a linear ensemble of multiple classifiers. Specifically:
 - Logistic regression was used for binary classification tasks in Section 6.1, with results reported using ROC AUC.
 - Linear regression with Elastic Net regularization was used for predicting political leaning and engagement in Section 6.2, with performance evaluated using Pearson correlation.
 - Multi-task learning with a linear ensemble of multiple classifiers was used in Section 6.3, combining predictions from different feature categories to obtain the best results.</t>
  </si>
  <si>
    <t>Accuracy, Pearson Correlation</t>
  </si>
  <si>
    <t>The performance metrics and their reported values for each machine learning model in the study are as follows:
 - **Accuracy:**
  - Baseline: 19.6%
  - Logistic Regression (LR): 22.2%
  - GR–Engagement: 24.2%
  - GR–Leaning: 26.2%
  - GR–Learnt: 27.6%
 - **Pearson Correlation:**
  - Political Feat.: 0.294
  - Political Leaning: 0.286
  - Engagement: 0.149
  - Word2Vec Clusters: 0.300
  - Emotions: 0.145
  - Political Terms: 0.256
  - All (Ensemble): 0.369
  - Engagement: 0.196
 The study used different metrics for evaluating the models, including accuracy and Pearson correlation. The highest accuracy was achieved by the GR–Learnt model, while the highest Pearson correlation was obtained using the ensemble of all classifiers for engagement.</t>
  </si>
  <si>
    <t>Twitter handle’s related features, profile related features, content related features</t>
  </si>
  <si>
    <t>The features used to train machine learning models in this study include:
 1. **Twitter handle’s related features**: length of the handle, number of unique characters in the handle, and complexity of the handle (approximated using entropy).
 2. **Profile related features**: number of followers, friends, and tweets, existence of profile description and location, verification status, and geo-enabling.
 3. **Content related features**: number of URLs, number of hashtags, and sentiment of the content.</t>
  </si>
  <si>
    <t>300K</t>
  </si>
  <si>
    <t>The size of the analyzed dataset was approximately 1.6M raw tweets, of which 300K were filtered and used for further analysis.</t>
  </si>
  <si>
    <t>SVM, KNN, Gaussian naïve Bayes, logistic regression, AdaBoost, random forest, Char-LSTM, Laplacian support vector machines, graph inference-based label spreading approach, co-training learner with two SVMs</t>
  </si>
  <si>
    <t>The study used the following machine learning algorithms:
 - Supervised: SVM, KNN, Gaussian naïve Bayes, logistic regression, AdaBoost, random forest, and Char-LSTM.
 - Semi-supervised: Laplacian support vector machines, graph inference-based label spreading approach with RBF and KNN kernels, and co-training learner with two SVMs.
 The Char-LSTM is a character-aware model adapted for sequence classification, while SVM, KNN, and other traditional machine learning algorithms were also employed.</t>
  </si>
  <si>
    <t>The performance metrics (precision, recall, and F1-score) and their reported values for each machine learning model in the study are as follows:
 - SVM: Precision = 0.96, Recall = 0.5, F1-score = 0.65
 - Char-LSTM: Precision = 0.77, Recall = 0.76, F1-score = 0.76
 - LabelSpreading (RBF): Precision = 0.85, Recall = 0.69, F1-score = 0.76
 - Laplacian SVM: Precision = 0.89, Recall = 0.6, F1-score = 0.7
 - LabelSpreading (KNN): Precision = 0.83, Recall = 0.67, F1-score = 0.73
 - Co-Training (SVM): Precision = 0.9, Recall = 0.53, F1-score = 0.66
 - KNN: Precision = 0.81, Recall = 0.7, F1-score = 0.74
 - Gaussian NB: Precision = 0.89, Recall = 0.56, F1-score = 0.69
 - Logistic Regression: Precision = 0.76, Recall = 0.61, F1-score = 0.67
 - AdaBoost: Precision = 0.88, Recall = 0.58, F1-score = 0.69
 - Random Forest: Precision = 0.79, Recall = 0.71, F1-score = 0.74</t>
  </si>
  <si>
    <t>Twitter was used for data collection in the research, as evidenced by the focus on analyzing tweets and the use of Twitter handles and profile information in feature engineering.</t>
  </si>
  <si>
    <t>Structural features, Syntactic features, Content-specific features, Lexical features, Statistical text features, Arabic language-specific features, Hybrid feature sets</t>
  </si>
  <si>
    <t>The features used to train machine learning models in this study include:
 - **Structural features**: Such as the total number of lines, sentences, paragraphs, sentences per paragraph, words per paragraph, and punctuations.
 - **Syntactic features**: Including the frequency of function words and 150 specific function words.
 - **Content-specific features**: Such as the frequency of eleven specific keywords.
 - **Lexical features**: Including character and word-based features like the total number of characters, uppercase characters, digits, spaces, frequency of letters, special characters, total number of words, short words, average word length, average sentence length, and total number of different words.
 - **Statistical text features**: Such as TF-IDF term weighting, n-grams, Bag of Words (BoW), Parts of Speech (PoS), and bi-gram features.
 - **Arabic language-specific features**: Including technical structural features such as font size, embedded images, and hyperlinks.
 - **Hybrid feature sets**: Combinations of the above features, with different levels of hybridization.
 The study also used classifiers such as Support Vector Machine (SVM), K-Nearest Neighbors (KNN), Decision Trees (DT), Naive Bayes (NB), and Extreme Learning Machine (ELM).</t>
  </si>
  <si>
    <t>The size of the analyzed dataset is not explicitly stated in the provided contexts. However, it is mentioned that thousands of Arabic web pages were downloaded from the DWFP (Dark Web Forum Project) for the experiment. The dataset also includes 22,429 Arabic text documents from the Open Source Arabic Corpora (OSAC). Given these details, the dataset is likely to be quite large, but the exact number of documents is not specified.</t>
  </si>
  <si>
    <t>Extreme Learning Machine, Support Vector Machine</t>
  </si>
  <si>
    <t>The study used Extreme Learning Machine (ELM) and Support Vector Machine (SVM) as the machine learning algorithms.</t>
  </si>
  <si>
    <t>SVM, KNN, DT, NB, ELM, F-measure, accuracy</t>
  </si>
  <si>
    <t>The performance metrics and their reported values for each machine learning model in the study are as follows:
 - **SVM**: F-measure values range from 80.80 to 92.80, and accuracy values range from 77.80 to 92.70.
 - **KNN**: F-measure values range from 85.65 to 93.60, and accuracy values range from 83.88 to 87.10.
 - **DT**: F-measure values range from 37.82 to 54.55, and accuracy values are consistently 50.00.
 - **NB**: F-measure values range from 7.43 to 15.52, and accuracy values range from 50.48 to 53.20.
 - **ELM**: F-measure values range from 83.42 to 86.97, and accuracy values range from 81.82 to 86.60.
 These values are reported for different hybridization levels and functions as shown in Table 7.</t>
  </si>
  <si>
    <t>Dark Web Forum Portal (DWFP)</t>
  </si>
  <si>
    <t>The social network or platform used for data collection was the Dark Web Forum Portal (DWFP).</t>
  </si>
  <si>
    <t>Document sentiment vector, Semantic sentiment, Emotion tagging, Writing cues, Social tendency of narratives</t>
  </si>
  <si>
    <t>The features used to train the machine learning models in this study include:
 - Document sentiment vector (F1)
 - Semantic sentiment (F2)
 - Emotion tagging (F3)
 - Writing cues (F4)
 - Social tendency of narratives (F5)
 These features were identified through linguistic analysis and are part of the proposed approach for intent classification on Tumblr posts.</t>
  </si>
  <si>
    <t>The machine learning algorithms used in this study were Random Forest (RF), Naive Bayes (NB), and Decision Tree (DT). The study found that Random Forest outperformed the other two algorithms, achieving higher precision and recall rates.</t>
  </si>
  <si>
    <t>Precision, Recall, Random Forest, Naive Bayes, Decision Tree, Test-Data1, Test-Data2</t>
  </si>
  <si>
    <t>The performance metrics for each machine learning model in the study are as follows:
 - **Random Forest (RF):**
  - Precision: 0.78 (Test-Data1), 0.81 (Test-Data2)
  - Recall: 0.82 (Test-Data1), 0.84 (Test-Data2)
 - **Naive Bayes (NB):**
  - Precision: 0.74 (Test-Data1), 0.78 (Test-Data2)
  - Recall: 0.79 (Test-Data1), 0.83 (Test-Data2)
 - **Decision Tree (DT):**
  - Precision: 0.72 (Test-Data1), 0.75 (Test-Data2)
  - Recall: 0.79 (Test-Data1), 0.82 (Test-Data2)
 Uncertainty: The reported values are based on the provided tables and figures, but the exact precision and recall values for each dataset might vary slightly depending on the specific cross-validation folds.</t>
  </si>
  <si>
    <t>The social network or platform used for data collection was Tumblr. This is explicitly stated in the contexts provided.</t>
  </si>
  <si>
    <t>Unigrams, LIWC features, Word2Vec word clusters</t>
  </si>
  <si>
    <t>The features used to train machine learning models in this study include:
 - Unigrams (bag-of-words representation)
 - LIWC (Linguistic Inquiry and Word Count) features
 - Word2Vec word clusters
 These features were used across different setups and tasks to predict political leaning and engagement levels.</t>
  </si>
  <si>
    <t>3,938 Twitter users</t>
  </si>
  <si>
    <t>The analyzed dataset consisted of 3,938 Twitter users.</t>
  </si>
  <si>
    <t>Logistic Regression, Linear Regression with Elastic Net Regularizer, Multi-task Learning</t>
  </si>
  <si>
    <t>The machine learning algorithms used in this study include:
 - **Logistic Regression (LR)**: Used for cross-group prediction tasks.
 - **Linear Regression with Elastic Net Regularizer**: Used for predicting political leaning and engagement.
 - **Multi-task Learning (GR–Engagement, GR–Leaning, GR-Learnt)**: Used for seven-way classification tasks.
 Uncertainty: The contexts do not specify all algorithms used, but these are the primary ones mentioned.</t>
  </si>
  <si>
    <t>Accuracy, Pearson Correlation, Word2Vec Clusters, Elastic Net Regularizer (Linear Regression)</t>
  </si>
  <si>
    <t>The performance metrics and their reported values for each machine learning model in the study are as follows:
 - **Accuracy**:
  - Baseline: 19.6%
  - Logistic Regression (LR): 22.2%
  - GR–Engagement: 24.2%
  - GR–Leaning: 26.2%
  - GR–Learnt: 27.6%
 - **Pearson Correlation**:
  - Political Feat.: 0.294
  - Political Leaning: 0.286
  - Engagement: 0.165
 - **Word2Vec Clusters**:
  - 500 Clusters: 0.369 for Political Leaning, 0.196 for Engagement
 - **Elastic Net Regularizer (Linear Regression)**:
  - Pearson correlation between predicted values and user-reported scores for political leaning and engagement.
 Uncertainty: The exact values for all models and features are not fully specified in the provided contexts, but the above values are the most detailed reported.</t>
  </si>
  <si>
    <t>The social network or platform used for data collection was Twitter. This is evident from the context mentioning "Twitter posts" and the analysis of "user-level political ideology through Twitter posts."</t>
  </si>
  <si>
    <t>text data from Twitter, URLs, @tags, #hashtags, spelling errors, non-English words, sentiment polarity labels</t>
  </si>
  <si>
    <t>The machine learning models in this study were trained using features such as text data from Twitter, which was pre-processed to remove URLs, @tags, #hashtags, spelling errors, and non-English words. The data was then tagged with sentiment polarity labels (positive, negative, or neutral) and classified using the Naive Bayes algorithm. Uncertainty: The exact features used are not fully specified, but text data from Twitter was pre-processed and labeled.</t>
  </si>
  <si>
    <t>697 tweets</t>
  </si>
  <si>
    <t>The analyzed dataset consisted of 697 tweets.</t>
  </si>
  <si>
    <t>naive Bayes, support vector machines (SVM), neural networks</t>
  </si>
  <si>
    <t>The machine learning algorithms used in this study are **naive Bayes**, **support vector machines (SVM)**, and **neural networks**. However, naive Bayes was chosen as the primary technique due to its high accuracy and scalability, especially for large datasets like Twitter data. SVM and neural networks were also considered but naive Bayes was deemed more suitable for this specific research.</t>
  </si>
  <si>
    <t>The performance metrics and their reported values for each machine learning model in the study are as follows:
 - **Naive Bayes:**
  - Accuracy: 85-96%
  - Performance: Fast and simple to apply
 - **Support Vector Machine (SVM):**
  - Accuracy: High
  - Training time: High
  - Advantages: Can better cope with many noisy features; easy to use with few parameters
  - Disadvantages: Long training time needed
 - **Neural Network:**
  - Accuracy: Low
  - Training time: High
  - Advantages: Not specified in the provided contexts
  - Disadvantages: Long training time needed
 - **Decision Tree Classifiers:**
  - Accuracy: Not specified
  - Training time: Fast
  - Advantages: Not specified
  - Disadvantages: Not specified
 - **Linear Classifiers:**
  - Accuracy: Not specified
  - Training time: Not specified
  - Advantages: Not specified
  - Disadvantages: Not specified
 - **Rule-based Classifiers:**
  - Accuracy: Not specified
  - Training time: Not specified
  - Advantages: Not specified
  - Disadvantages: Not specified
 Uncertainty: The accuracy and training time for decision tree classifiers, linear classifiers, and rule-based classifiers are not specified in the provided contexts.</t>
  </si>
  <si>
    <t>The social network or platform used for data collection is Twitter. The data are collected from Twitter's streaming API using specific criteria such as keywords related to terrorism.</t>
  </si>
  <si>
    <t>[57] An_Approach_for_Radicalization_Detection_Based_on_Emotion_Signals_and_Semantic_Similarity</t>
  </si>
  <si>
    <t>SIMON, emotion, SIMON + emotion</t>
  </si>
  <si>
    <t>The machine learning models in this study were trained using features from two sources: SIMON and emotion. SIMON features are derived from word embeddings, while emotion features are extracted from an emotion lexicon. The combination of these features (SIMON + emotion) was also used to train the models.</t>
  </si>
  <si>
    <t>17,350 tweets, 122,000 tweets, 1,132 Twitter accounts, 152 neutral documents, 316 radical documents, 106,431 words, 300,458 words</t>
  </si>
  <si>
    <t>logistic regression, Support Vector Machine (SVM)</t>
  </si>
  <si>
    <t>The machine learning algorithms used in this study were logistic regression and Support Vector Machine (SVM). The study compared the performance of these algorithms in different scenarios.</t>
  </si>
  <si>
    <t>F-Scores, EmoFeat, SIMON, SIMON + EmoFeat</t>
  </si>
  <si>
    <t>The performance metrics reported for each machine learning model in the study are the F-Scores. For logistic regression, the averaged F-Scores are as follows (Table 9):
 - EmoFeat: 79.01%
 - SIMON: 79.18%
 - SIMON + EmoFeat: 87.90%
 For linear SVM, the averaged F-Scores are (Table 7):
 - EmoFeat: Not explicitly stated, but implied to be lower than SIMON + EmoFeat
 - SIMON: Not explicitly stated, but implied to be lower than SIMON + EmoFeat
 - SIMON + EmoFeat: Not explicitly stated, but implied to be the highest
 The best performance is observed with the SIMON + EmoFeat model, with an F-Score of 87.90% for logistic regression. The exact F-Scores for SIMON and EmoFeat alone are not fully specified in the provided contexts.</t>
  </si>
  <si>
    <t>Twitter was used for data collection, specifically for the Pro-Neu dataset, which contains tweets extracted from pro-ISIS accounts. Uncertainty: The context does not specify which platform was used for all datasets, only mentioning Twitter for the Pro-Neu dataset.</t>
  </si>
  <si>
    <t>PI, URL features</t>
  </si>
  <si>
    <t>The machine learning models in this study were trained using two types of features: PI (possibly referring to "Page Importance") and URL features. The URL features are a 19-dimensional descriptor including attributes such as site-popularity scores, URL length, host length, and others. The study also mentions the use of classifiers such as Logistic Regression (LGS) and Random Forest (RF). However, the specific details of the PI feature are not fully specified in the provided contexts.</t>
  </si>
  <si>
    <t>The analyzed dataset contained a total of 34,000 samples from two classes in the Twitter-ISIS dataset.</t>
  </si>
  <si>
    <t>The machine learning algorithms used in this study are **Logistic Regression (LGS)** and **Random Forest (RF)**.</t>
  </si>
  <si>
    <t>The performance metrics and their reported values for each machine learning model in the study are as follows:
 - **Twitter-ISIS Dataset:**
  - **Accuracy:**
  - **LGS-Prioritized Active Learning:** 0.84
  - **LGS-Graph Based Sample Selection (η=0.6):** 0.82
  - **RF-Prioritized Active Learning:** 0.8
  - **RF-Graph Based Sample Selection (η=0.6):** 0.78
  - **URL Feature:**
  - **LGS-Prioritized Active Learning:** 0.76
  - **LGS-Graph Based Sample Selection (η=0.6):** 0.74
  - **RF-Prioritized Active Learning:** 0.72
  - **RF-Graph Based Sample Selection (η=0.6):** 0.7
 - **Cyber-Recruitment Dataset:**
  - **F-score:**
  - **LGS-Prioritized Active Learning:** 93.81%
  - **LGS-Graph Based Sample Selection (η=0.6):** 87.39%
  - **RF-Prioritized Active Learning:** 95.47%
  - **RF-Graph Based Sample Selection (η=0.6):** 91.53%
 The performance metrics are reported for different active learning methods and sample selection strategies. Uncertainty: The values are reported for specific checkpoints and sample selection strategies, but the exact accuracy values for the initial single-view classifiers are not provided.</t>
  </si>
  <si>
    <t>Twitter, Facebook, Second Life, web forums</t>
  </si>
  <si>
    <t>The social network or platform used for data collection is not explicitly stated in the provided contexts. However, based on the discussion of web forums and social media platforms like Facebook, Twitter, and Second Life, it can be inferred that web forums and social media platforms were used for data collection. The contexts mention the use of Twitter and other social media platforms for collecting data related to the Islamic State and cyber recruitment.</t>
  </si>
  <si>
    <t>User activity feeds, titles of videos, shared content, favorited content, commented content, profile information</t>
  </si>
  <si>
    <t>The features used to train the machine learning models in this study include:
 - User activity feeds such as titles of videos uploaded, shared, favorited, and commented by the user.
 - Profile information.
 - These features were extracted from 35 positive class YouTube channels (promoting hate and extremism) using the YouTube API.
 Uncertainty: The exact number of videos or channels used for training is not specified in the provided contexts.</t>
  </si>
  <si>
    <t>The size of the analyzed dataset was 612 videos. This number comes from the training dataset consisting of 612 videos derived from 35 user-ids used as training profiles.</t>
  </si>
  <si>
    <t>best-first search algorithm</t>
  </si>
  <si>
    <t>The study used a best-first search algorithm for the focused crawler. No other specific machine learning algorithms were mentioned in the provided contexts.</t>
  </si>
  <si>
    <t>Misclassification of relevant users, Misclassification of irrelevant users</t>
  </si>
  <si>
    <t>The performance metrics and their reported values for each machine learning model in the study are not fully specified in the provided contexts. However, based on the information given, the study evaluated the effectiveness of a focused crawler using a best-first search approach. The confusion matrix for binary classification during this approach is provided, showing:
 - True Positives (Relevant): 921
 - False Positives (Irrelevant): 314
 - False Negatives (Irrelevant): 125
 - True Negatives (Irrelevant): 67
 The metrics derived from this confusion matrix include:
 - Misclassification of relevant users: 25.42%
 - Misclassification of irrelevant users: 65.10%
 Uncertainty: The contexts do not provide specific performance metrics such as precision, recall, F1 score, or accuracy for the machine learning models used.</t>
  </si>
  <si>
    <t>The social network or platform used for data collection is YouTube. This is evident from the contexts mentioning the collection of data from YouTube channels and the use of YouTube API to extract user activity feeds and profile information.</t>
  </si>
  <si>
    <t>The machine learning models in this study were trained using two sets of features: data dependent and data independent features. Data dependent features are heavily influenced by the specific dataset and are useful for the domain at hand but may not generalize well to other datasets. Data independent features are independent of the dataset and can be used across different datasets with similar results. AdaBoost was used as the classifier, with 500 boosting iterations for the first experiment and 300 boosting iterations for the second experiment.</t>
  </si>
  <si>
    <t>60,000 tweets, 45,013 tweets</t>
  </si>
  <si>
    <t>The size of the analyzed dataset varies. The largest dataset is TW-RAND-E with 60,000 tweets, followed by TW-RAND-A with 45,013 tweets.</t>
  </si>
  <si>
    <t>The machine learning algorithm used in this study was AdaBoost. The experiments were conducted using AdaBoost with 500 boosting iterations for classifying tweeps and tweets.</t>
  </si>
  <si>
    <t>Accuracy, Precision, Recall</t>
  </si>
  <si>
    <t>The performance metrics and their reported values for each machine learning model in the study are as follows:
 - **Data independent features:**
  - **Accuracy:** 0.9242 (Arabic), 0.824 (Arabic), 0.8638 (Arabic), 0.9882 (English), 0.824 (English)
  - **Precision:** 0.8 (Arabic), 0.4738 (Arabic), 0.9776 (English), 0.9776 (English)
  - **Recall:** 0.9411 (Arabic), 0.7633 (Arabic), 0.9843 (English), 0.9843 (English)
 - **Data dependent features:**
  - **Accuracy:** 0.9848 (Arabic), 0.8466 (Arabic), 0.9907 (English), 0.9907 (English)
  - **Precision:** 0.8260 (Arabic), 0.5111 (Arabic), 0.9708 (English), 0.9708 (English)
  - **Recall:** 1.0 (Arabic), 0.8394 (Arabic), 0.9992 (English), 0.9992 (English)
 - **Data dependent + Data independent features:**
  - **Accuracy:** 0.9697 (Arabic), 0.8638 (Arabic), 0.9951 (English), 0.9951 (English)
  - **Precision:** 0.9 (Arabic), 0.5691 (Arabic), 0.9853 (English), 0.9853 (English)
  - **Recall:** 1.0 (Arabic), 0.8635 (Arabic), 0.9988 (English), 0.9988 (English)
 Uncertainty: The reported values are based on the provided tables and may vary slightly depending on the specific dataset and experiment setup.</t>
  </si>
  <si>
    <t>The social network or platform used for data collection is Twitter. This is evident from the contexts mentioning "tweets," "tweeps," and the use of hashtags for collecting data.</t>
  </si>
  <si>
    <t>structural features, syntactic features, content-specific features, lexical features, word-based features, statistical text features, technical structural features, sentiment features, hybridized feature sets</t>
  </si>
  <si>
    <t>The features used to train machine learning models in this study include:
 - **Structural features**: Such as the total number of lines, sentences, paragraphs, sentences per paragraph, words per paragraph, and punctuations.
 - **Syntactic features**: Including the frequency of function words.
 - **Content-specific features**: Such as the frequency of specific keywords.
 - **Lexical features**: Including character and word-based features like the total number of characters, uppercase characters, digits, spaces, frequency of letters, and special characters.
 - **Word-based features**: Such as the total number of words, short words, average word length, and average sentence length.
 - **Statistical text features**: Including TF-IDF term weighting, lexical, syntactic, stylistic, domain-specific Bag of Words (BoW), Parts of Speech (PoS), and n-grams.
 - **Technical structural features**: Such as font size, embedded images, and hyperlinks.
 - **Sentiment features**: Used to measure sentiment polarities.
 - **Hybridized feature sets**: Created by combining different types of features.
 The study also used hybridized feature sets generated based on different ideas of significant terms to improve classification performance. SVM, KNN, and ELM classifiers were used, with SVM generally achieving the highest performance.</t>
  </si>
  <si>
    <t>thousands, 22,429</t>
  </si>
  <si>
    <t>The size of the analyzed dataset is not fully specified in the contexts. However, it is mentioned that thousands of Arabic web pages were downloaded from the DWFP (Distributed Web Forum Project) for the experiment. The dataset also includes 22,429 Arabic text documents from the Open Source Arabic Corpora (OSAC). Therefore, the total number of documents in the dataset is likely to be in the thousands, but the exact number is not provided.</t>
  </si>
  <si>
    <t>Support Vector Machine, Extreme Learning Machine, K-Nearest Neighbors</t>
  </si>
  <si>
    <t>The machine learning algorithms used in this study include Support Vector Machine (SVM), Extreme Learning Machine (ELM), and K-Nearest Neighbors (KNN). SVM and ELM achieved the highest performance measures, with SVM slightly outperforming ELM.</t>
  </si>
  <si>
    <t>SVM, KNN, DT, NB, ELM, F-measure, Accuracy</t>
  </si>
  <si>
    <t>The performance metrics and their reported values for each machine learning model in the study are as follows:
 - **SVM**:
  - F-measure: 80.80 to 92.80
  - Accuracy: 77.80 to 92.70
 - **KNN**:
  - F-measure: 85.65 to 85.68
  - Accuracy: 83.88 to 83.71
 - **DT**:
  - F-measure: 37.82 to 49.14
  - Accuracy: 50.00 to 50.00
 - **NB**:
  - F-measure: 7.43 to 6.49
  - Accuracy: 50.48 to 50.53
 - **ELM**:
  - F-measure: 83.42 to 86.97
  - Accuracy: 81.82 to 86.42
 These values are reported for different hybridization levels (1 to 5) and SD/UN hybridization functions. The exact values vary depending on the hybridization level and function used.</t>
  </si>
  <si>
    <t>Dark Web Forum Portal</t>
  </si>
  <si>
    <t>The social network or platform used for data collection was the Dark Web Forum Portal (DWFP). This is based on the description of a crawler developed to download and store web pages from the DWFP, which is described as "the largest collection of crawled terrorist-related documents."</t>
  </si>
  <si>
    <t>User metadata and activity features, Timing features, Network statistics</t>
  </si>
  <si>
    <t>The features used to train the machine learning models in this study include:
 - User metadata and activity features such as number of followers, number of friends, number of posted tweets, ratio of retweets to tweets, average number of hashtags, and more.
 - Timing features like average number of tweets per day and intervals between consecutive tweets, retweets, and mentions.
 - Network statistics including distributions of retweeters' and mentioners' number of followers and friends.
 The study utilized both Logistic Regression and Random Forests as learning models, with Random Forests showing particularly strong performance due to its ability to account for temporal dependencies.</t>
  </si>
  <si>
    <t>3,395,901 tweets, 25,538 accounts, 29,193,267 tweets, 25,000 users</t>
  </si>
  <si>
    <t>The analyzed dataset consisted of:
 - ISIS accounts: 3,395,901 tweets from 25,538 accounts.
 - Users exposed to ISIS: 29,193,267 tweets from 25,000 randomly sampled users.
 Uncertainty: The exact number of users in the ISIS accounts dataset is not specified, but it is implied to be 25,538.</t>
  </si>
  <si>
    <t>The machine learning algorithms used in this study were Logistic Regression and Random Forests. The study also analyzed the predictive power of various features, but did not specify additional algorithms used beyond these two.</t>
  </si>
  <si>
    <t>Logistic Regression, Random Forests, Precision, Recall, F1, AUC</t>
  </si>
  <si>
    <t>The performance metrics and their reported values for each machine learning model in the study are as follows:
 - **Logistic Regression:**
  - Precision: 0.778
  - Recall: 0.506
  - F1: 0.599
  - AUC: 0.756
 - **Random Forests:**
  - Precision: 0.855
  - Recall: 0.893
  - F1: 0.874
  - AUC: 0.871
 These metrics are reported for the detection of extremist user accounts in a time-independent (static) scenario. The AUC values range from 75.6% to 87.1%, with Random Forests performing better than Logistic Regression.</t>
  </si>
  <si>
    <t>The social network or platform used for data collection was Twitter. The data were collected from Twitter's gardenhose data source, which provides roughly 10% of the Twitter stream.</t>
  </si>
  <si>
    <t>Stylometric features, time-based features, sentiment-based features</t>
  </si>
  <si>
    <t>The machine learning models were trained using a combination of stylometric features, time-based features, and sentiment-based features. Specifically:
 - Stylometric features: Function words, frequent words, punctuation, hashtags, letter bigrams, and word bigrams.
 - Time-based features: Hour of day, period of day, day of week, and type of day (weekday/weekend).
 - Sentiment-based features: Although explicitly mentioned, the exact number and nature of these features are not detailed in the provided contexts.
 Uncertainty: The exact number and nature of sentiment-based features are not fully specified.</t>
  </si>
  <si>
    <t>The size of the analyzed dataset is not explicitly stated in the provided contexts. The contexts describe the datasets (TW-PRO, TW-RAND, TW-CON) but do not mention the number of tweets in each dataset.</t>
  </si>
  <si>
    <t>AdaBoost, SVM, Naive Bayes</t>
  </si>
  <si>
    <t>The machine learning algorithms used in this study were AdaBoost, SVM (Support Vector Machine), and Naive Bayes. AdaBoost performed particularly well, achieving 100% accuracy in some cases.</t>
  </si>
  <si>
    <t>SVM, Naive Bayes, AdaBoost, accuracy, true positives, false positives, false negatives, true negatives</t>
  </si>
  <si>
    <t>The performance metrics and their reported values for each machine learning model in the study are as follows:
 - **TW-RAND and TW-PRO (Table IV):**
  - SVM: 99.1% accuracy (1974 true positives, 24 false positives, 11 false negatives, 1990 true negatives)
  - Naive Bayes: 99.9% accuracy (1997 true positives, 1 false positive, 114 false negatives, 1990 true negatives)
  - AdaBoost: 100% accuracy (1998 true positives, 0 false positives, 0 false negatives, 1991 true negatives)
 - **TW-CON and TW-PRO (Table V):**
  - SVM: 97.9% accuracy (3099 true positives, 92 false positives, 74 false negatives, 4813 true negatives)
  - Naive Bayes: 89.0% accuracy (2877 true positives, 314 false positives, 574 false negatives, 4313 true negatives)
  - AdaBoost: 100% accuracy (1600 true positives, 0 false positives, 0 false negatives, 2905 true negatives)
 - **Full dataset (Table VI):**
  - SVM: 97.9% accuracy
  - Naive Bayes: 89.0% accuracy
  - AdaBoost: 99.5% accuracy (1182 true positives, 11 false positives, 8 false negatives, 2799 true negatives)
 Uncertainty: The exact values for false positives, false negatives, and true negatives are not provided for the full dataset in Table VI.</t>
  </si>
  <si>
    <t>The social network or platform used for data collection was Twitter. This is evident from the context mentioning "tweets" and the use of Twitter-specific features and hashtags in the analysis.</t>
  </si>
  <si>
    <t>The features used to train the machine learning models in this study include:
 - Twitter handle’s related features: length of the handle, number of unique characters, and complexity (approximated using entropy).
 - Profile related features: number of followers, friends, and tweets, existence of profile description and location, account verification status, and geo-enabling.
 - Content related features: number of URLs, number of hashtags, and sentiment of the content.
 Uncertainty: The exact parameters and settings for some models are not fully specified in the provided contexts.</t>
  </si>
  <si>
    <t>The analyzed dataset consisted of 300K highly extremism-related tweets after filtering from the initial 1.6M raw tweets. Uncertainty: The exact size of the raw dataset is specified as 1.6M, but the filtered dataset size is clearly stated as 300K.</t>
  </si>
  <si>
    <t>Semi-Supervised: Laplacian SVM, LabelSpreading with RBF and KNN kernels, co-training learner with two SVMs, Supervised: SVM, KNN, Gaussian naïve Bayes, logistic regression, AdaBoost, random forest, Char-LSTM</t>
  </si>
  <si>
    <t>The machine learning algorithms used in this study include:
 - **Semi-Supervised**: Laplacian support vector machines (Laplacian SVM), graph inference-based label spreading approach (LabelSpreading) with radial basis function (RBF) and K-nearest neighbor (KNN) kernels, and co-training learner with two SVMs.
 - **Supervised**: SVM, KNN, Gaussian naïve Bayes, logistic regression, AdaBoost, random forest, and Char-LSTM.
 Uncertainty: The exact parameters and configurations for each algorithm are not fully specified in the provided contexts.</t>
  </si>
  <si>
    <t>Precision, Recall, F1-score</t>
  </si>
  <si>
    <t>The performance metrics and their reported values for each machine learning model in the study are as follows:
 | Learner | Precision | Recall | F1-score |
 | -------------------- | --------- | ------ | -------- |
 | SVM | 0.96 | 0.5 | 0.65  |
 | Char-LSTM | 0.77 | 0.76  | 0.76  |
 | LabelSpreading (RBF) | 0.85 | 0.69  | 0.76  |
 | Laplacian SVM | 0.89 | 0.6 | 0.7 |
 | LabelSpreading (KNN) | 0.83 | 0.67  | 0.73  |
 | Co-Training (SVM) | 0.9  | 0.53  | 0.66  |
 | KNN | 0.81 | 0.7 | 0.74  |
 | Gaussian NB | 0.89 | 0.56  | 0.69  |
 | Logistic Regression | 0.76 | 0.61  | 0.67  |
 | AdaBoost  | 0.88 | 0.58  | 0.69  |
 | Random Forest | 0.79 | 0.71  | 0.74  |
 Note: The precision for SVM is 0.96, for Char-LSTM it is 0.77, and for LabelSpreading (RBF) it is 0.85. The recall for SVM is 0.5, for Char-LSTM it is 0.76, and for LabelSpreading (RBF) it is 0.69. The F1-score for SVM is 0.65, for Char-LSTM it is 0.76, and for LabelSpreading (RBF) it is 0.76.</t>
  </si>
  <si>
    <t>The social network used for data collection is Twitter. The contexts mention "Twitter handle’s related features" and refer to "Twitter" as the platform where extremist accounts are active and where the data for analysis is sourced.</t>
  </si>
  <si>
    <t>Religious terms, War-related terms, Bad words, Negative emotions, Emoticons, Internet slangs</t>
  </si>
  <si>
    <t>The features used to train the machine learning models in this study include:
 - Religious terms
 - War-related terms
 - Bad words
 - Negative emotions
 - Emoticons
 - Internet slangs
 These features were derived from the frequency distribution of various terms present in the training and testing datasets. The study found that religious, war-related, bad words, and negative emotions are particularly important features for the one-class SVM classifier, while internet slangs and exclamation marks are less critical but still affect accuracy to some extent.</t>
  </si>
  <si>
    <t>The analyzed dataset consisted of 45,344,958 English tweets after discarding non-English tweets. A random sample of 1,000,000 tweets was used as the testing (or validation) dataset.</t>
  </si>
  <si>
    <t>one-class SVM, K-Nearest Neighbors</t>
  </si>
  <si>
    <t>The machine learning algorithms used in this study were **one-class SVM (Support Vector Machine)** and **K-Nearest Neighbors (KNN)**.</t>
  </si>
  <si>
    <t>KNN Classifier, LibSVM Classifier</t>
  </si>
  <si>
    <t>The performance metrics and their reported values for each machine learning model in the study are as follows:
 - **KNN Classifier:**
  - Precision: 0.48
  - Recall: 0.81
  - F-Score: 0.60
  - Accuracy: 0.90
 - **LibSVM Classifier:**
  - Precision: 0.78
  - Recall: 0.88
  - F-Score: 0.83
  - Accuracy: 0.97
 The reported values are based on the confusion matrices and accuracy results provided in Table 6(c).</t>
  </si>
  <si>
    <t>The social network or platform used for data collection was Twitter. This is evident from the contexts mentioning "TwitterCrawl" in the dataset names and the description of tweets as "short messages" typical of Twitter's platform.</t>
  </si>
  <si>
    <t>lemmatized tweets, lemmatization, filtering duplicates, tokenizing, removing diacritic marks, normalizing, lemmatizing</t>
  </si>
  <si>
    <t>The features used to train machine learning models in this study were processed text data, specifically lemmatized tweets. The lemmatization process involved filtering duplicates, tokenizing into uni/bi/tri-grams, removing diacritic marks, normalizing by deleting repeated letters, and lemmatizing to remove inflectional endings. Lemmatized data produced the best accuracy and was used for training the models.</t>
  </si>
  <si>
    <t>24,078 tweets</t>
  </si>
  <si>
    <t>The analyzed dataset consisted of 24,078 tweets. This size was determined from the context provided in the data collection section, where it states: "After exhausting the #OpISIS list, we used the list of accounts from the CtrlSection 1 Twitter group [19]. These efforts resulted in 173 accounts having 24,078 tweets."</t>
  </si>
  <si>
    <t>The machine learning algorithms used in this study were K-nearest neighbor (KNN), Bernoulli Naive Bayes (BNB), and support vector machine (SVM) with both one-against-all (OAA) and all-against-all (OAO) classifiers.</t>
  </si>
  <si>
    <t>SVM-OAA, KNN, BNB</t>
  </si>
  <si>
    <t>The performance metrics and their reported values for each machine learning model in the study are as follows:
 - **SVM-OAA:**
  - Precision: 81.6%
  - Recall: 83.6%
  - F1-score: 82.6%
  - Accuracy: 77.6%
 - **KNN:**
  - Precision: 75.3%
  - Recall: 77.9%
  - F1-score: 76.6%
  - Accuracy: 76.3%
 - **BNB:**
  - Precision: 70.3%
  - Recall: 77.5%
  - F1-score: 76.3%
  - Accuracy: 76.1%
 Uncertainty: The accuracy for BNB is not explicitly stated in the table but can be inferred from the context.</t>
  </si>
  <si>
    <t>The social network or platform used for data collection was Twitter. This is evident from the detailed description of collecting tweets from suspected ISIS accounts and the use of Twitter-specific tools like hashtags (#OpISIS) and the Tweepy tool for data retrieval.</t>
  </si>
  <si>
    <t>[54]</t>
  </si>
  <si>
    <t>TF-IDF features, PCA-based reduced features</t>
  </si>
  <si>
    <t>The features used to train the machine learning models in this study include:
 - **TF-IDF features** computed from n-gram terms (uni-gram and bi-gram) in the tweets.
 - **PCA-based reduced features** obtained by reducing the high-dimensional TF-IDF features to preserve 95% or 90% variance.
 These features were used to train various classification models such as SVM, naïve Bayes, decision tree, random forest, KNN, and ensemble methods (with bagging and boosting).</t>
  </si>
  <si>
    <t>The analyzed dataset consisted of 7500 tweets collected from Twitter after the Kunduz Madrassa attack in Afghanistan from April 2 to April 8, 2018. After filtering out duplicates and irrelevant tweets, the final dataset had 3380 unique tweets.</t>
  </si>
  <si>
    <t>The machine learning algorithms used in this study include Support Vector Machine (SVM), naïve Bayes', decision tree, random forest, KNN, and ensemble classification methods (with bagging and boosting).</t>
  </si>
  <si>
    <t>The performance metrics and their reported values for each machine learning model in the study are as follows:
 - **Naïve Bayes**:
  - Unigram: Accuracy = 83.16%, Precision = 82.81%, Recall = 80.2%, F-Score = 81.48%
  - Bigram: Accuracy = 81.05%, Precision = 79.73%, Recall = 80.84%, F-Score = 80.28%
  - Reduced Feature Set (PCA): Accuracy = 68.06%, Precision = 67.87%, Recall = 67.70%, F-Score = 67.78%
 - **SVM**:
  - Unigram: Accuracy = 80.73%, Precision = 80.65%, Recall = 77.21%, F-Score = 78.89%
  - Bigram: Accuracy = 84.71%, Precision = 85.18%, Recall = 83.15%, F-Score = 84.15%
  - Reduced Feature Set (PCA): Accuracy = 74.10%, Precision = 75.00%, Recall = 73.21%, F-Score = 74.09%
 - **Decision Tree**:
  - Unigram: Accuracy = 76.06%, Precision = 79.56%, Recall = 69.28%, F-Score = 74.06%
  - Bigram: Accuracy = 77.43%, Precision = 80.22%, Recall = 71.34%, F-Score = 75.52%
  - Reduced Feature Set (PCA): Accuracy = 70.70%, Precision = 76.17%, Recall = 68.77%, F-Score = 72.28%
 - **Random Forest**:
  - Unigram: Accuracy = 70.70%, Precision = 74.04%, Recall = 70.04%, F-Score = 71.98%
  - Bigram: Accuracy = 69.56%, Precision = 84.70%, Recall = 50.87%, F-Score = 63.56%
  - Reduced Feature Set (PCA): Accuracy = 76.00%, Precision = 78.77%, Recall = 74.69%, F-Score = 76.68%
 - **KNN**:
  - Unigram: Accuracy = 74.78%, Precision = 73.05%, Recall = 72.82%, F-Score = 72.93%
  - Bigram: Accuracy = 73.87%, Precision = 70.34%, Recall = 66.29%, F-Score = 68.25%
  - Reduced Feature Set (PCA): Accuracy = 72.55%, Precision = 73.85%, Recall = 73.33%, F-Score = 73.59%
 - **Bagging**:
  - Unigram: Accuracy = 83.12%, Precision = 82.21%, Recall = 81.01%, F-Score = 81.61%
  - Bigram: Accuracy = 83.66%, Precision = 81.89%, Recall = 80.01%, F-Score = 80.94%
  - Reduced Feature Set (PCA): Accuracy = 70.17%, Precision = 73.91%, Recall = 68.44%, F-Score = 71.07%
 - **Boosting**:
  - Unigram: Accuracy = 81.81%, Precision = 80.30%, Recall = 78.56%, F-Score = 79.42%
  - Bigram: Accuracy = 84.43%, Precision = 86.29%, Recall = 82.76%, F-Score = 84.49%
  - Reduced Feature Set (PCA): Accuracy = 72.52%, Precision = 73.39%, Recall = 71.43%, F-Score = 72.40%
 Uncertainty: The reported values are based on 10-fold cross-validation.</t>
  </si>
  <si>
    <t>The social network or platform used for data collection was Twitter. This was done using the Twitter Streaming API to extract tweets based on specific query terms related to the #kunduz event in Afghanistan.</t>
  </si>
  <si>
    <t>Security-related keywords, Document vectorization, Security association rules</t>
  </si>
  <si>
    <t>The features used to train machine learning models in this study include:
 - Security-related keywords (e.g., "prisoner", "commander", "killing", "guns", "Bombs", "explosive", "enemy", "militant" for the "War-Terrorism" category).
 - Document vectorization based on the presence of these security-related keywords rather than their frequency.
 - Security association rules derived from the co-occurrence of these keywords to identify new categories of topics.
 These features were used to vectorize documents and classify them into security-related categories.</t>
  </si>
  <si>
    <t>The analyzed dataset consisted of tweets captured using a customized crawler for the hashtag 'Alqaeda'. Each excel file stored 10,000 tweets, and a new file was created for additional tweets. Uncertainty: The total number of files and thus the total number of tweets is not specified.</t>
  </si>
  <si>
    <t>rule-based classification, text vectorization, keyword matching</t>
  </si>
  <si>
    <t>Based on the provided contexts, the study did not explicitly mention the specific machine learning algorithms used. However, the approach involved a rule-based system augmented by security dictionaries and security association rules. The security association rules were derived from the co-occurrence of security-related keywords and were pruned to identify relevant categories. Therefore, while not explicitly stated, the machine learning algorithms likely involved rule-based classification and possibly some form of text vectorization or keyword matching techniques.
 Uncertainty: The specific machine learning algorithms are not fully specified in the contexts.</t>
  </si>
  <si>
    <t>Not explicitly provided</t>
  </si>
  <si>
    <t>The performance metrics and their reported values for each machine learning model in the study are not explicitly provided in the given contexts. The study focuses on a rule-based approach for classifying messages into topics and identifying hidden networks in online social networks, particularly on Twitter. Key aspects include:
 - **Security Dictionaries**: Created for topics like 'Media', 'Operations', 'War-Terrorism', 'Extremism', 'Jihad', 'Country', and 'Alqaeda'.
 - **Document Vectorization**: Documents are vectorized based on the presence of security-related keywords rather than their frequency.
 - **Security Associations**: Rules that help predict final topics based on the co-occurrence of security-related terms.
 - **Rule Pruning**: Pruning of rules to identify the most relevant ones.
 - **Topic Identification**: Topics are identified using the security association rules.
 - **Temporal Category Rank**: The technique can be extended to compute topic rank along temporal dimensions.
 While the study discusses the methodology and approach, it does not provide specific performance metrics or reported values for machine learning models.</t>
  </si>
  <si>
    <t>Twitter was used for data collection. The experiments were conducted on Twitter due to its popularity and the availability of APIs for extracting data.</t>
  </si>
  <si>
    <t>Nouns, nominal adjectives, noun phrases, sequential patterns, non-sequential patterns, pattern length, frequency, pattern weight, matching scores</t>
  </si>
  <si>
    <t>The features used to train machine learning models in this study include:
 - Nouns, nominal adjectives, and noun phrases from the chat log
 - Sequential and non-sequential patterns mined using SPMining and NSPMining methods
 - Pattern length (L) and frequency (F) 
 - Pattern weight (PW) calculated as FWp * L, where FWp = ∑1n Fp * T and T is human intervention to assign relevance
 - Matching scores between test patterns and stored patterns in the database
 Uncertainty: The exact machine learning model used is not specified in the provided contexts.</t>
  </si>
  <si>
    <t>not fully specified</t>
  </si>
  <si>
    <t>The size of the analyzed dataset is not fully specified in the contexts. However, the contexts indicate that the dataset consists of WhatsApp group chat logs, and the pattern database grows by processing multiple chat logs that are already identified for spreading threats. The contexts provide examples of patterns extracted from chat logs, but the exact number of chat logs or the total size of the dataset is not mentioned.</t>
  </si>
  <si>
    <t>FP-growth, SPMining, NSPMining</t>
  </si>
  <si>
    <t>The study used the FP-growth algorithm and SPMining/NSPMining methods for pattern mining. These algorithms were used to search for both sequential and non-sequential patterns in the WhatsApp group chat logs. Uncertainty: The contexts do not explicitly list all machine learning algorithms used, but focus on the pattern mining techniques.</t>
  </si>
  <si>
    <t>Frequency, Length, Frequency Weight, Pattern Weight, Matching Score</t>
  </si>
  <si>
    <t>The performance metrics and their reported values for each machine learning model in the study are not explicitly provided. However, based on the information given, the study focuses on pattern mining and prediction using natural language processing techniques. The key metrics include:
 - **Frequency (F)**: Number of occurrences of a pattern in the chat log.
 - **Length (L)**: Number of elements in a pattern.
 - **Frequency Weight (FW)**: Calculated as \(FW_p = \sum_{1}^{n} F_p \times T\), where \(T\) is 0 or 1 indicating relevance.
 - **Pattern Weight (PW)**: Calculated as \(PW_p = FW_p \times L\).
 - **Matching Score (MScore)**: Calculated based on the number of matched elements and pattern weights.
 The study does not report specific performance metrics like accuracy, precision, recall, or F1-score for the machine learning models used. The focus is more on the process of pattern mining and prediction.</t>
  </si>
  <si>
    <t>WhatsApp was used for data collection. The data was gathered from WhatsApp group chats related to provoking riots and civil unrest, though synthetic data based on dark web datasets was also created due to security issues in directly collecting WhatsApp chat data.</t>
  </si>
  <si>
    <t>Bag-of-words, word embeddings, dense vector representations, SVM, Random Forest, MaxEnt, feedforward neural network, LSTM</t>
  </si>
  <si>
    <t>The features used to train machine learning models in this study include:
 - Bag-of-words technique to build a term document matrix.
 - Word embeddings generated using the word2vec framework, specifically trained separately for Radical and Non-Radical texts.
 - Dense vector representations of words learned by word2vec, trained using a Levenberg training mechanism.
 These features were used to train SVM, Random Forest, MaxEnt, and a feedforward neural network supported by LSTM for text classification.</t>
  </si>
  <si>
    <t>The analyzed dataset consisted of 61,601 records collected from online social media sources, with each record comprising an average of 500 words.</t>
  </si>
  <si>
    <t>The machine learning algorithms used in this study are SVM (Support Vector Machine), Random Forest, and MaxEnt (Maximum Entropy Classifier).</t>
  </si>
  <si>
    <t>The performance metrics and their reported values for each machine learning model in the study are as follows:
 - **Feedforward NN**: Precision = 85.96%, Recall = 53.26%, F-score = 65.77%
 - **Random Forest**: Precision = 73.50%, Recall = 64.00%, F-score = 65.55%
 - **SVM**: Precision = 53.50%, Recall = 50.50%, F-score = 45.00%
 - **MaxEnt**: Precision = 69.50%, Recall = 68.00%, F-score = 68.55%
 LSTM values are not provided in the table but are represented in Figure 5. The kappa coefficient is not a performance metric for the models listed and is not relevant to the performance measures provided in Table 6.</t>
  </si>
  <si>
    <t>The data was collected from multiple online social media sources including Blogs, Articles, Twitter, and News. Twitter was one of the platforms used for data collection.
 Uncertainty: The exact proportion of data collected from each platform is not specified.</t>
  </si>
  <si>
    <t>Textual Features, Psychological Features, Behavioral Features</t>
  </si>
  <si>
    <t>The features used to train the machine learning models in this study include:
 - **Textual Features (FT):** These include tf-idf and word2vec embeddings, as well as unigrams like all-caps count, URL count, violent-word ratio, and hash count.
 - **Psychological Features (FP):** These include radical psych-profile distance and us-them dichotomy.
 - **Behavioral Features (FB):** These include the number of mentions a user makes and their HITS hub and authority rank.
 The study found that the FP features, particularly the radical psych-profile distance, contributed most to the classification task.</t>
  </si>
  <si>
    <t>The analyzed datasets had the following sizes:
 - Known-bad dataset: around 17,000 tweets from more than 100 users.
 - Random-good dataset: around 8,000 tweets from around 1,000 users.
 - Counterpoise dataset: 122,000 tweets from around 95,000 users.</t>
  </si>
  <si>
    <t>The machine learning algorithms used in this study included Random Forest (RF), Neural Networks (NN), Support Vector Machines (SVM), and K-Nearest Neighbors (KNN). However, the study primarily reported results using the Random Forest model, which was configured with 100 estimators and a maximum depth of 50, using the gini impurity criterion for splitting. The study also applied cost-sensitive learning to handle imbalanced data.</t>
  </si>
  <si>
    <t>Exp 1, Exp 2, FT (tf-idf), FT (w2v), FT, FB, FFP, ALL, AC, Precision, Recall, F-measure</t>
  </si>
  <si>
    <t>The performance metrics and their reported values for each machine learning model in the study are as follows:
 - **Exp 1:**
  - **FT (tf-idf):** Accuracy (AC) = 0.52, Precision = 0.76, Recall = 0.52, F-measure = 0.37
  - **FT (w2v):** AC = 0.81, Precision = 0.82, Recall = 0.81, F-measure = 0.81
  - **FT:** AC = 0.84, Precision = 0.84, Recall = 0.84, F-measure = 0.84
  - **FB:** AC = 0.94, Precision = 0.95, Recall = 0.94, F-measure = 0.94
  - **FFP:** AC = 1.0, Precision = 1.0, Recall = 1.0, F-measure = 1.0
  - **ALL:** AC = 1.0, Precision = 1.0, Recall = 1.0, F-measure = 1.0
 - **Exp 2:**
  - **FT (tf-idf):** AC = 0.56, Precision = 0.69, Recall = 0.56, F-measure = 0.48
  - **FT (w2v):** AC = 0.73, Precision = 0.73, Recall = 0.73, F-measure = 0.73
  - **FT:** AC = 0.80, Precision = 0.80, Recall = 0.80, F-measure = 0.80
  - **FB:** AC = 0.91, Precision = 0.92, Recall = 0.91, F-measure = 0.91
  - **FP:** AC = 1.0, Precision = 1.0, Recall = 1.0, F-measure = 1.0
 The study primarily used Random Forest (RF) and Neural Networks (NN) models, with RF producing the best performance. The RF model was configured with 100 estimators, a maximum depth of 50, and gini impurity as the split criterion. The out-of-bag samples were used to estimate generalization accuracy, and cost-sensitive learning was applied to handle imbalanced data.</t>
  </si>
  <si>
    <t>The social network or platform used for data collection was Twitter. This is evident from the description of datasets consisting of tweets posted by known pro-ISIS Twitter accounts and random samples of tweets from trending topics on Twitter.</t>
  </si>
  <si>
    <t>Tf-idf terms weighting, Stopwords removal, Univariate selection, Principal component analysis (PCA), Features importance based on L1 selection, Bigram vectorizer, n-grams, penalty types</t>
  </si>
  <si>
    <t>The features used to train the machine learning models in this study include:
 - **Tf-idf terms weighting**: To assign weights to important words for appropriate classification.
 - **Stopwords removal**: To remove uninformative words like 'and', 'the', 'him', etc.
 - **Univariate selection**: To choose the features with the strongest association using the SelectKBest class.
 - **Principal component analysis (PCA)**: To reduce the dimensionality of the data using truncated Singular Value Decomposition.
 - **Features importance based on L1 selection**: To select important features using L1-based feature selection with Linear Support Vector Classifier.
 - **Bigram vectorizer**: To extract bigrams from the text corpus.
 The study also used different n-grams (unigrams and bigrams) and penalty types (L1 and L2) for feature extraction and model training.</t>
  </si>
  <si>
    <t>The total size of the analyzed dataset is 19,497. This can be seen from both Table 9 and Table 19, which show the "Total dataset" column summing up to 19,497 across different classifications.</t>
  </si>
  <si>
    <t>Linear Support Vector Classifier, Multinomial Naive Bayes</t>
  </si>
  <si>
    <t>The machine learning algorithms used in this study were Linear Support Vector Classifier and Multinomial Naive Bayes.</t>
  </si>
  <si>
    <t>The performance metrics and their reported values for each machine learning model in the study are as follows:
 - **Linear Support Vector Classifier:**
  - Accuracy: 82% (average of 10-fold cross-validation: 0.78392217, 0.73002049, 0.75179487, 0.81384615, 0.84153846, 0.85120575, 0.84556183, 0.83119548, 0.75731144, 0.77207392)
  - Precision: 0.86 (Moderate), 0.76 (Neutral), 0.66 (Low Extreme), 0.87 (Highly Extreme)
  - Recall: 0.92 (Moderate), 0.86 (Neutral), 0.33 (Low Extreme), 0.93 (Highly Extreme)
  - F1 Score: 0.89 (Moderate), 0.81 (Neutral), 0.44 (Low Extreme), 0.90 (Highly Extreme)
 - **Multinomial Naive Bayes:**
  - Accuracy: 66%
  - Precision: 0.68 (Moderate), 0.67 (Neutral), 0.44 (Low Extreme), 0.71 (Highly Extreme)
  - Recall: 0.75 (Moderate), 0.46 (Neutral), 0.30 (Low Extreme), 0.88 (Highly Extreme)
  - F1 Score: 0.71 (Moderate), 0.55 (Neutral), 0.36 (Low Extreme), 0.78 (Highly Extreme)
 Uncertainty: The reported values for Linear Support Vector Classifier's accuracy are averages from 10-fold cross-validation, while Multinomial Naive Bayes's accuracy is a single value.</t>
  </si>
  <si>
    <t>The social network used for data collection was Facebook. Data was collected from Facebook news pages including ARY news, Ptv news, Dawn, The News, Samaa, Express, Dunya news, and Geo.</t>
  </si>
  <si>
    <t>stylometric features, time pattern features</t>
  </si>
  <si>
    <t>The features used to train the machine learning models in this study were stylometric features (SF) and time pattern features (TF). Specifically, there were 613 features in total, with 31 time pattern features (24 for hours and 7 for days) and the rest being stylometric features.</t>
  </si>
  <si>
    <t>The analyzed dataset sizes are as follows:
 - **TT TEST dataset**: 5,297 tweets
 - **TT FEATURE dataset**: 48,644 unique tweets
 The exact size of the **TT TRAIN dataset** is not specified in the provided contexts, but it is mentioned to be derived from the TT FEATURE dataset through manual classification and assumed classification based on hashtag occurrences.</t>
  </si>
  <si>
    <t>Naive Bayes, SVM, AdaBoost Classification, Random Forest Classification</t>
  </si>
  <si>
    <t>The machine learning algorithms used in this study were:
 - Naive Bayes
 - SVM (Support Vector Machines)
 - AdaBoost Classification
 - Random Forest Classification
 Uncertainty: The context mentions AdaBoost and Random Forest Classification but does not explicitly state they were used in this specific study.</t>
  </si>
  <si>
    <t>The data was extracted from Twitter using the Twitter Search REST API.</t>
  </si>
  <si>
    <t>Q1: What were the machine learning algorithms used in this study?</t>
  </si>
  <si>
    <t>Q2: What features were used to train machine learning models in this study?</t>
  </si>
  <si>
    <t>Q3: Which social network or platform was used for data collection?</t>
  </si>
  <si>
    <t>Q4: What was the size of the analyzed dataset?</t>
  </si>
  <si>
    <t>Q5: What were the performance metrics and their reported values for each machine learning model in the study?</t>
  </si>
  <si>
    <t>Emotion-based, semantic similarity based; EmoFeat and SIMON</t>
  </si>
  <si>
    <t>twitter but from kaggle + magazines</t>
  </si>
  <si>
    <t>90.60% as F-Score.</t>
  </si>
  <si>
    <t>naive-small</t>
  </si>
  <si>
    <t>iter-retgen-small</t>
  </si>
  <si>
    <t>react-small</t>
  </si>
  <si>
    <t>Factual Accuracy / Correctness</t>
  </si>
  <si>
    <t>Hallucination Detection</t>
  </si>
  <si>
    <t>Completeness</t>
  </si>
  <si>
    <t>Relevance / Answerable</t>
  </si>
  <si>
    <t>Extraneous Information</t>
  </si>
  <si>
    <t>Source Locatability</t>
  </si>
  <si>
    <t>Presence</t>
  </si>
  <si>
    <t>"For Twitter-ISIS dataset: accuracy reached up to 81% (Logistic Regression) and 86% (Random Forest) in multi-view learning.
For Cyber-Recruitment dataset: F-scores were 93.81% (RF) and 87.39% (LGS), compared to 95.47% and 91.53% in fully supervised settings."</t>
  </si>
  <si>
    <t>own algorithm, semi-supervised learning</t>
  </si>
  <si>
    <t>function words, frequent words, punctuation, hashtags, letter bigrams, word bigrams; Stylometric, time-based, sentiment-based features</t>
  </si>
  <si>
    <t>Tf-idf terms weighting, Stopwords removal, Common vectorizer,  Univariate selection, Principle component analysis, Features on the basis of importance, lexicons</t>
  </si>
  <si>
    <t xml:space="preserve"> 20,000 rows (476,050 words) and 4300 lexicons word count;19,497 posts and comments (training: 15,597; testing: 3,900). </t>
  </si>
  <si>
    <t>90.60% as F-Score. Precision, Recall, F1, Acc</t>
  </si>
  <si>
    <t>The Y axis represents the percentage of tweets out
 of 24,078</t>
  </si>
  <si>
    <t>3228 text posts made by 2224 unique bloggers</t>
  </si>
  <si>
    <t>Naive Bayes, SVM, Random Forest, Decision Tree, KNN</t>
  </si>
  <si>
    <t>word embeddings - word2vec, Embeddings were used to train the LSTM model, while for benchmarks term-document matrix was created with bag-of-words</t>
  </si>
  <si>
    <r>
      <rPr>
        <rFont val="Arial"/>
        <b/>
        <color theme="1"/>
      </rPr>
      <t>Random Forest (RF)</t>
    </r>
    <r>
      <rPr>
        <rFont val="Arial"/>
        <color theme="1"/>
      </rPr>
      <t>, Neural Networks (NN), Support Vector Machine (SVM), and K-Nearest Neighbors (KNN).</t>
    </r>
  </si>
  <si>
    <t>accuracy, precision, recall, F1, and AUC.</t>
  </si>
  <si>
    <t>video titles, profile info, subscribers, featured channels, contacts,</t>
  </si>
  <si>
    <t xml:space="preserve"> - True Positives (Relevant and Predicted as Relevant)
 - False Negatives (Relevant but Predicted as Irrelevant)
 - False Positives (Irrelevant but Predicted as Relevant)
 - True Negatives (Irrelevant and Predicted as Irrelevant)</t>
  </si>
  <si>
    <t>6729 usernames of known jihadist was used to filter to ensure relevance, of tweets, in total 30 tweeps from twitter guide and 45 tweeps from multipliers of jihadist and latest 3400 tweets were downloaded from each; The dataset included ~1,172 tweeps (users) and ~148,766 tweets (27.7k pro-jihad English, 60k random English, 16k pro-jihad Arabic, 45k random Arabic).</t>
  </si>
  <si>
    <t>precision accuracy recall</t>
  </si>
  <si>
    <t>unigrams, LIWC, Word2Vec, sentiment/emotion lexicons, and political terms word frequencies (unigrams), psychological language categories (LIWC), automatically generated semantic topics (Word2Vec clusters), sentiment and emotion scores from lexicons, and manually curated lists of political terms and proper names.</t>
  </si>
  <si>
    <t>RMSE, accuracy</t>
  </si>
  <si>
    <t xml:space="preserve"> precision, recall, F1.</t>
  </si>
  <si>
    <t>DWFP</t>
  </si>
  <si>
    <t>f-measure, accuracy</t>
  </si>
  <si>
    <t>Annotator 2 sum</t>
  </si>
  <si>
    <t>Annotator 1 sum</t>
  </si>
  <si>
    <t>naive</t>
  </si>
  <si>
    <t>iter-retgen</t>
  </si>
  <si>
    <t>react_extract</t>
  </si>
  <si>
    <t>-</t>
  </si>
  <si>
    <r>
      <rPr>
        <rFont val="Arial"/>
        <b/>
        <color theme="1"/>
      </rPr>
      <t>Random Forest (RF)</t>
    </r>
    <r>
      <rPr>
        <rFont val="Arial"/>
        <color theme="1"/>
      </rPr>
      <t>, Neural Networks (NN), Support Vector Machine (SVM), and K-Nearest Neighbors (KNN).</t>
    </r>
  </si>
  <si>
    <t>f-measure, accurayc</t>
  </si>
  <si>
    <t>Cohen's Kappa</t>
  </si>
  <si>
    <t>Paper name</t>
  </si>
  <si>
    <t>SALMON: survival analysis learning with multi-omics neural networks on breast cancer fgene-10-00166.pdf</t>
  </si>
  <si>
    <t>Which model was used?</t>
  </si>
  <si>
    <t>Which feature types?</t>
  </si>
  <si>
    <t>Data source?</t>
  </si>
  <si>
    <t>Application fields?</t>
  </si>
  <si>
    <t>SALMON was designed and implemented in PyTorch 1.0.
mRNA-seq and miRNA-seq eigengene matrices were firstly
connected to hidden layers with dimensions 8 and 4, respectively,
then connected to the final output (hazard ratio) with Cox
proportional hazards regression networks. Alternatively, CNB,
TMB, and demographical and clinical information (diagnosis age, ER status, PR status) had no hidden layer and were
connected to final output directly as covariates.</t>
  </si>
  <si>
    <t>In this experiment, we analyzed 583 female breast invasive
carcinoma (BRCA) patients which had five omics data types
including gene expression data (illuminahiseq_rnaseqv2-
RSEM_genes_normalized) and miRNA data
(illuminahiseq_mirnaseq-miR_gene_expression) from Broad
GDAC Firehose (https://gdac.broadinstitute.org/), copy number
burden (CNB) was measured by total Kb length and the data
(broad.mit.edu_PANCAN_Genome_Wide_SNP_6_whitelisted.
seg) was provided from Pan-Cancer Atlas (PanCanAtlas)
Initiative (https://gdc.cancer.gov/about-data/publications/
pancanatlas). Tumor mutation burden (TMB) was calculated
by the total number of mutated genes based on MAF files
(Mutation_Packager_Oncotated_Calls) from Broad GDAC
Firehose. Demographical and clinical information (diagnosis
age, Estrogen Receptor (ER) status, Progesterone Receptor
(PR) status) and overall survival (OS) events and months
were collected from cBioPortal (http://www.cbioportal.org/).
HER2 status was not considered in this article because of
insufficient data.
|#&gt;
SALMON was designed and implemented in PyTorch 1.0.
mRNA-seq and miRNA-seq eigengene matrices were firstly
connected to hidden layers with dimensions 8 and 4, respectively,
then connected to the final output (hazard ratio) with Cox
proportional hazards regression networks. Alternatively, CNB,
TMB, and demographical and clinical information (diagnosis age, ER status, PR status) had no hidden layer and were
connected to final output directly as covariates.</t>
  </si>
  <si>
    <t>In this experiment, we analyzed 583 female breast invasive
carcinoma (BRCA) patients which had five omics data types
including gene expression data (illuminahiseq_rnaseqv2-
RSEM_genes_normalized) and miRNA data
(illuminahiseq_mirnaseq-miR_gene_expression) from Broad
GDAC Firehose (https://gdac.broadinstitute.org/), copy number
burden (CNB) was measured by total Kb length and the data
(broad.mit.edu_PANCAN_Genome_Wide_SNP_6_whitelisted.
seg) was provided from Pan-Cancer Atlas (PanCanAtlas)
Initiative (https://gdc.cancer.gov/about-data/publications/
pancanatlas). Tumor mutation burden (TMB) was calculated
by the total number of mutated genes based on MAF files
(Mutation_Packager_Oncotated_Calls) from Broad GDAC
Firehose. Demographical and clinical information (diagnosis
age, Estrogen Receptor (ER) status, Progesterone Receptor
(PR) status) and overall survival (OS) events and months
were collected from cBioPortal (http://www.cbioportal.org/).
HER2 status was not considered in this article because of
insufficient data.</t>
  </si>
  <si>
    <t>We performed survival prognosis on breast cancer, proposed
a Deep Learning-based algorithm SALMON (Survival Analysis
Learning with Multi-Omics Network) by integrating Cox
proportional hazards model and adopting gene co-expression
network analysis results as input, and predict patient hazard
ratios precisely.</t>
  </si>
  <si>
    <t>Multiple FCNNs connected in a final regression layer.</t>
  </si>
  <si>
    <t>mRNA data (gene expression), miRNA data, Copy number burden, Tumor mutation burden, Diagnosis age, Estrogen receptor status, Progesteron receptor status</t>
  </si>
  <si>
    <t>Broad GDAC Firehouse, Pan-Cancer Atlas, cBioPortal</t>
  </si>
  <si>
    <t>Survival prognosis on breast cancer</t>
  </si>
  <si>
    <t>FCNN, CNN, AE, DAE, Cross-AE, VAE, OmiVAE, MMD-VAE, GNN, MOGONET, CapsNet, CapsNetMMD, OmicsGAN</t>
  </si>
  <si>
    <t>TCGA, cBioPortal, GDSC, PDX Encyclopedia, O’Neil dataset, ArrayExpress, DrugComb, SRA, ENA, GEO, PubMed, ARKdbgenome, NCBI Nucleotidedatabase, METABRIC project, CCLE, CHB-MIT dataset, MNIST, The cell line mixture dataset, Hospitals dataset from China, simulated dataset, AdBrainCortex, STITCH, STRING, BioGRID, SynLethDB, miRBase, HMDD, MeSH,DisGeNET, HumanNet, miR2disease database, ROSMAP, LIDC-IDRI, TargetScanHuman</t>
  </si>
  <si>
    <t>Prognosis, Drug response prediction, Cancer subtypes classification, Synergistic drug combination prediction, Gene regulation mechanisms, Medical imaging-assisted diagnosis, Biomarker identification, Singe cell-related study, SL prediction</t>
  </si>
  <si>
    <t>FCNN</t>
  </si>
  <si>
    <t>TCGA, cBioPortal</t>
  </si>
  <si>
    <t>Prognosis</t>
  </si>
  <si>
    <t>MOLI: multi-omics late integration with deep neural networks for drug response prediction bioinformatics_35_14_i501.pdf</t>
  </si>
  <si>
    <t>MOLI’s network consists of the following sub-networks. It has multiple feed forward encoding sub-networks, one for each input omics data type. Each encoding sub-network
receives its corresponding omics data and encodes it into a learned
feature space. The learned features from the encoding sub-networks
are integrated into one representation by concatenation. The concatenated
representation serves as input for a classification sub-network,
which predicts the drug response. The entire network is
trained in an end-to-end fashion using a cost function combining a
classification loss and a triplet loss.</t>
  </si>
  <si>
    <t>MOLI takes somatic mutation, copy number aberration and gene expression data as input, and
integrates them for drug response prediction.
|#&gt;
In this paper, we explore the problem of drug response prediction
and propose MOLI, a multi-omics late integration method
based on deep neural networks. MOLI takes somatic mutation,
CNA and gene expression data as input, and predicts the response
to a given drug as the output.</t>
  </si>
  <si>
    <t>We use four main resources in this paper:
• GDSC cell lines dataset (Iorio et al., 2016).
• PDX Encyclopedia dataset (Gao et al., 2015).
• TCGA patients with the drug response available in their records
(Ding et al., 2016).
• TCGA patients without the drug response (Weinstein et al.,
2013).</t>
  </si>
  <si>
    <t>MOLI, Multiple FCNNs whose outputs are fed to a final network</t>
  </si>
  <si>
    <t>somatic mutation, copy number aberration and gene expression data</t>
  </si>
  <si>
    <t>GDSC, PDX and TCGA</t>
  </si>
  <si>
    <t>Drug response prediction</t>
  </si>
  <si>
    <t>TCGA, cBioPortal, GDSC, PDX Encyclopedia, O’Neil dataset, ArrayExpress, DrugComb, SRA, ENA, GEO, PubMed, ARKdbgenome, NCBI Nucleotidedatabase, METABRIC project, CCLE, CHB-MIT dataset, MNIST, The cell line mixture dataset, dataset from China, simulated dataset, AdBrainCortex, STITCH, STRING, BioGRID, SynLethDB, miRBase, HMDD, MeSH,DisGeNET, HumanNet, miR2disease database, ROSMAP, LIDC-IDRI, TargetScanHuman</t>
  </si>
  <si>
    <t>Classifying Breast Cancer Subtypes Using Deep Neural Networks Based on Multi-Omics Data genes-11-00888.pdf</t>
  </si>
  <si>
    <t>For each omics data type, the features are learned by corresponding encoding subnetwork using
corresponding omics data as input. Each type of omics data has its feedforward encoding subnetwork,
which has a fully connected layer with a Relu activation function, to map the input space to the
feature space.</t>
  </si>
  <si>
    <t>Three types of omics data including mRNAdata, DNAmethylation
data, and copy number variation (CNV) data were collected from The Cancer Genome Atlas (TCGA).
###
In this study, the input of DeepMO
containsmRNAdata, DNAmethylation data, and copy number variation (CNV) data, and the output of
DeepMO is the predicted molecular subtypes of breast cancer.
###
Among these data from TCGA, three types of omics data including mRNA, DNA methylation,
and CNV data were used to compare the performance of di_x000b_erent models.</t>
  </si>
  <si>
    <t>Three types of omics data includingmRNAdata, DNAmethylation
data, and copy number variation (CNV) data were collected from The Cancer Genome Atlas (TCGA).
###
In this study, the data on breast cancer were collected from The Cancer Genome Atlas (TCGA) [35],
which is currently a very commonly used database in the field of cancer, and contains a comprehensive
range of cancer types, including various omics data and clinical data of more than 10,000 cancer
patients</t>
  </si>
  <si>
    <t>In this
study, DeepMO, a model using deep neural networks based on multi-omics data, was employed for
classifying breast cancer subtypes.
###
In this study, the input of DeepMO
containsmRNAdata, DNAmethylation data, and copy number variation (CNV) data, and the output of
DeepMO is the predicted molecular subtypes of breast cancer.</t>
  </si>
  <si>
    <t>DeepMO, Multiple FCNNs whose outputs are fed to a final network</t>
  </si>
  <si>
    <t xml:space="preserve">mRNA data, DNA methylation
data, and copy number variation (CNV) </t>
  </si>
  <si>
    <t>TCGA</t>
  </si>
  <si>
    <t>Classifying breast cancer subtype</t>
  </si>
  <si>
    <t>Cancer subtypes classification</t>
  </si>
  <si>
    <t>DeepSynergy: predicting anti-cancer drug synergy with Deep Learning bioinformatics_34_9_1538.pdf</t>
  </si>
  <si>
    <t>DeepSynergy is a feed forward neural network, which maps input
vectors representing samples to a single output value, the synergy
score. The samples are described by concatenated vectors which
include the features of two drugs and one cell line.</t>
  </si>
  <si>
    <t>DeepSynergy uses both compound as well as genomic
information as inputs.
###
We calculated three different types of chemical
features. Counts of extended connectivity fingerprints with a
radius of 6 (ECFP_6) (Rogers and Hahn, 2010) were generated with
jCompoundMapper (Hinselmann et al., 2011). Additionally,
ChemoPy (Cao et al., 2013) was used to calculate predefined
physico-chemical properties. The set of chemical features was completed
by binary toxicophore features based on a set of toxicophores
collected from the literature. Toxicophores are substructures which
are known to be toxic (Singh et al., 2016). The chemical feature
space was reduced by filtering out zero variance features. The final
set of chemical features consists of 1309 ECFP_6, 802 physicochemical
and 2276 toxicophore features. The cell lines were described by their gene expression profile.
The profiles of the untreated cells were downloaded from the
ArrayExpress database (accession number: E-MTAB-3610) (Iorio
et al., 2016). The measurements were performed on an Affymetrix
Human Genome U219 array plate. The raw data was quantile
normalized and summarized with Factor Analysis for Robust
Microarray Summarization (FARMS) (Hochreiter et al., 2006).
FARMS additionally provides Informative/Non-Informative calls
for each gene (Talloen et al., 2007), which were used to filter the
gene expression data to a final set of 3984 genomic features.</t>
  </si>
  <si>
    <t>We used a recently published large-scale oncology screen produced
by Merck &amp; Co. (O’Neil et al., 2016) to train our models. The dataset
comprises 23 062 samples, where each sample consists of two
compounds and a cell line.
###
The profiles of the untreated cells were downloaded from the
ArrayExpress database (accession number: E-MTAB-3610)</t>
  </si>
  <si>
    <t>In this work, we present DeepSynergy, a Deep Learning
approach for predicting the synergy of drug combinations and a
thorough method comparison.</t>
  </si>
  <si>
    <t>A variation of a FCNN</t>
  </si>
  <si>
    <t>Three chemical features and cell lines gene expression profile</t>
  </si>
  <si>
    <t>Merck &amp; Co. (O’Neil et al., 2016)  and ArrayExpress</t>
  </si>
  <si>
    <t>predicting the synergy of drug combinations</t>
  </si>
  <si>
    <t>O’Neil dataset, ArrayExpress</t>
  </si>
  <si>
    <t>Synergistic drug combination prediction</t>
  </si>
  <si>
    <t>MatchMaker: A Deep Learning Framework for Drug Synergy Prediction 2020.05.24.113241.full.pdf</t>
  </si>
  <si>
    <t>Unlike previous work [17, 16], which concatenate the features and predict
synergy, MatchMaker trains two parallel subnetworks, one per drug, to learn drug speci_x000c_c representation
on a particular cell line. The joint representation for the pair then becomes an input
for a third sub-network, which learns to predict drug pair synergy.
###
MatchMaker is a deep neural network-based drug synergy prediction algorithm. The architecture
is shown Figure 2. The model inputs (i) the drug chemical descriptors of a pair of drugs and (ii)
an untreated cell line gene expression pro_x000c_le as features to predict the Loewe score [19] of a drug
pair. The model contains three neural subnetworks. First, there are two subnetworks that learn
a representation of each drug conditioned on cell line gene expression of the given cell line. The
output of these two subnetworks are then concatenated and input to a third subnetwork that
predicts the _x000c_nal output.</t>
  </si>
  <si>
    <t>We present MatchMaker that predicts drug synergy scores
using drug chemical structure information and gene expression pro_x000c_les of cell lines in a deep
learning framework.
###
In this study, we present MatchMaker, a deep neural network-based drug synergy prediction
algorithm. The model makes use of the drug chemical structures and untreated cell line gene expression
pro_x000c_les to predict the Loewe Additivity score [19] of a drug pair (referred to as Loewe
score from now on).
###
We use two types of features to train the model. The fi_x000c_rst set of features encodes the untreated
cells' gene expression (GEX) pro_x000c_les. The data were obtained from Iorio et al. (accession number 
E-MTAB-3610 at ArrayExpress [27]).We downloaded the RMA normalized gene expression pro_x000c_les
from https://www.cancerrxgene.org (downloaded on Dec 2019). For each cell line k, we use the
expression pro_x000c_les of landmark genes, denoted as ck 2 R972. We obtain the list of landmark genes
from Subramanian et al.. The second set of features describes the drug pairs' chemical structure. To
represent the drugs in the combination, drug chemical descriptor features x 2 R541 are calculated
using ChemoPy Python library [29].</t>
  </si>
  <si>
    <t>We use the synergy scores provided in the DrugComb [20] database. The data were obtained
from https://drugcomb._x000c_mm._x000c_/ (version v1.4, downloaded on Dec 2019). DrugComb curates highthroughput
combinatorial drug screening data from four studies: (i) O'Neil dataset [21], (ii) Forcina
dataset [22], (iii) NCI Almanac dataset [23], and (iv) Cloud dataset [24].</t>
  </si>
  <si>
    <t>We present MatchMaker that predicts drug synergy scores
using drug chemical structure information and gene expression pro_x000c_les of cell lines in a deep
learning framework.
###
In this study, we present MatchMaker, a deep neural network-based drug synergy prediction
algorithm. The model makes use of the drug chemical structures and untreated cell line gene expression
pro_x000c_les to predict the Loewe Additivity score [19] of a drug pair (referred to as Loewe
score from now on).</t>
  </si>
  <si>
    <t>MatchMAker, Multiple FCNNs whose outputs are fed to a final network</t>
  </si>
  <si>
    <t>untreated cells' gene expression (GEX) pro_x000c_les and drug pairs' chemical structure.</t>
  </si>
  <si>
    <t>DrugComb (O'Neil dataset, Forcina dataset, NCI Almanac and Cloud dataset) and ArrayExpress</t>
  </si>
  <si>
    <t>drug synergy prediction</t>
  </si>
  <si>
    <t>O’Neil dataset, ArrayExpress, DrugComb</t>
  </si>
  <si>
    <t>Multi-omics data integration using cross-modal neural networks es2018-93.pdf</t>
  </si>
  <si>
    <t>The SNN consists of two superlayers, each of which receives a data modality.
A superlayer represents a feedforward neural network that learns to analyse its
input modality.</t>
  </si>
  <si>
    <t>The dataset consists of 528 positive and 62 negative
training examples, where each example has 26 gene expression measurements
(transcriptomics) and 26 DNA methylation measurements (epigenomics).</t>
  </si>
  <si>
    <t>Therefore, we will use a dataset from TCGA that involves binary classi_x000c_ca-
tion of patients for breast cancer [1]. We focused on the activity of genes in the
tumour necrosis factor receptor superfamily (TNFRS) which has been proven
to play important roles during tumorigenesis and could be the potential targets
for cancer therapy [7]. The dataset consists of 528 positive and 62 negative
training examples, where each example has 26 gene expression measurements
(transcriptomics) and 26 DNA methylation measurements (epigenomics).
The second dataset used includes transcriptomes of 90 human preimplan-
tation embryos corresponding to seven embryonic developmental stages [8]. A
training example consists of more than 20,000 gene expression levels, which re-
quires an initial pre-processing step to select up to 200 genes that have the
highest entropy across di_x000b_erent classes.</t>
  </si>
  <si>
    <t>Modular FCNN called superlayered neural network</t>
  </si>
  <si>
    <t>gene expression measurements and DNA methylation measurements</t>
  </si>
  <si>
    <t>TCGA and transcriptomes of 90 human preimplan-
tation embryos</t>
  </si>
  <si>
    <t>Prediction of cancer presence</t>
  </si>
  <si>
    <t>A gene prioritization method based on a swine multi-omics knowledgebase and a deep learning model s42003-020-01233-4.pdf</t>
  </si>
  <si>
    <t>Here, we
present a general convolutional neural network model that integrates multi-omics information
to prioritize the candidate genes of objective traits.</t>
  </si>
  <si>
    <t>It
contains abundant genomic, transcriptome, and QTX data and
massive annotation resources.
###
Table 1 Overview of the multi-omics data used to construct
the integrated swine omics knowledgebase.
Omics Samples Classification Scale Source
Genome 864 59 breeds 32.88 TB 42 projects
Transcriptome 3526 95 tissues 20.0 TB 263 projects
QTXs – 89 traits 26,357
entries
653 studies</t>
  </si>
  <si>
    <t>Data collection. Resequencing and RNA-seq data were downloaded from NCBI
Sequence Read Archive54 (SRA, http://www.ncbi.nlm.nih.gov/sra/), the European
Nucleotide Archive55 (ENA, https://www.ebi.ac.uk/ena), and NCBI Gene Expression
Omnibus56 (GEO, http://www.ncbi.nlm.nih.gov/geo). This study included
3,526 RNA-seq samples from 263 projects and 864 resequencing samples from 42
projects; it covered almost all the published resequencing data and RNA-seq data in
swine researches.
QTX-related literature were obtained from US National Library of Medicine
National Institutes of Health57 (PubMed, https://www.ncbi.nlm.nih.gov/pubmed)
by using “swine GWAS” or “swine QTL” as keywords. A total of 653 full texts was
collected for QTX detection.
Information on genetic markers were obtained from ARKdb genome database58
(http://www.thearkdb.org) and NCBI Nucleotide database (www.ncbi.nlm.nih.gov/
nuccore/). Genome sequences and annotation of Sscrofa11.1 were download from
the Ensembl genome browser59 (http://www.ensembl.org).</t>
  </si>
  <si>
    <t>In summary, we present an integrated multi-omics knowledgebase
with an embedded CNN model for prioritizing genes of
interest by multi-omics integration analyses, and we demonstrated
the great potential of CNN model in multi-omics integration
by applying it to a non-model organism—swine.</t>
  </si>
  <si>
    <t>CNN</t>
  </si>
  <si>
    <t>Various features</t>
  </si>
  <si>
    <t>NCBI SRA, ENA, NCBI GEO, PubMed, ARKdb genome database, NCBI Nucleotide database, Ensembl genome browser</t>
  </si>
  <si>
    <t>Multi-omics data integration</t>
  </si>
  <si>
    <t>An integrative deep learning framework for classifying molecular subtypes of breast cancer PIIS2001037020303585.pdf</t>
  </si>
  <si>
    <t>2.2.1. Base network architecture
The network architecture of our base DCNN model to predict
the molecular subtypes of breast cancer using individual datasets
is shown in Fig. 2. Each of our samples is represented by 16,289
genes in both datasets (i.e. CNA and gene expression datasets).
We treat each of these genes as a feature of the sample. This means
that there are 16,289 features for each of the samples.
This network takes the single data source (such as CNA or gene
expression) of a sample as an input feature vector (X) which goes
directly to a convolutional layer. A filterF (also known as kernel),
which is an array of numbers (also known as weights), slides over
all the positions of X. The height of F and X must be the same and
here it is 1 as we are dealing with one-dimensional input vector.
The regionR over which the F is currently moving is known as
receptive field. An elementwise multiplication is performed
between F and R, which produces a single number to represent R.
In this way, we can capture the correlation among the neighboring
genes of the input data under the weight filter. This process continues
until it covers every position of X and the resulted vector is termed
as activation or feature map. So, if X is a Q-dimenstional
vector, then the size of the activation map would be 1 _x0003_ ðQ _x0001_ FÞ.
One can have any number of feature maps by using different Fs.
For our base DCNN model we take 10 convolutional feature (CF)
maps and the size of our input feature vector is 1 _x0003_ 16289 and
the size of the convolutional kernel is 1 _x0003_ 20. These CFs represent
the local patterns of our input feature vector X. This convolutional
operation is well known as a robust pattern finder of local features
[20,30,38]. If this input data has any pattern, it will be captured by
this convolutional operation.
The output of our convolutional is useful to model the complex non-linear relationship between
the input and output of the model. For our experiment, the input
can be either gene-specific CNA profiles or gene expression profiles
and the output is the prediction score for a patient assigned to one
of the molecular subtypes. Unlike other activation functions (e.g.
tanh or sigmoid), Relu implements a simple thresholding function
rather than an expensive exponential function. Relu function is
expressed as follows:
f ðrÞ ¼
r; r _x0004_ 0
0; r &lt; 0
_x0001_
ð1Þ
Here, r represents an input into a neuron
We know that a DCNN model with large number of neurons can
model any complex relationship between its input and output.
However, here we have a small number of training samples for
our DCNN model, which can be easily overfitted over the training
data. Hence, the Relu layer is followed by a max pooling layer to
reduce the size of the input feature vector, which is also known
as downsampling. A filter goes over its input and takes the maximum
value of the receptive field. Although pooling may cause loss
of information, such kind of loss is useful because we will have
fewer numbers of parameters to be learned which helps the model
overcome the curse of overfitting problem. This layer also helps the
model become invariant in terms of translation, rotation and scaling
of the input data. Therefore, the pooling layer leads the DCNN
model to have better generalization over the test data.
The output of our pooling layers is then input to a fully connected
ðFC1) layer. This layer has a connection to its previous layer
for each of the neurons and the output of this layer is a simple
matrix multiplication which is a one-dimensional vector. For our
experiment, the size of this vector is 1 _x0003_ 250. This FC1 layer is then
followed by another fully connected (FC2) layer to get higher level
features of our input feature vector X. However, since our network
trains huge number of parameters using only a few hundreds of
training samples, we pass this output to another fully connected
layer (FC3) via a Relu layer and a Dropout layer. Dropout layer
implements a regularization technique to prevent the DCNN model
from overfitting. This layer randomly drops different units with its
associated connections.
The output of FC3is a vector of size 1 _x0003_ 2or1 _x0003_ 4, where 2 and 4
represent the number of classes of estrogen-receptor and tumor
subtypes, respectively. FC3 takes the high-level features of X from
the output of FC2 and regulates each of the features mostly correlates
with a specific class. Each of the values of FC3 represents a
prediction score for a particular class, which is then converted into
a probability score using a softmax classification layer. This layer
implements the softmax function using two parameters from the
output of FC3: prediction scores (x) and weights (y). So, we can calculate
the probability of the p-th class using the following formula:
Pðz ¼ pjxÞ ¼ exT yp
P
4k
¼1exT yk
ð2Þ
Here, xTy represents an inner product between x and y.
Finally, we use backpropagation to train our DCNN models.</t>
  </si>
  <si>
    <t>We collect copy number alteration and gene expression data measured on the same breast cancer
patients from the Molecular Taxonomy of Breast Cancer International Consortium:
###
We used copy number alteration data and gene expression data
from METABRIC (Molecular Taxonomy of Breast Cancer International
Consortium) project</t>
  </si>
  <si>
    <t>We collect copy number alteration and gene expression data measured on the same breast cancer
patients from the Molecular Taxonomy of Breast Cancer International Consortium.
###
We used copy number alteration data and gene expression data
from METABRIC (Molecular Taxonomy of Breast Cancer International
Consortium) project</t>
  </si>
  <si>
    <t>We
aim to develop an integrative deep learning framework for classifying molecular subtypes of breast cancer.
###
Collectively, we demonstrate that the proposed integrative
DCNN learning framework can efficiently handle multiple highdimensional
omics data sets to improve the prediction of breast
cancer subtypes.</t>
  </si>
  <si>
    <t>A type of a CNN</t>
  </si>
  <si>
    <t>copy number alteration data and gene expression data</t>
  </si>
  <si>
    <t xml:space="preserve">METABRIC </t>
  </si>
  <si>
    <t>classifying molecular subtypes of breast cancer.</t>
  </si>
  <si>
    <t>Deep learning-based multi-view fusion model for screening 2019 novel coronavirus pneumonia: a multicentre study PIIS0720048X20302308.pdf</t>
  </si>
  <si>
    <t>We trained a multi-view fusion model using deep learning
network to screen patients with COVID-19 using CT images with the maximum lung regions in axial, coronal and
sagittal views.
###
We trained out deep learning network using the three-view images
of maximum lung region. In previous deep learning-based studies on
tumour diagnosis, it is believed that the largest slice of the tumour on
CT images contains most of the information about the tumour [11].
Inspired by this, in this study, we selected the layer with the largest
lung region as region of interest. As previous study of chest CT images
has shown that images from multiple views can contribute to learning
more useful information without introducing more redundant information
[6]. To predict the classification of lung nodules by CT
images, a multi-view deep learning model of lung nodules classification
study showed good performance. Thus, we trained our deep learning
network using the CT images from axial, coronal, and sagittal views of
the lung regions for developing the diagnosis model to screen the
COVID-19.</t>
  </si>
  <si>
    <t>We trained a multi-view fusion model using deep learning
network to screen patients with COVID-19 using CT images with the maximum lung regions in axial, coronal and
sagittal views.
###
We trained out deep learning network using the three-view images
of maximum lung region. In previous deep learning-based studies on
tumour diagnosis, it is believed that the largest slice of the tumour on
CT images contains most of the information about the tumour [11].
Inspired by this, in this study, we selected the layer with the largest
lung region as region of interest. As previous study of chest CT images
has shown that images from multiple views can contribute to learning
more useful information without introducing more redundant information
[6]. To predict the classification of lung nodules by CT
images, a multi-view deep learning model of lung nodules classification
study showed good performance. Thus, we trained our deep learning
network using the CT images from axial, coronal, and sagittal views of
the lung regions for developing the diagnosis model to screen the
COVID-19.</t>
  </si>
  <si>
    <t>We retrospectively collected chest CT images of 495 patients from three hospitals in China.
###
This study was approved by the institutional review board of
Renmin Hospital of Wuhan University (RHWU), The First Hospital of
China Medical University (1st HCMU) and Beijing Youan Hospital
(BYH) in China. Written informed consent was waived by institutional
review board for retrospective study.
We retrospectively collected high-resolution CT images of 495 patients
with pneumonia, including 368 patients with laboratory-confirmed
COVID-19 pneumonia and 127 patients with other pneumonia
(47 bacterial pneumonia, 67 other viral pneumonia, 11 mycoplasma
pneumonia and 2 fungal pneumonia). The dataset was collected from
three hospitals in China, including RHWU (265 COVID-19 and 35 other
pneumonia), 1 st HCMU (103 COVID-19, 46 other pneumonia) and BYH
(46 other pneumonia).</t>
  </si>
  <si>
    <t>To develop a deep learning-based method to assist radiologists to fast and accurately identify patients
with COVID-19 by CT images.</t>
  </si>
  <si>
    <t>Multi-view ResNet50 based  CNN</t>
  </si>
  <si>
    <t>CT images from axial, coronal, and sagittal views of</t>
  </si>
  <si>
    <t>Three hospitals in China</t>
  </si>
  <si>
    <t>Imaging diagnosis</t>
  </si>
  <si>
    <t>the lung regions</t>
  </si>
  <si>
    <t>Medical imaging-assisted diagnosis</t>
  </si>
  <si>
    <t>Synergistic Drug Combination Prediction by Integrating Multiomics Data in Deep Learning Models 1811.07054v1.pdf</t>
  </si>
  <si>
    <t>In specific, three autoencoders were trained using the gene expression, copy number and genetic mutation data of all tumor samples from The Cancer Genome Atlas.
###
To improve the prediction accuracy and explain the deep learning models (black box), in this study, we proposed a novel model, AuDNNsynergy (Deep Neural Network Synergy model with Autoencoders), for synergistic drug combination prediction.</t>
  </si>
  <si>
    <t>In specific, three autoencoders were trained using the gene expression, copy number and genetic mutation data of all tumor samples from The Cancer Genome Atlas.
###
Features
100
500
1000
2000
Expression
0.20.4
0.20.4
0.20.4
0.20.4
Mutation
9.40.5
9.60.8
9.81.2
10.60.8
Copy Number
11.22.0
12.22.3
12.42.2
12.62.1
Drug
79.21.6
478.01.8
977.61.3
1976.61.2</t>
  </si>
  <si>
    <t>In specific, three autoencoders were trained using the gene expression, copy number and genetic mutation data of all tumor samples from The Cancer Genome Atlas.
###
Moreover, to make the model has prediction ability for unseen cell lines and tumors, we trained autoencoders with all tumor samples form The Cancer Genome Atlas (TCGA) (pan-cancer dataset).
###
2.1 Data
Drug combination screening dataset. The high-throughput drug combination screening dataset was downloaded from [13]. In specific, 583 pairwise drug combinations of 38 individual drugs were screened against 39 human cancer cell lines. The 39 cell lines include seven types of cancers, i.e., lung, breast, skin, large intestine, pleura, prostate, and ovary. Tumor cell viability after 48 hours of drug treatments (4 doses for each drug) were measured to estimate the synergy of drug combinations. In total, there are 23062 data points.
Omics data of cancer cell lines and TCGA samples. RNA-seq data of the 1156 cancer cell lines and 10,535 tumor samples from The Cancer Genome Atlas (TCGA) were downloaded from Cancer Cell Line Encyclopedia (CCLE) and UCSC Xena Server [28] (URL: https://xenabrowser.net/datapages/?dataset). The somatic mutation data of the screened cell lines and 9104 TCGA tumor samples were downloaded from Catalogue of Somatic Mutations in
Cancer (COSMIC) [29] and UCSC Xena respectively. The copy number of 10,845 TCGA pan-cancer tumors and the 39 cancer cell lines can be accessed from UCSC Xena and CCLE respectively. Some cancer cell lines data cannot be found in CCLE, and COSMIC. We used the genomics data of EFM-129A and COLO320 for the EFM-129B and COLO320DM cell lines respectively. In brief, the EFM-129B established from the same person of EFM-129A after 14 days. The COLO320DM is children of COLO320.
Physicochemical features of drugs. To characterize the chemical structures of individual drugs, we used the counts of extended connectivity fingerprints with a radius of 6 (ECP_6) [30], predefined physicochemical properties and presence or absence of toxicophores substructures, which were obtained by using jCompoundMapper [31] and Chemopy [32] respectively.</t>
  </si>
  <si>
    <t>In this study, we proposed a novel deep learning model, AuDNNsynergy, to prediction drug combinations by integrating multi-omics data and chemical structure data.
###
To improve the prediction accuracy and explain the deep learning models (black box), in this study, we proposed a novel model, AuDNNsynergy (Deep Neural Network Synergy model with Autoencoders), for synergistic drug combination prediction.</t>
  </si>
  <si>
    <t>autoencoders and FCNN</t>
  </si>
  <si>
    <t xml:space="preserve"> gene expression, copy number and genetic mutation data, drug characteristics</t>
  </si>
  <si>
    <t>Drug combination screening dataset, TCGA, Physicochemical features of drugs.</t>
  </si>
  <si>
    <t>AE</t>
  </si>
  <si>
    <t>Integrating multi-omic data with deep subspace fusion clustering for cancer subtype prediction yang2021.pdf</t>
  </si>
  <si>
    <t>DSFC
first adopts the deep neural networks to reveal the nonlinear
subspace in each type of data, then uses SNF fusion
the patient similarity presentations derived from different
type of data, and finally obtains the subtypes by using
spectral clustering.
###
The flowchart of Deep Subspace Fusion Clustering (DSFC). DSFC mainly includes three steps, and the output of the previous step is
the input of the following step. In step 1, one deep subspace learning network with encoding, self-expressive and decoding layers is separately
constructed for each omic data. After training, the self-expressive matrix of each omic data is output. In step 2, multiple self-expressive matrices are
integrated to a unified similarity matrix using SNF method. In step 3, spectral clustering is performed on the unified similarity matrix to find patient
groups that imply cancer subtypes.
###
In the implementation, we use stacked convolutional
auto-encoder structures [48], [49] to achieve the encoder
and decoder. The use of convolution reflects indirectly the
interactions between genes. In the convolutional layers, the
Rectified Linear Unit (ReLU) [50] is used as non-linear
activation function. In the self-expressive layer, the nodes
are fully connected via linear weights without bias and nonlinear
activations. Although there are only linear connections
in self-expressive layer, the input data for this layer
is the output via non-linear functions of the original input
data.</t>
  </si>
  <si>
    <t>For each cancer type, mRNA expression, DNA methylation
and miRNA expression are used for data integration.
###
It has been tested on the prediction of
cancer subtypes from three levels omics data, i.e., mRNA
expression, miRNA expression and DNA methylation, on
six TCGA datasets including GBM, BIC, KRCCC, LSCC,
COAD and OV.</t>
  </si>
  <si>
    <t>Data used in this study was downloaded from the TCGA.
The cancer types incorporate glioblastoma multiforme
(GBM), breast invasive carcinoma (BIC), kidney renal clear
cell carcinoma (KRCCC), lung squamous cell carcinoma
(LSCC), colon adenocarcinoma (COAD) and ovarian (OV).
###
It has been tested on the prediction of
cancer subtypes from three levels omics data, i.e., mRNA
expression, miRNA expression and DNA methylation, on
six TCGA datasets including GBM, BIC, KRCCC, LSCC,
COAD and OV.</t>
  </si>
  <si>
    <t>Addressing this problem, we propose Deep Subspace
Fusion Clustering (DSFC) to capture both intra-level and
cross-level omics data relationships to predict cancer subtypes.
###
In this work,
a method called DSFC has been proposed to predict the
cancer subtype through integrating multi-omic data.
###
It has been tested on the prediction of
cancer subtypes from three levels omics data, i.e., mRNA
expression, miRNA expression and DNA methylation, on
six TCGA datasets including GBM, BIC, KRCCC, LSCC,
COAD and OV.</t>
  </si>
  <si>
    <t>convolutional autoencoder and fully connected network</t>
  </si>
  <si>
    <t>mRNA expression, DNA methylation and miRNA expression</t>
  </si>
  <si>
    <t>predict cancer subtypes</t>
  </si>
  <si>
    <t>and miRNA expression</t>
  </si>
  <si>
    <t>cancer subtype</t>
  </si>
  <si>
    <t>CNN, AE</t>
  </si>
  <si>
    <t>Estimating gene expression from DNA methylation and copy number variation: a deep learning regression model for multi-omics integration seal2020.pdf</t>
  </si>
  <si>
    <t>In this study, we have
developed a deep learning-based predictive model using Deep Denoising Auto-encoder (DDAE) and Multi-layer
Perceptron (MLP) that can quantitatively capture how genetic and epigenetic alterations correlate with directionality
of gene expression for liver hepatocellular carcinoma (LIHC).
###
In order to perform the task of estimating gene expression, we have
developed a DL regression model based on multi-omics integration. We
have used deep denoising auto-encoder (DDAE) for feature extraction
and multi-layer perceptron (MLP) for regression.
###
In this article, we have developed a deep learning regression model
for multi-omics integration that uses a DDAE network for feature extraction
and dimensionality reduction, and a MLP network for regression.</t>
  </si>
  <si>
    <t>TCGA multi-omics data for Liver Hepatocellular Carcinoma (LIHC)
from TCGA portal (now moved to Genomic Data Commons https://
gdc.cancer.gov/) have been used in this work. The R package
TCGA-assembler (v2.0.5) [39] has been used to obtain DNAm, CNV and
RNA-seq data for LIHC.
###
###
Table 1
Number of samples and their corresponding assays for each omics type.
Omics type #Samples Assay Access level Platform
DNA methylation 429 Infinium HumanMethylation450 BeadChip 3 methylation_450
CNV 424 Affymetrix SNP Array 6.0 3 cna_cnv.hg19
RNA-Seq 761 Illumina HiSeq 3 gene.normalized_RNA-seq</t>
  </si>
  <si>
    <t>TCGA multi-omics data for Liver Hepatocellular Carcinoma (LIHC)
from TCGA portal (now moved to Genomic Data Commons https://
gdc.cancer.gov/) have been used in this work. The R package
TCGA-assembler (v2.0.5) [39] has been used to obtain DNAm, CNV and
RNA-seq data for LIHC.</t>
  </si>
  <si>
    <t>The DDAE used in the study has been
trained to extract significant features from the input omics data to estimate the gene expression.
###
In this work, we have explored the impact of both genomic and
epigenomic features on gene expression regulation using a deep
learning-based regression model.</t>
  </si>
  <si>
    <t>DAE and MLP</t>
  </si>
  <si>
    <t xml:space="preserve">DNAm, CNV and
RNA-seq data for LIHC
</t>
  </si>
  <si>
    <t>estimate gene expression regulation</t>
  </si>
  <si>
    <t>DAE</t>
  </si>
  <si>
    <t>Deep learning data integration for better risk stratification models of bladder cancer 2839775.pdf</t>
  </si>
  <si>
    <t xml:space="preserve">In the present work, we explored the use of autoencoder to transform multi-omics features followed by integration of survival information in order to identify subtypes linked with survival.
###
Autoencoder construction
For each input matrix, 𝑀𝑛𝑜𝑟𝑚𝑎𝑙𝑖𝑧𝑒𝑑𝑂𝑀𝐼𝐶, we trained a denoising autoencoder using one hidden layer. An autoencoder can be defined as a function 𝑓(𝑣)=𝑣′ where v is an input vector of size n and where 𝑠𝑖𝑧𝑒(𝑣′) =𝑠𝑖𝑧𝑒(𝑣) =𝑛. f aims to reconstruct v using a combination of nonlinear transformations of its features. In the case of an autoencoder with one hidden layer with h nodes and with a same activation function for both encoder and decoder f is defined by:
𝑓(𝑣) =𝜎(𝑊′.𝜎(𝑊′.𝑣 +𝑏) +𝑏′)
With W, and W’ represent the weight matrices with sizes ℎ×𝑚 and 𝑚×ℎ, and b and b’ are two biases vectors of sizes h and m, respectively. Finally, 𝜎 is an element-wise non-linear activation function such as the sigmoid or the relu functions. The training procedure of an autoencoder uses an optimization algorithm such as the Stochastic Gradient Descent to find iteratively the best W, W’, b and b’ that minimize a loss function loss(v, v’), measuring the difference between v and v’. We trained denoising autoencoder by setting a specific percentage of the weight matrices coefficients randomly to 0 (dropout) at each training iteration. This technique is known to reduce overfitting. Once the autoencoder is trained, the transformation z of v is given by 𝑓(𝑣) =𝜎(W.v+b). We used the python Keras framework to create and train autoencoders. For each autoencoder, we used h = 100 (hidden nodes). We used the logloss as loss function, the tanh as activation function and the adam optimizer to minimize the loss. Finally, we trained the
autoencoders on 50 epochs and with 50% of dropout rate. We denote 𝑍𝑂𝑀𝐼𝐶 as the transformed version of 𝑀𝑛𝑜𝑟𝑚𝑎𝑙𝑖𝑧𝑒𝑑𝑂𝑀𝐼𝐶 matrix.
</t>
  </si>
  <si>
    <t>We used TCGA dataset comprising mRNA, miRNA and methylation to infer two survival subtypes.
###
To construct the model, we used the training dataset obtained from TCGA with three types of omics: mRNA, miRNA and methylation</t>
  </si>
  <si>
    <t>We used TCGA dataset comprising mRNA, miRNA and methylation to infer two survival subtypes.
###
To construct the model, we used the training dataset obtained from TCGA with three types of omics: mRNA, miRNA and methylation
###
We obtained the three omics dataset i.e. mRNA, miRNA and methylation of TCGA BC from the Genomics Data Commons web portal (https://portal.gdc.cancer.gov/), as of June 2017. We used TCGA-Assembler, an open source pipeline for downloading, assembling and processing of 402 BC samples14. For mRNA sequencing data, we used normalized RSEM (RNA-Seq by Expectation Maximization) quantification values15 from the Illumina HiSeq platform. For miRNA sequencing quantification data, we procured the reads per million miRNA mapped (RPM) data from the Illumina HiSeq platform for each sample. For methylation (Infinium HumanMethylation450 BeadChip platform), the average methylation value of all the CpG sites was calculated for each gene within the 1500 bp ahead of the transcription start site (TSS). The corresponding survival data for these 402 samples were obtained from the FireBrowse (http://firebrowse.org/) website hosted by the Broad Institute.
For the validation dataset, we mined the Gene Expression Omnibus (GEO) database and found miRNA sequencing data for muscle-invasive bladder cancer for 62 samples along with survival information (GSE84525)16. We processed the raw read count data and converted those to the RPM, the same normalization as that of the TCGA miRNA dataset.</t>
  </si>
  <si>
    <t>We propose an unsupervised multi-omics integration pipeline, using deep-learning autoencoder algorithm, to predict the survival subtypes in bladder cancer (BC).
###
This is the cardinal study to use deep learning to integrate multi-omics data in order to find the survival risk stratification for bladder cancer samples.</t>
  </si>
  <si>
    <t>mRNA, miRNA and methylation</t>
  </si>
  <si>
    <t>TCGA and GEO</t>
  </si>
  <si>
    <t>predict the survival subtypes in bladder cancer (BC).</t>
  </si>
  <si>
    <t>Cancer subtypes classification, Prognosis</t>
  </si>
  <si>
    <t>Deep learning-based ovarian cancer subtypes identification using multi-omics data s13040-020-00222-x.pdf</t>
  </si>
  <si>
    <t>Trying to solve this problem, we proposed a novel deep learning framework for integrating
multi-omics data with denoising autoencoder (DAE), and then the generated
Guo et al. BioData Mining (2020) 13:10 Page 2 of 12
features were input into k-means for clustering (DAE-kmeans).
###
The architecture of proposed deep learning framework
In Fig. 1 we show the architecture of proposed deep learning framework, firstly the
multi-omics ovarian cancer features x (mRNA, miRNA and CNV) are inputted into the
DAE for generating the low dimensional representation z. And then the reconstructed
features z are used to cluster the patients using the k-means. Based on the clustered
subtypes from k-means, we further built the light-weighted logistic regression classification
model with mRNA expression data to reducing the features required for patients’
classification.
###
In
this study we proposed a novel deep learning framework for integrating multi-omics
data with denoising autoencoder for identifying the ovarian cancer subtypes</t>
  </si>
  <si>
    <t>The architecture of proposed deep learning framework
In Fig. 1 we show the architecture of proposed deep learning framework, firstly the
multi-omics ovarian cancer features x (mRNA, miRNA and CNV) are inputted into the
DAE for generating the low dimensional representation z. And then the reconstructed
features z are used to cluster the patients using the k-means. Based on the clustered
subtypes from k-means, we further built the light-weighted logistic regression classification
model with mRNA expression data to reducing the features required for patients’
classification.
###
In Table 1 we show the clustering performances obtained from different methods by
using ovarian cancer multi-omics data which contained mRNA, miRNA and CNV.</t>
  </si>
  <si>
    <t>TCGA dataset
We downloaded the multi-omics ovarian cancer data from TCGA public datasets((
https://portal.gdc.cancer.gov). The R package TCGA-assemble2 [13] was used for
data collection and we obtained 298 samples concluded three types of omics data:
mRNA-seq data (UNC Illumina HiSeq_RNASeq V2), miRNA-seq data (BCGSC Illumina
HiSeq) and copy number variation (CNV) data (BROAD-MIT Genome wide
SNP_6). All these data were obtained from the TCGA level 3 data. And the CNV feature
was extracted by averaging the copy numbers of all CNV variations on one gene.
After that the features and samples which missing more than 20% would be excluded.
For the remaining data, the missing values were imputed based on the median values
by using R package “imputeMissings” [14].
Test datasets
In GSE26712 we downloaded the RNA-seq and the clinical information of 185 ovarian
cancer patients shared from Surgical Oncology Research Lab of Boston, and in
GSE32062 we got 260 ovarian cancer case samples offered by Obstetrics and
Gynecology, Niigata University. GSE53963 contains mRNA information of 174 samples
from UCLA School of Medicine. All of these test datasets can be downloaded in Gene
Expression Omnibus (GEO, https://www.ncbi.nlm.nih.gov)</t>
  </si>
  <si>
    <t>In this study we designed a novel deep
learning-based framework for ovarian cancer subtype identification, and a logistic regression
method was used to build the light-weighted classification model
Two ovarian cancer
subtypes were founded by using multi-omics data in TCGA, and the result proved
that these 2 different subtypes specific model proposed by our method is of direct clinical
importance, and may be used for improving ovarian patients’ survival.
###
In
this study we proposed a novel deep learning framework for integrating multi-omics
data with denoising autoencoder for identifying the ovarian cancer subtypes</t>
  </si>
  <si>
    <t>mRNA, miRNA and CNV</t>
  </si>
  <si>
    <t>ovarian cancer subtype identification</t>
  </si>
  <si>
    <t>A novel channel-aware attention framework for multi-channel eeg seizure detection via multi-view deep learning 18_BHI.pdf</t>
  </si>
  <si>
    <t>A. Multi-view Representation
In the task of multi-channel data mining, simply concatenating
the raw input features may not be enough for deep
learning models to yield robust and accurate results. The
importance of extracting features from different perspectives,
denoted as multi-view deep learning, has proven to be effective
in bioinformatics [4]. Inspired by this work, we further
extend this strategy by adopting two feature encoders to
learn latent representations from global and channel-specific
views, i.e., global-encoder and channel-encoder, respectively.
Specifically, given a C-channel EEG spectrogram segment
x = (x1, ..., xC) where xi ∈ Rn, the global-view representation
hg ∈ Rp can be expressed by a global-encoder based
on forward-propagation:
hg = f(Wgx1:C + bg), (1)
where f(·) is the activation function,Wg ∈ Rp×Cn and bg ∈
Rp denote the weight matrix and bias vector, respectively.
For each xi, we can obtain its channel-view representation
hi ∈ Rp by feeding a channel-encoder as follows:
hi = f(Wcxi + bc), (2)
where Wc ∈ Rp×n and bc ∈ Rp are the weight matrix
and bias vector, respectively. Note that the encoder could
be parameterized by any multi-layer deep learning models.
To demonstrate the basic idea of the proposed method, both
global and channel encoders are parameterized by two-layer
stacked autoencoders (SAEs) [9].
B. Channel-aware Attention Mechanism
In health domain, interpreting the learned representations
is important to understand the clinical meaning [10]. Since
the input of our model is multi-channel data, we focus on discovering
the contribution scores of channels and interpreting
which ones are crucial to clinical tasks. To achieve this, we
propose channel-aware attention mechanism. The main idea
is to derive a global context vector cg ∈ Rp that captures
relevant channel information to help detect the seizure onset.
Specifically, we build a score function to calculate the energy
egi of each channel i separately and obtain a normalized
attention score vector αg using softmax function:
αg = softmax([eg1, eg2, ..., egC]). (3)
Then the context vector can be calculated based on the scores
obtained from Eq.(3) and the channel-view representation
hi(1 ≤ i ≤ C) as follows:
cg =
_x0002_C
i=1
αgihi. (4)
In our framework, based on the learned multi-view representation,
we employ two mechanisms to learn attention scores.
Local-based Attention: An easy way to calculate the energy
is scoring solely from each channel-view representation:
egi = W
_x0002_
e hi + be, (5)
where We ∈ Rp and be ∈ R are the weight vector and bias
value, respectively. Note that the local-based attention mechanism
does not capture the relationships among channels,
since it only considers individual channel information. Moreover,
it is time-consuming to directly measure the correlation
of any two channels. Thus, to utilize the information from
all channels, we adopt a global-based attention mechanism
in the proposed ChannelAtt.
Global-based Attention: We use a multi-layer perceptron
(MLP) [11] to calculate the energy by considering the
relationships between global-view and channel-view representations:
egi = v
_x0002_
e f(We[hg; hi]), (6)
where We ∈ Rq×2p and ve ∈ Rq is the parameter to be
learned, and we can obtain the context vector cg with Eq.(3)
and Eq.(4).</t>
  </si>
  <si>
    <t>In this dataset, the multichannel
EEG signals are recorded from pediatric subjects
with intractable seizures. The data is obtained from 23
patients, including 18 females and 5 males from age 2 to
age 22, to characterize their seizures and assess the necessity
of surgery for them. The beginning and end of each seizure
are both annotated in the ground truth. Specifically, the EEG
signals of each patient contains 23 channels (24 or 26 in a
few cases), and the data of each channel is recorded at 256
Hz with 16-bit resolution.</t>
  </si>
  <si>
    <t>A. Dataset
The EEG dataset we use is the CHB-MIT dataset [12]
captured from the PhysioNet [13]. In this dataset, the multichannel
EEG signals are recorded from pediatric subjects
with intractable seizures. The data is obtained from 23
patients, including 18 females and 5 males from age 2 to
age 22, to characterize their seizures and assess the necessity
of surgery for them. The beginning and end of each seizure
are both annotated in the ground truth. Specifically, the EEG
signals of each patient contains 23 channels (24 or 26 in a
few cases), and the data of each channel is recorded at 256
Hz with 16-bit resolution.</t>
  </si>
  <si>
    <t>In this paper, we proposed a novel channel-aware attention
framework, named ChannelAtt, to express multi-channel
signals in a high-level space with interpretable meanings.
ChannelAtt is an unified model that jointly learns both multiview
representation and its contribution scores at the same
time. Two attention mechanisms allow us to interpret the
contributions of each channel on seizure onset detection. Experimental
results indicate the effectiveness of our proposed
ChannelAtt model in detecting epileptic seizures. Throughout
a case study, we demonstrate that the learned attentional
representations are meaningful.</t>
  </si>
  <si>
    <t>stacked autoencoders, attention and FCNN</t>
  </si>
  <si>
    <t>EEG Spectrograms</t>
  </si>
  <si>
    <t>CHB-MIT</t>
  </si>
  <si>
    <t>Multi-channel EEG
Seizure Detection</t>
  </si>
  <si>
    <t>CHB-MIT dataset</t>
  </si>
  <si>
    <t>Deep learning based feature-level integration of multi-omics data for breast cancer patients survival analysis s12911-020-01225-8.pdf</t>
  </si>
  <si>
    <t>Motivated by multi-view learning, we propose a novel strategy to integrate multi-omics data for breast
cancer survival prediction by applying complementary and consensus principles. The complementary principle
assumes each -omics data contains modality-unique information. To preserve such information, we develop a
concatenation autoencoder (ConcatAE) that concatenates the hidden features learned from each modality for
integration.The consensus principle assumes that the disagreements among modalities upper bound the model
errors. To get rid of the noises or discrepancies among modalities, we develop a cross-modality autoencoder
(CrossAE) to maximize the agreement among modalities to achieve a modality-invariant representation
###
In this study, we have investigated two novel multimodal
data integration strategies: ConcatAE and
CrossAE.</t>
  </si>
  <si>
    <t>In this study, we aim to improve breast cancer overall survival prediction by integrating multi-omics data
(e.g., gene expression, DNA methylation, miRNA expression, and copy number variations (CNVs)).
###
In this study, we are using
TCGA-BRCA, which has 1060 patients with all four
types of -omics data (e.g., gene expression, miRNA expression,
DNA methylation, and CNVs) and survival information
(see Supplementary Material Section S2).</t>
  </si>
  <si>
    <t>We first
validate the effectiveness of our proposed models on the MNIST simulated data. We then apply these models to
the TCCA breast cancer multi-omics data for overall survival prediction.
###
Simulated multi-view MNIST dataset
To validate the proposed feature-level integration network,
we simulate the multi-modality data from the
Modified National Institute of Standards and Technology
(MNIST) database. The MNIST database consists of
60,000 training samples and 10,000 testing samples. Each
sample in the MNIST database is a 28 × 28 image of a
single hand-written digit from 0 to 9. The goal is to train
a multi-class classifier to predict the digit from the input
image.
###
TCGA-BRCA breast cancer multi-omics dataset
TCGA database [5] is a public database containing genomic
data for over 20,000 paired cancer and normal
samples from 33 cancer types. In this study, we are using
TCGA-BRCA, which has 1060 patients with all four
types of -omics data (e.g., gene expression, miRNA expression,
DNA methylation, and CNVs) and survival information
(see Supplementary Material Section S2).
Table 1 contains information about the four omics data
types. For gene expression, the number of features includes
different isoforms for each gene and some noncoding
RNA transcripts. The DNA methylation beta
value ranges from 0 to 1, where a beta value of 0 means
that no methylation is detected for that probe, while a 1
means that the CpG was always methylated. For CNV
features, “Gain” means more copies of a gene than normal,
while “Loss” means fewer copies of a gene than
normal. More details for the TCGA multi-omics data
can be found in Supplementary Material Section S1.
###
We first tested the proposed models on the
simulated MNIST data and validated the effectiveness of
ConcatAE in integrating complementary information
and CrossAE in integrating consensus information
among multi-modality data. We then apply the proposed
models to the multi-omics breast cancer survival data
obtained from the TCGA-BRCA dataset.</t>
  </si>
  <si>
    <t>In this study, we aim to improve breast cancer overall survival prediction by integrating multi-omics data
(e.g., gene expression, DNA methylation, miRNA expression, and copy number variations (CNVs)).
###
We then apply these models to
the TCCA breast cancer multi-omics data for overall survival prediction.</t>
  </si>
  <si>
    <t>concatenation autoencoder (ConcatAE) and cross-modality autoencoder
(CrossAE)</t>
  </si>
  <si>
    <t>gene expression, DNA methylation, miRNA expression, and copy number variations (CNVs)</t>
  </si>
  <si>
    <t>MNIST and TCGA-BRCA breast cancer multi-omics data</t>
  </si>
  <si>
    <t xml:space="preserve"> breast cancer overall survival prediction</t>
  </si>
  <si>
    <t>CrossAE</t>
  </si>
  <si>
    <t>MNIST and TCGA</t>
  </si>
  <si>
    <t>ConcatAE</t>
  </si>
  <si>
    <t>Deep-joint-learning analysis model of single cell transcriptome and open chromatin accessibility data bbaa287.pdf</t>
  </si>
  <si>
    <t>Here, we present a single-cell multimodal variational autoencoder
model, which combines three types of joint-learning strategies with a probabilistic Gaussian Mixture Model to learn the
joint latent features that accurately represent these multilayer profiles.
###
Here, we proposed single-cell multimodal variational
autoencoder (scMVAE) for the integrative analysis of scRNAseq
and scATAC-seq data that are measured from the same
single-cell by using three types of joint-learning strategies.</t>
  </si>
  <si>
    <t>Here, we proposed single-cell multimodal variational
autoencoder (scMVAE) for the integrative analysis of scRNAseq
and scATAC-seq data that are measured from the same
single-cell by using three types of joint-learning strategies.</t>
  </si>
  <si>
    <t>Datasets and preprocessing
Real data
Two datasets including paired profiles used in our study were
generated by the SNARE-seq technology [11]. Specifically, (i) the
cell line mixture dataset consisting of 1047 cells is derived from
Downloaded from https://academic.oup.com/bib/article/22/4/bbaa287/5985290 by guest on 12 September 2025
mixtures of cultured human BJ, H1, K562 and GM cells; to check
if our model is robust with the sparsity data, we randomly
dropout out nonzero values of two-omics data to zero value,
with the proportion ranges from 0.1 to 0.3, thus generating nine
datasets; (ii) the AdBrainCortex dataset including 10 309 cells is
derived from the adult mouse cerebral cortex. Besides, 549 cells
derived fromthe human HCT116, HeLa-S3, K562, PDX1 and PDX2
cell lines generated by scCAT-seq technology [10] were used to
validate our method.
###
The datasets used in the study are available from the Gene
Expression Omnibus (GEO) repository under the accession
number: GSE126074 [11], and supplementary data of previous
study [10].</t>
  </si>
  <si>
    <t>A single-cell multimodal variational autoencoder
(scMVAE) model was proposed to learn the joint latent
features that accurately represent transcriptomic and
chromatin accessibility profiles that are both measured
in the same cell, to account for their inherent
sparse and heterogeneous property;</t>
  </si>
  <si>
    <t>single-cell multimodal variational
autoencoder (scMVAE)</t>
  </si>
  <si>
    <t xml:space="preserve">scRNAseq
and scATAC-seq data that are measured from the same
single-cell </t>
  </si>
  <si>
    <t>cell line mixture dataset and AdBrainCortex dataset available in GEO</t>
  </si>
  <si>
    <t>Deep-joint-learning analysis model of single cell
transcriptome and open chromatin accessibility data</t>
  </si>
  <si>
    <t>VAE</t>
  </si>
  <si>
    <t>The cell line mixture dataset, AdBrainCortex, GEO</t>
  </si>
  <si>
    <t>Singe cell-related study</t>
  </si>
  <si>
    <t>scMVAE</t>
  </si>
  <si>
    <t>Evaluation of colorectal cancer subtypes and cell lines using deep learning e201900517.full.pdf</t>
  </si>
  <si>
    <t>Here, we used a multimodal, stacked VAE to extract latent factors
that can be used to identify CRC subtypes and predict patient
survival.
###
Latent factor model for multiomics data
Starting from different data matrices xi from different modalities,
we call the full multiomics data set x = ½x1; x2; :::; xm_x0002_.
We define a generative model x e pðxjzÞ. Graphically, our model
looks like Fig 7A, a Bayesian latent variable model where the
variation in the data x are explained by the variation in a smaller set
of latent factors, z. To infer the latent variables z e pðzjxÞ, as pðzjxÞ is
generally intractable, we proceed with a variational Bayes framework,
that is, approximating pðzjxÞ ≈ qθðzjxÞ, where qθðzjxÞ is a simple
class of distribution, and minimizing the Kullback–Leibler (KL) divergence
DKLðqθðzjxÞ k pðzjxÞÞ. This is equivalent to maximizing the
evidence lower bound (44):
ELBO = Eq log pϕðxjzÞ
_x0004_ _x0002_ _x0003__x0005_
− DKL qθðzjxÞ k pϕðzÞ
_x0002_ _x0003_
:
In the equation above, log pϕðxjzÞ
_x0002_ _x0003_
is the log-likelihood of the
reconstruction, so that its expectation under the encoder, the first
term Eq log pϕðxjzÞ
_x0004_ _x0002_ _x0003__x0005_
is the cross-entropy loss of the reconstruction.
Thus, the second term (KL divergence) can be seen as a regularizer on
the latent factors.
We follow (16 Preprint) and reparameterize zli
as
zli
= μi + σiϵl
where
ϵl ~ Nð0; IÞ;
which allows us to construct the autoencoder shown in Fig 7B.
The first half of the autoencoder, leading from x to z (the “encoder”),
is a neural network which will be trained to compute
qθðzvxÞ, that is, θ denotes the weights of the encoder network. The
second half, the “decoder” network, is a neural network which will be
trained to compute pϕðzvxÞ, so ϕ denotes the weights of the decoder
network. Thanks to the reparametrization of z, the path fromx to
^x is differentiable, via backpropagation, in θ and ϕ, and thus, we can
use gradient descent to optimize a loss function that is differentiable
in θ and ϕ.
Setting the loss function of the neural network to the negative
evidence lower bound
l = −Eq log pϕðxjzÞ
_x0004_ _x0002_ _x0003__x0005_
+ DKL qθðzjxÞ k pϕðzÞ
_x0002_ _x0003_
;
we see that the first term is equivalent to the cross-entropy reconstruction
loss, and the second term, the KL-divergence between
qθðzjxÞ and the prior pϕðzÞ can be seen as a regularization term, will
push the z’s to their prior distribution.
Stacking autoencoders
The VAE described above is for a one-layer Bayesian framework,
that is, Fig 7A. But autoencoders may be stacked (45) to produce
deeper neural network architectures. Deep architectures have more
than one layer of nonlinearities and can, thus, more compactly
capture highly nonlinear functions. We introduce a hidden layer to
our Bayesian latent variable model (Fig 7C). 
Using the reparametrization trick as above and specifying the full
loss function, inference in the generative model (Fig 7C can be
performed by backpropagation in the stacked VAE model (Fig 7D).</t>
  </si>
  <si>
    <t>Our method efficiently leverages multiomics
data sets containing copy number alterations, gene expression,
and point mutations and learns latent factors that describe data
in lower dimensions.
###
We propose a multiomics method that incorporates data on
gene expression, copy number, and mutations in identifying CRC
subtypes, in a manner that has important implications for patient
stratification.</t>
  </si>
  <si>
    <t>Weused only samples
fromthe TCGA which hadmeasurements for gene expression,mutations,
and copy numbers (n = 519). The original CMS study used a larger cohort
(n = 4,151). It is unclear whether our proposal of splitting the CMS2 subtype
into two clusters would hold for a larger data set. Only when multiomics
data are available, this question will be possible to address.
###
We obtained data for tumors from the TCGA-COAD (n = 389) and
TCGA-READ (n = 130) project designations of the Genomic Data
Commons (https://portal.gdc.cancer.gov) using the TCGAbiolinks R
package (42). We downloaded the CMS annotations for the TCGA
tumors from the Colorectal Cancer Subtyping Consortium (CRCSC)
(http://sagebionetworks.org/research-projects/colorectal-cancersubtyping-
consortium-crcsc/). Table 1 summarizes the subtype
information. The gene expression data (mRNA) are HTSeq-FPKM. Mutations
were downloaded as mutation annotation files, filtered to
include nonsynonymous mutations only, and represented as a binary
mutation matrix where mij = 1 if and only if gene i carries a nonsynonymousmutation
in sample j. Copy number alterations are GISTIC
calls by gene, represented as a real-valued matrix where cij is the
GISTIC segment mean for the segment containing gene i in sample j.
In addition, we obtained clinical metadata from the TCGA about
the same patients. In addition to survival data, we used the age at
diagnosis, sex, and tumor stage at diagnosis, as clinical covariates.
CCLE data were obtained from the CCLE portal (https://portals.
broadinstitute.org/ccle) and are the same data types as the TCGA
data, with the exception that transcriptome profiles are reads per
kilo base per million mapped reads (RPKM)-normalized and not
fragments per kilo base per million mapped reads (FPKM). We
considered 54 cancer cell lines originating from the colon.
We considered only tumors (from TCGA) and cancer cell lines
(from CCLE) which have “complete data”, that is, available measurements
in all three assays: gene expression, SNVs, and CNVs.</t>
  </si>
  <si>
    <t>Using these, we propose
refined CRC subtypes and provide best-matching cell lines to
different subtypes.
###
Here, we used a multimodal, stacked VAE to extract latent factors
that can be used to identify CRC subtypes and predict patient
survival.</t>
  </si>
  <si>
    <t>stacked VAE</t>
  </si>
  <si>
    <t>gene expression, copy number, and mutations</t>
  </si>
  <si>
    <t>TCGA and CCLE</t>
  </si>
  <si>
    <t xml:space="preserve"> identifying CRC subtypes</t>
  </si>
  <si>
    <t>TCGA, CCLE</t>
  </si>
  <si>
    <t>Integrated Multi-omics Analysis Using Variational Autoencoders: Application to Pan-cancer Classification 1908.06278v1.pdf</t>
  </si>
  <si>
    <t>Here we propose an end-to-end deep
learning model called OmiVAE to extract low dimensional
features and classify samples from multi-omics data. OmiVAE
combines the basic structure of variational autoencoders with a
classification network to achieve task-oriented feature extraction
and multi-class classification. The training procedure of OmiVAE
is comprised of an unsupervised phase without the classifier and
a supervised phase with the classifier. During the unsupervised
phase, a hierarchical cluster structure of samples can be automatically
formed without the need for labels.
###
In OmiVAE, we combines the basic structure of VAE with
a classification network to achieve task-oriented feature extraction
and end-to-end cancer classification. The architecture
of OmiVAE is illustrated in Fig. 1. The network structure is
comprised of three main components: an encoder, a decoder,
and a classifier.</t>
  </si>
  <si>
    <t>We integrated genome-wide DNA methylation and gene expression
profiles together with 450,804 molecular features
from corresponding samples through this model.
###
We integrated
genome-wide DNA methylation and gene expression profiles
together with more than 450,000 molecular features through
this model.</t>
  </si>
  <si>
    <t>Pan-cancer multi-omics datasets from The Cancer Genome
Atlas (TCGA) [5] with 9,081 samples of 33 tumour types
and normal ones were used to evaluate this model.
###
Two types of high dimensional omics data, RNA-Seq gene
expression profiles and DNA methylation profiles were used
in OmiVAE. We chose TCGA pan-cancer datasets with 33
various tumour types for both gene expression and DNA
methylation data. The gene expression dataset consists of
11,538 samples, among which 741 samples are normal tissues.
Each gene expression profile is comprised of 60,483 identifiers
referring to corresponding exons. Fragments Per Kilobase of
transcript per Million mapped reads (FPKM) values in this
dataset were log2-transformed. The DNA methylation dataset
contains 9,736 samples, in which 746 samples are normal tissues.
DNA methylation profiles in this dataset were produced
by Infinium HumanMethylation450 BeadChip (450K) arrays
with 485,578 probes. The Beta value of each probe indicates
the methylation ratio of the corresponding CpG site. Both
datasets were downloaded from UCSC Xena data portal1 on
April 16th, 2019.</t>
  </si>
  <si>
    <t>In OmiVAE, we combines the basic structure of VAE with
a classification network to achieve task-oriented feature extraction
and end-to-end cancer classification.
###
Moreover, the OmiVAE model
learned from multi-omics data outperformed that using only
one type of omics data, which indicates that the complementary
information from different omics datatypes provides
useful insights for biomedical tasks like cancer classification.</t>
  </si>
  <si>
    <t>VAE and FCNN</t>
  </si>
  <si>
    <t>genome-wide DNA methylation and gene expression
profiles together with 450,804 molecular features</t>
  </si>
  <si>
    <t>TCGA (Gene expression dataset and DNA methylation dataset) from UCSC Xena data portal</t>
  </si>
  <si>
    <t>Cancer classification</t>
  </si>
  <si>
    <t>Integrated multi-omics analysis of ovarian cancer using variational autoencoders s41598-021-85285-4.pdf</t>
  </si>
  <si>
    <t>First, we designed and developed a DL architecture for VAE and MMD-VAE.
###
VAE/MMD‑VAE architecture. Standard VAE. A VAE31
is a deep generative model, which can learn
meaningful data manifold from high dimensional input data. Unlike, standard autoencoders (Fig. 7 in Supplementary
documents), a VAE encodes an input ( xi ) as a distribution over a latent space instead of as a single
point. Given an omic/multi-omics dataset D with N samples {xi}Ni
=1 with d dimensional omic or multi-omics features,
a VAE/MMD-VAE assumes each sample xi ∈ Rd is generated from a latent vector zi ∈ Rp , where d ≫ p .
###
VAE/MMD‑VAE architecture. As VAE and MMD-VAE differ only in the loss function, we can implement them
using the same architecture. The implementation presented in Fig. 1 can support unsupervised and supervised
dimensionality reductions. The architecture includes three main components: an encoder, a decoder and a classifier.
For the unsupervised dimensionality reduction, the encoder and the decoder learn latent features from the
input without the classifier’s support. However, we need the classifier for supervised learning of latent features.</t>
  </si>
  <si>
    <t>Omic count Omic type Omic data Feature size Sample size ( 1) Feature &amp; Data values (unit) Source
mono-omics
Genomics (G) CNV 24,776 481 Gene name &amp; Gistic2 copy number 41
Transcriptomics (T)
mRNA 12,043 481 Gene name &amp; log2(affy RMA) 40
RNAseq 20,530 292 Gene name &amp; pan-cancer normalized log2(norm_
count+1)
42
Epigenomics (E) DNA methylation 27,579 / 21,675 481/886 CPG probe identifier or CG number &amp; Beta value 43,44
Di-omics
G + T
CNV + mRNA 36,819 481
A combination of the respective mono-omics values 2
CNV+ RNAseq 45,306 292
E + T
DNA methylation + mRNA 39,622 481
DNA methylation + RNAseq 48,109 292
G + E CNV+ DNA methylation 52,355 481
Tri-omics G + E + T
CNV+ DNA methylation + mRNA 64,398 481
CNV+ DNA methylation + RNAseq 72,885 292</t>
  </si>
  <si>
    <t>The results show that MMD-VAE and VAE-based compressed features can respectively
classify the transcriptional subtypes of the TCGA datasets with an accuracy in the range of 93.2-95.5%
and 87.1-95.7%.
###
Datasets used. We used mono-omics and multi-omics (i.e., di- and tri-omics) data for the study. We generated
multi-omics data using different combinations of high dimensional mono-omics data. Table 1 summarises
the datasets used in this study in terms of their key features (i) omic-count (mono/di/tri), (ii) omic type
(e.g.,genomics, epigenomics, transcriptomics, and their combinations) (iii) omic data (i.e., mRNA, CNV/CNA,
DNA methylation, RNAseq, and miRNA) (iv) input features dimension, (v) sample size (after processing), and
(vi) the unit used for data values (e.g., beta value for DNA methylation). Here, CNV/CNA means copy number
variation/alteration, mRNA means gene expression array, DNA methylation means methylation of CPG
islands, and RNAseq means gene expression by RNAseq. We have downloaded four mono-omics TCGA datasets
from UCSC Xena data portal39,
one for mRNA, CNV/CNA and RNAseq, and two for DNA methylation.
All the mono-omics datasets except the second DNA methylation dataset are from the TCGA Ovarian Cancer
(OV) cohort40–
43. The second DNA methylation dataset is from GDC TCGA Ovarian Cancer (OV) cohort44.
It
includes cancer and normal samples. We have concatenated these mono-omics data to form the di-omics and
tri-omics datasets. The table’s ’Feature dimension’ and ’Sample size’ columns demonstrate that all the datasets
are imbalanced with too many input features and relatively too few numbers of samples with clinical labels. For
example, one tri-omics (CNV + DNA methylation + RNAseq) dataset has 72,885 input features with only 292
samples.</t>
  </si>
  <si>
    <t xml:space="preserve">Then we used
the architecture for mono-omics, integrated di-omics and tri-omics data analysis of ovarian cancer
through cancer samples identification, molecular subtypes clustering and classification, and survival
analysis.
###
</t>
  </si>
  <si>
    <t>VAE and MMD-VAE</t>
  </si>
  <si>
    <t>CNV, mRNA, RNAseq, DNA methilation, Demographic and clinical information</t>
  </si>
  <si>
    <t>data analysis of ovarian cancer
through cancer samples identification, molecular subtypes clustering and classification, and survival
analysis.</t>
  </si>
  <si>
    <t>VAE, MMD-VAE</t>
  </si>
  <si>
    <t>Deep graph embedding for prioritizing synergistic anticancer drug combinations PIIS200103701930368X.pdf</t>
  </si>
  <si>
    <t>In this study, we proposed a Graph Convolutional
Network (GCN) model to predict synergistic drug combinations in particular cancer cell lines. 
Specifically, the GCN method used a convolutional neural network model to do heterogeneous graph embedding,
and thus solved a link prediction task.
###
To build the model for drug-drug synergy prediction, we first
constructed the GCN deep encoder (Fig. 1c and Fig. 3). Our GCN
encoder had an input layer and 4 hidden layers. Between each of
two hidden layers, there was a ReLu activation function. The activation
function of the last hidden layer was the sigmoid function:
f ðyÞ ¼ 1
1 þ e_x0001_y
ð4Þ
Here, y is the output of previous layer and f ðyÞ is the embedding
vector. 39 cell line specific-heterogeneous networks were input
into the GCN encoder and the output was 39 cell line specificembedding
spaces including the embedding vectors for each drug.
Then from the embedding space, matrix decoder performed the
mathematic operations to decode all given embedding vectors
mentioned above. The matrix decoding was the 5th hidden layer.
Finally, the result of the decoder was a cell line-specific synergy
score matrix.
Optimization was implemented using the cross-entropy loss
function:
L ¼ _x0001_1
N
X
i
yilog si þ 1 _x0001_ yi ð log 1 _x0001_ si ½ ð Þ_x0005_ ð5Þ
Here, yi is the real synergistic state of each drug combination, si
is the predicted synergy score for each combination, and N is the
number of drug combinations respectively. Backpropagation was
carried out from the final loss back to each of the previous layers
(Fig. 3). We trained our full model including all the trainable
parameters by this end-to-end method. It has been shown that
the end-to-end learning can greatly improve the model performance
because all the trainable parameters receive the gradients
from the loss function jointly [23]. In this study, the loss propagates
through both the GCN encoder and matrix decoder.</t>
  </si>
  <si>
    <t>The graph in this study was a multimodal graph, which
was constructed by integrating the drug-drug combination, drug-protein interaction, and protein–protein
interaction networks.</t>
  </si>
  <si>
    <t>Our study design is depicted in Fig. 1. The GCN model for synergistic
drug combination prediction was cell line-specific and
based on three different types of subnetworks: drug-drug synergy
(DDS) network, drug-target interaction (DTI) network, and protein–
protein interaction (PPI) network. Data from various sources
such as online databases and the published literature were collected
to build the three networks (Table 1). We obtained the
DDS data from O’Neil et al.’s study [4]. This study contains
23,052 drug-drug combinations with the corresponding Loewe
synergy scores tested across 38 drugs in 39 cell lines derived from
6 human cancer types. The measured Loewe synergy score for most
drug pairs in the O’neil et al.’s data ranges from _x0001_60 to 60. According
to the definition of the Loewe synergy score, any score greater
than 0 indicates the synergistic effect between the two drugs [16].
Drug pairs with a high synergy score indicate a highly synergistic
effect [7]. We used 30 as the threshold to define the positive and
negative samples as described in Preue et al.’s study [7]. Drug pairs
with a measured synergy score higher than 30 were considered as
positive (i.e., synergistic). Drug pairs with a measured score lower
than 30 and not reported were considered as negative (i.e., nonsynergistic).
In this way, we obtained 20,971 negative drug pairs
and 2,081 positive drug pairs.
The DTI data were extracted from the STITCH Version 5.0 database
[17], which provides voluminous interactions between chemical
compounds and target proteins. We obtained a total of
8,083,600 interactions between more than 500,000 compounds
and 8,900 proteins.
We collected the PPI data from two comprehensive open access
repositories, the STRING Version 11.0 database [18] and the Bio-
GRID Version 3.5.174 database [19]. Both the computationally predicted
and experimentally validated interactions were included,
resulting in a total of 719,402 interactions over 19,085 unique proteins.
We listed the total number of links extracted for each of the
three networks (DDS, DTI and PPI) in Table 1.</t>
  </si>
  <si>
    <t>In this study, we proposed a Graph Convolutional
Network (GCN) model to predict synergistic drug combinations in particular cancer cell lines.
###
In this study, we utilized the graph convolutional network
method to develop GCN models, which can predict synergistic drug
combinations for 39 cell lines derived from six major cancer types,
including breast, colon, lung, melanoma, ovarian, and prostate cancers.</t>
  </si>
  <si>
    <t>GCN</t>
  </si>
  <si>
    <t>drug-drug combination, drug-protein interaction, and protein–protein</t>
  </si>
  <si>
    <t>O'Neil dataset, STITCH, STRING</t>
  </si>
  <si>
    <t>predict synergistic drug combinations in particular cancer cell lines.</t>
  </si>
  <si>
    <t>interaction networks.</t>
  </si>
  <si>
    <t>GNN</t>
  </si>
  <si>
    <t>Prediction of synthetic lethal interactions in human cancers using multi-view graph auto-encoder Prediction of synthetic lethal interactions in human cancers usin.pdf</t>
  </si>
  <si>
    <t>In this paper, we propose a novel SL prediction
method using Multi-view Graph Auto-Encoder (SLMGAE). We
consider the SL graph as the main view and the graphs from
other data sources (e.g., PPI, GO, etc.) as support views. Multiple
Graph Auto-Encoders (GAEs) are implemented to reconstruct
the graphs for different views. We further design an attention
mechanism, which assigns different weights for support views,
to combine all the reconstructed graphs for SL prediction.
###
We proposed a multi-view framework based on graph
neural networks (i.e., graph auto-encoder) for human SL
prediction.
_x000f_ We designed an attention mechanism to effectively integrate
the data from different views for SL prediction.</t>
  </si>
  <si>
    <t>We also utilized various data sources as support
views in SLMGAE, including GO and PPI. GO has three subontologies,
namely, biological process (BP), molecular function
(MF), and cellular component (CC).
###
As for the
support views, we adopted the same five data sources as Liany
et al. [?], including co-expression, mutual exclusivity scores,
pathway co-membership, protein complex co-membership and
PPI scores from the Hippie database [30].
###
To conduct independent validation experiments, we downloaded
the Gene Interactions (GIs) data [31] as our third SL
dataset, which was collected by CRISPR interference in 2
leukemia cancer cell lines “K562” and “Jurkat”.
###
Third, we
also extracted the gene feature matrices from GO (i.e., BP and
CC) and PPI as support views for this GIs data.</t>
  </si>
  <si>
    <t>Experimental results
on the SynLethDB dataset show that SLMGAE outperforms
state-of-the-arts.
###
We show the performance comparison among various methods
for SL prediction on both SynLethDB and SynLethDB-BC
datasets in this section.
###
1) Data: We downloaded SynLethDB [13], the most comprehensive
up-to-date database for human SL interactions,
to evaluate the performance of our SLMGAE method. Syn-
LethDB contains 19,667 human SL pairs among 6,375 genes.
###
For PPI data, we
downloaded the latest version of BioGRID [12]. We removed
the SL interactions from BioGRID and obtained a PPI graph
with 98,581 protein-protein interactions among 6,375 genes.
###
Following Liany et al. [?], we obtained the second SL
dataset with 245 SL interactions related to breast cancer in
SynLethDB. We denoted this sub-dataset for breast cancer as
SynLethDB-BC. In particular, these 245 SL pairs involve 332
genes and thus the main view graph has 332 nodes. 
###
As for the
support views, we adopted the same five data sources as Liany
et al. [?], including co-expression, mutual exclusivity scores,
pathway co-membership, protein complex co-membership and
PPI scores from the Hippie database [30]. 
###
To conduct independent validation experiments, we downloaded
the Gene Interactions (GIs) data [31] as our third SL
dataset, which was collected by CRISPR interference in 2
leukemia cancer cell lines “K562” and “Jurkat”.</t>
  </si>
  <si>
    <t>Multi-view Graph Auto-Encoder (SLMGAE)</t>
  </si>
  <si>
    <t>PPI, biological process (BP), molecular function
(MF), and cellular component (CC)., co-expression, mutual exclusivity scores,
pathway co-membership, protein complex co-membership and
PPI scores, Gene Interactions (GIs),  gene feature matrices</t>
  </si>
  <si>
    <t xml:space="preserve">SynLethDB, BioGRID, Hippie database, Gene Interactions (GIs) data </t>
  </si>
  <si>
    <t>Prediction of Synthetic Lethal Interactions in
Human Cancers</t>
  </si>
  <si>
    <t>SynLethDB, BioGRID</t>
  </si>
  <si>
    <t>SL prediction</t>
  </si>
  <si>
    <t>Multi-view multichannel attention graph convolutional network for miRNA–disease association prediction 2021_Tangxinru.pdf</t>
  </si>
  <si>
    <t>In this study,we present a Multi-viewMultichannel Attention
Graph Convolutional Network named MMGCN for miRNA–
disease association prediction. First, we use the graph
convolutional network (GCN) to learn the multiview features
of miRNA and disease from their multiple similarity networks,
respectively. Second, instead of simply integrate multisource
information, we utilize the attention mechanism on multiple
features to learn the importance of different features adaptively.
Then the CNN combiner is used to obtain the final embedding.
Finally, we regard the problem of disease-related miRNA identification
as a recommender task and use matrix completion to
predict potential miRNA–disease associations.
###
In this section, we propose a novel multiview deep learning
framework named MMGCN to predict miRNA–disease associations.
We frame the miRNA–disease prediction problem as a
recommendation task by fusing multisource similarity views
of miRNA and disease. More specifically, as shown in Figure 1,
MMGCN is an end-to-end model that consists of the following
three modules: (i) A multiview GCN encoder for encoding miRNAs
and diseasemultisource data (Figure 1A). (ii) Amultichannel
attention mechanism to separately learn the importance of the
different channel information for miRNA and disease learned
from the GCN encoder (Figure 1B and C). (iii) A CNN combiner
that recombines the features from the multichannel attention
module to obtain a unified embedding of miRNA and disease
(Figure 1D). After obtaining the feature embeddings of miRNA
and disease, respectively, we use matrix factorization to obtain
the potential correlation matrix of miRNA and disease.</t>
  </si>
  <si>
    <t>Known human miRNA–disease associations verified by
experimental evidences in literature are obtained from HMDD
v3.2 [40], which includes 35 547 associations between 1206
miRNAs and 894 diseases. 
###
The miRNA sequence information
is downloaded from miRBase Release 22
###
The miRTarBase Release 8.0 [42] contains
502 652 pairs of miRNA–gene relationships, including 2599
miRNAs.
###
MiR2disease contains 2925 experimentally validated
associations between 438 miRNAs and 174 diseases.</t>
  </si>
  <si>
    <t>We use multiple biomedical datasets to extract the multisource
information of miRNAs and diseases, and build a network of
multiple views for subsequent association prediction tasks.
Below we describe the process of building a multiview network
in our study.
Known human miRNA–disease associations verified by
experimental evidences in literature are obtained from HMDD
v3.2 [40], which includes 35 547 associations between 1206
miRNAs and 894 diseases. The miRNA sequence information
is downloaded from miRBase Release 22 [41], which contains
1917 human miRNAs. The miRTarBase Release 8.0 [42] contains
502 652 pairs of miRNA–gene relationships, including 2599
miRNAs. As done in previous studies [34, 37], we merge multiple
miRNA transcripts with the same mature miRNA. Then we
intersect the datasets and obtain 905 disease-associated miRNAs
that have sequence information. The semantic trees of diseases
and disease–gene relations are downloaded from MESH (https://
www.nlm.nih.gov/mesh/) and DisGeNET v7.0 [43]. The two
databases contain 29 638 and 30 170 diseases, respectively. After
merging duplicates and removing the irregular data, we get
12 446 experimentally validated miRNA–disease associations
among 853 miRNAs and 591 diseases. The weighted gene–gene
association network is got from HumanNet v2 [36]. For miRNAs
and diseases we obtain above, there are 14 971 and 19 258 genes
associated with them, respectively.
Besides, to better evaluate the performance of the model, we
use the miR2disease database [44] to build a small multiview
network. MiR2disease contains 2925 experimentally validated
associations between 438 miRNAs and 174 diseases. We use
the same method as above to perform intersection and deduplication
of the datasets, and finally get 701 miRNA–disease
associations, including 193 miRNAs and 54 diseases.</t>
  </si>
  <si>
    <t>In this study,we present a Multi-viewMultichannel Attention
Graph Convolutional Network named MMGCN for miRNA–
disease association prediction
###
In this study, we propose a novel multiview-based graph
neural network approach MMGCN, for predicting potential
associations in miRNA–disease networks</t>
  </si>
  <si>
    <t>Multi-viewMultichannel Attention Graph Convolutional Network named MMGCN</t>
  </si>
  <si>
    <t>human miRNA–disease associations, miRNA sequence information, miRNA–gene relationships</t>
  </si>
  <si>
    <t>HMDD v3.2, miRBase Release 22, miRTarBase Release 8.0, miR2disease database, MESH, DisGeNET</t>
  </si>
  <si>
    <t>Disease association prediction</t>
  </si>
  <si>
    <t>MOGONET integrates multi-omics data using graph convolutional networks allowing patient classification and biomarker identification s41467-021-23774-w.pdf</t>
  </si>
  <si>
    <t>Here, we present a novel multi-omics integrative
method named Multi-Omics Graph cOnvolutional NETworks (MOGONET) for biomedical
classification. MOGONET jointly explores omics-specific learning and cross-omics correlation
learning for effective multi-omics data classification.
###
GCNs for omic-specific learning. We utilized GCNs for omic-specific learning in
MOGONET, where a GCN was trained for each omics data type to perform
classification tasks. While existing GCN models mainly focus on semi-supervised
learning by propagating the labels from labeled data to unlabeled ones55–58, the
value of these methods in clinical applications could be limited as the learned GCN
model cannot be directly applied to predicting new samples whose data might not
be available during the training process. Therefore, in this work, we explored the
application of GCN in supervised learning. Our goal is to capture the intrinsic
structure of the data through the graphs during network training. This is similar to
previous manifold learning approaches to preserve the local information of the data
by using a graph regularizer. The benefit of graph NN in a supervised setting is that
it not only captures the local intra-class information due to the multi-modal
phenomena with each class but also seeks more discriminative features by considering
the inter-class information.</t>
  </si>
  <si>
    <t>We demonstrate that MOGONET
outperforms other state-of-the-art supervised multi-omics integrative analysis approaches
from different biomedical classification applications using mRNA expression data, DNA
methylation data, and microRNA expression data.</t>
  </si>
  <si>
    <t xml:space="preserve">Datasets. To demonstrate the effectiveness of MOGONET, we
applied the proposed method on four different biomedical classification
tasks using four different datasets: ROSMAP for Alzheimer’s
Disease (AD) patients vs. normal control (NC)
classification, LGG for grade classification in low-grade glioma
(LGG), KIPAN for kidney cancer type classification, and BRCA
for breast invasive carcinoma (BRCA) PAM50 subtype classification.
Three types of omics data (i.e., mRNA expression data
(mRNA), DNA methylation data (meth), and miRNA expression
data (miRNA)) were used for classification to provide comprehensive
and complementary information on the diseases. Only
samples with matched mRNA expression, DNA methylation, and
miRNA expression data were included in our study. 
###
Omics data of LGG, KIPAN, and BRCA, as well as the grade
information of LGG patients, were acquired from The Cancer
Genome Atlas Program (TCGA) through Broad GDAC Firehose.
</t>
  </si>
  <si>
    <t>Here, we present a novel multi-omics integrative
method named Multi-Omics Graph cOnvolutional NETworks (MOGONET) for biomedical
classification. MOGONET jointly explores omics-specific learning and cross-omics correlation
learning for effective multi-omics data classification. 
###
 Furthermore, MOGONET can identify
important biomarkers from different omics data types related to the investigated biomedical
problems.
###
We demonstrated the
capabilities and versatility of MOGONET through a wide range of
biomedical classification applications, including Alzheimer’s disease
patient classification, tumor grade classification in low-grade
glioma (LGG), kidney cancer type classification, and breast
invasive carcinoma subtype classification. We also showed the
necessity of integrating multiple omics data types as well as the
importance of combining both GCN and VCDN for multi-omics
data classification through comprehensive ablation studies.
Moreover, we demonstrated that MOGONET can identify
important omics signatures and biomarkers related to the
investigated biomedical problems.</t>
  </si>
  <si>
    <t xml:space="preserve">Multi-Omics Graph cOnvolutional NETworks (MOGONET) </t>
  </si>
  <si>
    <t>mRNA expression data, DNA
methylation data, and microRNA expression data.</t>
  </si>
  <si>
    <t>ROSMAP, LGG, KIPAN, BRCA, TCGA</t>
  </si>
  <si>
    <t>Alzheimer’s disease
patient classification, tumor grade classification, Cancer subtypes classification, and biomarkers identification</t>
  </si>
  <si>
    <t>MOGONET</t>
  </si>
  <si>
    <t>ROSMAP, TCGA</t>
  </si>
  <si>
    <t>Cancer subtypes classification, Biomarker identification</t>
  </si>
  <si>
    <t>LGG, KIPAN, BRCA</t>
  </si>
  <si>
    <t>3D-MCN: A 3D Multi-scale Capsule Network for Lung Nodule Malignancy Prediction s41598-020-64824-5.pdf</t>
  </si>
  <si>
    <t>Capitalizing on the success of CapsNet in biomedical domains, we propose a
novel model for lung tumor malignancy prediction. The proposed framework, referred to as the 3D
Multi-scale Capsule Network (3D-MCN), is uniquely designed to benefit from: (i) 3D inputs, providing
information about the nodule in 3D; (ii) Multi-scale input, capturing the nodule’s local features, as
well as the characteristics of the surrounding tissues, and; (iii) CapsNet-based design, being capable of
dealing with a small number of training samples.
###
Proposed 3D-MCN Model for lung nodule classification. 3D-MCN consists of three independent
CapsNets, each of which takes nodule patches at a different spatial scale as input. Therefore, we refer to it as a multi-
scale learning architecture. Here, scale refers to the visible area of the tissue surrounding the nodule. Each input
is a 3D nodule crop centered at the nodule annotation. The output vectors of the three CapsNets are concatenated,
and the result goes through a fusion module consisting</t>
  </si>
  <si>
    <t>The input to each CNN was a 3D lung nodule patch at a specific scale, similar to the setting utilized in the
3D-MCN.</t>
  </si>
  <si>
    <t>We performed several experiments on two independent training and test sets from the Lung Image Database
Consortium (LIDC) and Image Database Resource Initiative (IDRI) dataset27–29.</t>
  </si>
  <si>
    <t>Capitalizing on the success of CapsNet in biomedical domains, we propose a
novel model for lung tumor malignancy prediction.
###
In this paper, we presented our work on lung nodule malignancy prediction based on a 3D multi-scale capsule
network.</t>
  </si>
  <si>
    <t>CapsNet</t>
  </si>
  <si>
    <t>3D lung nodule patches</t>
  </si>
  <si>
    <t>LIDC and IDRI</t>
  </si>
  <si>
    <t>lung tumor malignancy prediction</t>
  </si>
  <si>
    <t>LIDC-IDRI</t>
  </si>
  <si>
    <t>Capsule network based modeling of multi-omics data for discovery of breast cancer-related genes Capsule_Network_Based_Modeling_of_Multi-omics_Data_for_Discovery_of_Breast_Cancer-Related_Genes.pdf</t>
  </si>
  <si>
    <t>We propose a deep learning method for the discovery of breast
cancer-related genes by using Capsule Network based Modeling of Multi-omics Data (CapsNetMMD). In CapsNetMMD, we make
use of known breast cancer-related genes to transform the issue of gene identification into the issue of supervised classification.
###
In this study, we propose a deep learning method for the
discovery of breast cancer-related genes by using Capsule
Network based Modeling of Multi-omics Data (CapsNetMMD).</t>
  </si>
  <si>
    <t>The features of genes are generated through comprehensive integration of multi-omics data, e.g., mRNA expression, z scores for
mRNA expression, DNA methylation, and two forms of DNA copy-number alterations (CNAs). By modeling features based on the
capsule network, we identify breast cancer-related genes with a significantly better performance than other existing machine learning
methods.
###
In CapsNetMMD,
multi-omics data, e.g., mRNA expression, z scores for
mRNA expression, DNA methylation and two forms of
DNA copy-number alterations (CNAs) are fully integrated
to generate feature matrixes of genes. Then known breast
cancer-related genes are incorporated to transform the issue
of gene identification into the issue of supervised classification.
###
In this study, we integrate
multi-omics data of breast cancer from TCGA database to
generate the feature matrix of genes, which include mRNA
expression, z scores for mRNAexpression,DNAmethylation
and two forms of CNAs.</t>
  </si>
  <si>
    <t>The multi-omics data utilized in this study are derived from
TCGA project, which produces tremendous data of cancer
genomics. Specifically, we download the data of breast cancer
including mRNA expression, DNA methylation and
CNA from an open platform: The cBioPortal for Cancer
Genomics (http://cbioportal.org) [23], [24], which makes
large-scale raw data provided by TCGA more directly
and easily available to researchers.
###
In this study, we integrate
multi-omics data of breast cancer from TCGA database to
generate the feature matrix of genes, which include mRNA
expression, z scores for mRNAexpression,DNAmethylation
and two forms of CNAs.</t>
  </si>
  <si>
    <t>We propose a deep learning method for the discovery of breast
cancer-related genes by using Capsule Network based Modeling of Multi-omics Data (CapsNetMMD). In CapsNetMMD, we make
use of known breast cancer-related genes to transform the issue of gene identification into the issue of supervised classification.
###
The predicted genes with prognostic values play potential important roles in breast cancer and may serve as candidates for
biologists and medical scientists in the future studies of biomarkers.
###
We present a deep learning method named CapsNetMMDto
identify breast cancer-related genes by modeling multi-omics
data based on capsule network.</t>
  </si>
  <si>
    <t>CapsNetMMD</t>
  </si>
  <si>
    <t>mRNA expression, z scores for
mRNA expression, DNA methylation, and two forms of DNA copy-number alterations (CNAs)</t>
  </si>
  <si>
    <t>discovery of breast
cancer-related genes  and biomarker identification</t>
  </si>
  <si>
    <t>Prognosis, Drug response prediction, Cancer subtypes classification, Synergistic drug combination prediction, Gene regulation mechanisms, Medical imaging-assisted diagnosis, Biomarker identification, Singe cell-related study, SL prediction, Gene discovery</t>
  </si>
  <si>
    <t>Gene discovery</t>
  </si>
  <si>
    <t>Multi-omics data integration by generative adversarial network btab608.pdf</t>
  </si>
  <si>
    <t>In this study, we introduce
omicsGAN, a generative adversarial network model to integrate two omics data and their interaction network. The
model captures information from the interaction network as well as the two omics datasets and fuse them to generate
synthetic data with better predictive signals.</t>
  </si>
  <si>
    <t>We performed experiments on The Cancer Genome Atlas (TCGA)
datasets to evaluate the performance of omicsGAN with two different
interaction networks [e.g. miRNA–mRNA interaction network and
transcription factor (TF)-gene interaction network].
###
The RNA-seq mRNA expression
and miRNA expression datasets of each cancer type were downloaded
from UCSC Xena Hub
###
Here, we design
another experiment using TF–gene interaction network to evaluate
whether omicsGAN can show similar improvement in integrating
other omics data and their interaction network.</t>
  </si>
  <si>
    <t>We performed experiments on The Cancer Genome Atlas (TCGA)
datasets to evaluate the performance of omicsGAN with two different
interaction networks [e.g. miRNA–mRNA interaction network and
transcription factor (TF)-gene interaction network].
###
The RNA-seq mRNA expression
and miRNA expression datasets of each cancer type were downloaded
from UCSC Xena Hub
###
The miRNA–mRNA interaction network was obtained from
TargetScanHuman</t>
  </si>
  <si>
    <t>In this study, we introduce
omicsGAN, a generative adversarial network model to integrate two omics data and their interaction network. The
model captures information from the interaction network as well as the two omics datasets and fuse them to generate
synthetic data with better predictive signals.
###
In this study, we introduced
omicsGAN, a GAN model to effectively integrate the interaction
network and the omics datasets into new synthetic data with better
predictive signals. We observed that the synthetic data generated
from omicsGAN has better discriminative power on cancer outcome
classification and cancer patients survival prediction compared to
the original omics datasets.</t>
  </si>
  <si>
    <t>omicsGAN</t>
  </si>
  <si>
    <t>RNA-seq mRNA expression, miRNA expression,miRNA–mRNA interaction network , TF–gene interaction network</t>
  </si>
  <si>
    <t>TCGA (BRCA, LUAD, OV), TargetScanHuman</t>
  </si>
  <si>
    <t>Multi-omics data integration and prognosis</t>
  </si>
  <si>
    <t>TCGA, TargetScanHuman</t>
  </si>
  <si>
    <t>source_file</t>
  </si>
  <si>
    <t>FULL ANSWER:  What type of model was used, i.e. variation of a fully connected neural network (FCNN), Convolutional neural network (CNN), Autoencoder (AE), Denoising autoencoder (DAE), Cross-AE (cross autoencoder), Variational autoencoder (VAE), OmiVAE, MMD-VAE, Graph Neural Network (GNN), MOGONET, CapsNet, CapsNetMMD, OmicsGAN. Include only the main method(s) developed or applied in the paper and do not include methods that were included in the paper just for comparison or in Related work.</t>
  </si>
  <si>
    <t>FULL ANSWER:  What type of model was used, i.e. variation of a fully connected neural network (FCNN), Convolutional neural network (CNN), or Autoencoder (AE). Include only the main method(s) developed or applied in the paper and do not include methods that were included in the paper just for comparison.  or in Related work</t>
  </si>
  <si>
    <t>FULL ANSWER: What types of features were used in the study, i.e. gene expression, DNA methylation, miRNA expression, copy number burden, tumor mutation burden, drug-target interaction, demographic and clinical information? Do not include the whole dataset, but just the features used.</t>
  </si>
  <si>
    <t>FULL ANSWER: What datasets or data sources were used in this study, i.e. The Cancer Genome Atlas (TCGA), Gene Expression Omnibus (GEO), ArrayExpress, or other relevant biomedical data archives. Do not include the specific features used from those datasets, but just the general names of the datasets or data sources; and do not include datasets that are mentioned for comparison or in related work.</t>
  </si>
  <si>
    <t>FULL ANSWER: What are the primary specific applications of the study, i.e. Prognosis, Drug response prediction, Cancer subtypes classification, Synergistic drug combination prediction, Gene regulation mechanisms, Medical imaging-assisted diagnosis, Biomarker identification, Single cell-related study, or SL prediction? Do not include general application domains, such as computational biology or bioinformatics.</t>
  </si>
  <si>
    <t>CONCISE ANSWER:  What type of model was used, i.e. variation of a fully connected neural network (FCNN), Convolutional neural network (CNN), Autoencoder (AE), Denoising autoencoder (DAE), Cross-AE (cross autoencoder), Variational autoencoder (VAE), OmiVAE, MMD-VAE, Graph Neural Network (GNN), MOGONET, CapsNet, CapsNetMMD, OmicsGAN. Include only the main method(s) developed or applied in the paper and do not include methods that were included in the paper just for comparison or in Related work.</t>
  </si>
  <si>
    <t>CONCISE ANSWER:  What type of model was used, i.e. variation of a fully connected neural network (FCNN), Convolutional neural network (CNN), or Autoencoder (AE). Include only the main method(s) developed or applied in the paper and do not include methods that were included in the paper just for comparison.  or in Related work</t>
  </si>
  <si>
    <t>CONCISE ANSWER: What types of features were used in the study, i.e. gene expression, DNA methylation, miRNA expression, copy number burden, tumor mutation burden, drug-target interaction, demographic and clinical information? Do not include the whole dataset, but just the features used.</t>
  </si>
  <si>
    <t>CONCISE ANSWER: What datasets or data sources were used in this study, i.e. The Cancer Genome Atlas (TCGA), Gene Expression Omnibus (GEO), ArrayExpress, or other relevant biomedical data archives. Do not include the specific features used from those datasets, but just the general names of the datasets or data sources; and do not include datasets that are mentioned for comparison or in related work.</t>
  </si>
  <si>
    <t>CONCISE ANSWER: What are the primary specific applications of the study, i.e. Prognosis, Drug response prediction, Cancer subtypes classification, Synergistic drug combination prediction, Gene regulation mechanisms, Medical imaging-assisted diagnosis, Biomarker identification, Single cell-related study, or SL prediction? Do not include general application domains, such as computational biology or bioinformatics.</t>
  </si>
  <si>
    <t>Human answer</t>
  </si>
  <si>
    <t>Iterative RAG.csv</t>
  </si>
  <si>
    <t>[32] fgene-10-00166</t>
  </si>
  <si>
    <t>Fully connected neural network (FCNN)</t>
  </si>
  <si>
    <t>SALMON uses a neural network architecture with hidden layers and applies Cox proportional hazards regression networks. This is a variation of a fully connected neural network (FCNN) specifically designed for survival analysis tasks.</t>
  </si>
  <si>
    <t>The study used the following types of features:
- Gene expression data (mRNA-seq data, 57 features)
- miRNA expression data (miRNA-seq data, 12 features)
- Copy number burden (CNB, 2 features)
- Tumor mutation burden (TMB, 2 features)
- Demographic and clinical information (3 features: diagnosis age, ER status, PR status)</t>
  </si>
  <si>
    <t>The Cancer Genome Atlas (TCGA), Gene Expression Omnibus (GEO), and ArrayExpress were not explicitly mentioned as data sources in the provided contexts. The study used Broad GDAC Firehose, Pan-Cancer Atlas (PanCanAtlas) Initiative, and cBioPortal as data sources.</t>
  </si>
  <si>
    <t>Gene expression, miRNA expression, copy number burden, tumor mutation burden, demographic and clinical information</t>
  </si>
  <si>
    <t>Broad GDAC Firehose, Pan-Cancer Atlas (PanCanAtlas) Initiative, cBioPortal</t>
  </si>
  <si>
    <t>Factual Accuracy / Correctness (RAGAS: answer correctness)</t>
  </si>
  <si>
    <t>Hallucination Detection (RAGAS: faithfulness)</t>
  </si>
  <si>
    <t>Relevance / Answerable (answer relevancy)</t>
  </si>
  <si>
    <t>Naive RAG.csv</t>
  </si>
  <si>
    <t>The main method developed and applied in the paper is a variation of a fully connected neural network (FCNN). Specifically, the paper describes the use of a neural network architecture called SALMON (Survival Analysis Learning with Multi-Omics Neural Networks) that connects omics data to hidden layers and then to the final output using Cox proportional hazards regression networks. This architecture is a variation of a fully connected neural network tailored for survival analysis with multi-omics data.</t>
  </si>
  <si>
    <t>The main method developed and applied in the paper is a variation of a fully connected neural network (FCNN). Specifically, the paper describes the use of a neural network architecture called SALMON, which integrates Cox proportional hazards regression networks. This approach differs from simple fully connected networks like Cox-nnet by incorporating multi-omics data and using eigengene matrices as inputs, which simplifies the feature space.</t>
  </si>
  <si>
    <t>The study used the following types of features:
- Gene expression data (mRNA)
- miRNA expression data
- Demographic and clinical information (ER and PR status derived from IHC)</t>
  </si>
  <si>
    <t>The primary specific application of the study is Prognosis. The research focuses on developing a method to improve the accuracy of breast cancer survival prognosis using multi-omics data and Deep Learning-based approaches. Specifically, the study introduces the SALMON algorithm to integrate various types of omics data and clinical information to enhance the prediction of patient survival outcomes.</t>
  </si>
  <si>
    <t>Fully connected neural network (FCNN), SALMON</t>
  </si>
  <si>
    <t>Gene expression data (mRNA), miRNA expression data, Demographic and clinical information</t>
  </si>
  <si>
    <t>React extract.csv</t>
  </si>
  <si>
    <t>The main method used in the paper is a neural network architecture, specifically a variation of a fully connected neural network (FCNN) connected to Cox proportional hazards regression networks. The architecture includes hidden layers with dimensions 8 and 4 for mRNA-seq and miRNA-seq eigengene matrices, respectively, which are then connected to the final output. Uncertainty: The exact variation of FCNN is not specified beyond it being a fully connected network with hidden layers.</t>
  </si>
  <si>
    <t>The main method developed in the paper is a **Convolutional neural network (CNN)** variation, specifically a neural network architecture that uses hidden layers to process mRNA-seq and miRNA-seq eigengene matrices before connecting them to a final output layer using Cox proportional hazards regression. The architecture is designed to handle multi-omics data and includes features like adaptive moment estimation (Adam) optimizer, LASSO regularization, and sigmoid activation functions.</t>
  </si>
  <si>
    <t>The study used the following types of features:
- Gene expression data (mRNA)
- miRNA expression data
- Copy number burden (CNB)
- Tumor mutation burden (TMB)
- Demographic and clinical information (diagnosis age, ER status, PR status)
Uncertainty: HER2 status was not considered due to insufficient data.</t>
  </si>
  <si>
    <t>The datasets used in this study include:
- Broad GDAC Firehose
- Pan-Cancer Atlas (PanCanAtlas) Initiative
- cBioPortal
These datasets were used to provide gene expression data, copy number burden, tumor mutation burden, and clinical information. No other specific data sources like Gene Expression Omnibus (GEO) or ArrayExpress are mentioned as directly used in this study.</t>
  </si>
  <si>
    <t>The primary specific application of the study is **Prognosis**. The study focuses on developing a Deep Learning-based algorithm (SALMON) to improve breast cancer survival prognosis by integrating multi-omics data and clinical information.</t>
  </si>
  <si>
    <t>Convolutional neural network (CNN)</t>
  </si>
  <si>
    <t>Gene expression data, miRNA expression data, Copy number burden, Tumor mutation burden, Demographic and clinical information</t>
  </si>
  <si>
    <t>Multiple FCNNs whose outputs are fed to a final network</t>
  </si>
  <si>
    <t>[33] bioinformatics_35_14_i501</t>
  </si>
  <si>
    <t>MOLI uses a combination of a classification loss and a triplet loss. The main method developed in the paper is a deep neural network model called MOLI (multi-omics late integration with deep neural networks for drug response prediction). This model does not match any of the specific models listed in the topic, but it combines elements that are not just for comparison or in the related work section.</t>
  </si>
  <si>
    <t>The main method developed in the paper is a combination of a fully connected neural network (FCNN) with triplet loss and classification loss. The model does not specifically mention using a Convolutional neural network (CNN) or Autoencoder (AE).</t>
  </si>
  <si>
    <t>The features used in the study include gene expression, copy number aberration (CNA), and gene mutations. Protein expression and proteomics data were not explicitly mentioned as used features, but proteomics could be a good candidate for future extensions as it has been shown to contribute to pan-cancer drug response prediction. Demographic and clinical information were not specifically mentioned as used features in the provided contexts.</t>
  </si>
  <si>
    <t>The Cancer Genome Atlas (TCGA), GDSC cell lines dataset, PDX Encyclopedia dataset.</t>
  </si>
  <si>
    <t>Drug response prediction, Cancer subtypes classification, Synergistic drug combination prediction</t>
  </si>
  <si>
    <t>deep neural network, classification loss, triplet loss</t>
  </si>
  <si>
    <t>gene expression, copy number aberration, gene mutations</t>
  </si>
  <si>
    <t>The Cancer Genome Atlas (TCGA), GDSC cell lines dataset, PDX Encyclopedia dataset</t>
  </si>
  <si>
    <t>The main method developed and applied in the paper is MOLI (multi-omics late integration with deep neural networks for drug response prediction). This model integrates preprocessed mutation, copy number, and gene expression data using encoding sub-networks and a classification sub-network. It does not specifically fit into the categories of FCNN, CNN, Autoencoder, Denoising autoencoder, Cross-AE, Variational autoencoder, OmiVAE, MMD-VAE, Graph Neural Network, MOGONET, CapsNet, CapsNetMMD, or OmicsGAN as described in the provided context.</t>
  </si>
  <si>
    <t>The main model used in the paper is a multi-omics late integration with deep neural networks (MOLI). This model integrates features from different omics data types (mutation, copy number, and gene expression) into a single representation through encoding sub-networks. The integrated representation is then used by a classification sub-network to predict drug response. The model is trained using a cost function that combines a classification loss and a triplet loss.</t>
  </si>
  <si>
    <t>In the study, gene expression data and copy number aberration (CNA) were used as features. Additionally, mutation data was also included. The study did not mention the use of DNA methylation, miRNA expression, copy number burden, tumor mutation burden, drug-target interaction, or demographic and clinical information.</t>
  </si>
  <si>
    <t>GDSC cell lines dataset, PDX Encyclopedia dataset, TCGA patients with the drug response available in their records, TCGA patients without the drug response</t>
  </si>
  <si>
    <t>The primary specific applications of the study include Drug response prediction and Cancer subtypes classification. Multi-omics data have been exploited for drug response prediction and patient stratification. For drug response prediction, Ding et al. (2018) concatenated mutation, CNA, and gene expression data and used autoencoders to learn features for predicting binarized IC50 values. Multi-omics data have also been used for patient stratification and survival prediction in various types of cancer from TCGA patients.</t>
  </si>
  <si>
    <t>MOLI</t>
  </si>
  <si>
    <t>Multi-omics late integration with deep neural networks (MOLI)</t>
  </si>
  <si>
    <t>gene expression, copy number aberration, mutation data</t>
  </si>
  <si>
    <t>TCGA, GDSC cell lines dataset, PDX Encyclopedia dataset</t>
  </si>
  <si>
    <t>Drug response prediction, Cancer subtypes classification</t>
  </si>
  <si>
    <t>MOLI is a deep neural network that uses multiple feed forward encoding sub-networks to learn features for each type of omics data (mutation, copy number, and gene expression). These learned features are concatenated into one representation and optimized using a combined cost function consisting of a triplet loss and a binary cross-entropy loss. Therefore, the main method developed in the paper is a **multi-omics late integration method based on deep neural networks**, which can be considered a variation of a fully connected neural network (FCNN) given its feed forward architecture.</t>
  </si>
  <si>
    <t>The main method developed in the paper is a deep neural network called MOLI (multi-omics late integration). This network uses a combination of encoding sub-networks for mutation, copy number, and gene expression data, which are concatenated into one representation. This representation is then optimized using a combined cost function consisting of a triplet loss and a binary cross-entropy loss. The uncertainty here is minimal as the description clearly outlines the use of a deep neural network with specific components and loss functions.</t>
  </si>
  <si>
    <t>The study used the following types of features:
- Gene expression
- Somatic mutation
- Copy number aberration (CNA)
- Drug response (IC50 values)
The study did not explicitly mention using DNA methylation, miRNA expression, copy number burden, tumor mutation burden, drug-target interaction, or demographic and clinical information as primary features. However, it did use clinical annotations for some TCGA patients and noted the potential for integrating additional omics data types like proteomics and single-cell data in future research.</t>
  </si>
  <si>
    <t>The datasets used in this study include:
- GDSC cell lines dataset
- PDX Encyclopedia dataset
- TCGA patients with drug response available in their records
- TCGA patients without drug response
These datasets were sourced from various resources including GDSC, PDX Encyclopedia, and TCGA.</t>
  </si>
  <si>
    <t>The primary specific applications of the study are:
- **Drug response prediction**: The study focuses on predicting the response to various drugs using multi-omics data, including gene expression, somatic mutations, and copy number aberrations. This is the main application of the MOLI method.
- **Transfer learning for targeted drugs**: The study explores the use of transfer learning to improve the prediction of targeted drugs, particularly those targeting the EGFR pathway.
- **Biomarker identification**: The study identifies genes in the EGFR pathway that have significant associations with the predicted drug responses for different cancer types.
- **Single-omics vs. multi-omics comparison**: The study compares the performance of single-omics (gene expression) methods with multi-omics methods, showing that multi-omics approaches outperform single-omics methods.
- **Pan-drug vs. drug-specific training**: The study investigates the benefits of training on pan-drug inputs compared to drug-specific inputs for targeted drugs.
- **External validation**: The study validates the MOLI method on both in vitro (cell line) and in vivo (PDX and patient) datasets, demonstrating its clinical utility.
The study does not focus on prognosis, cancer subtypes classification, synergistic drug combination prediction, gene regulation mechanisms, medical imaging-assisted diagnosis, or single cell-related studies.</t>
  </si>
  <si>
    <t>Deep neural network, MOLI</t>
  </si>
  <si>
    <t>Gene expression, Somatic mutation, Copy number aberration, Drug response</t>
  </si>
  <si>
    <t>GDSC cell lines dataset, PDX Encyclopedia dataset, TCGA patients with drug response, TCGA patients without drug response</t>
  </si>
  <si>
    <t>Drug response prediction, Transfer learning for targeted drugs, Biomarker identification, Single-omics vs. multi-omics comparison, Pan-drug vs. drug-specific training, External validation</t>
  </si>
  <si>
    <t>[34] genes-11-00888</t>
  </si>
  <si>
    <t>Deep neural network model</t>
  </si>
  <si>
    <t>Deep neural network model (specifically, a variation of a fully connected neural network with encoding subnetworks and a classification subnetwork)</t>
  </si>
  <si>
    <t>The study used mRNA, DNA methylation, and copy number variation (CNV) data.</t>
  </si>
  <si>
    <t>The Cancer Genome Atlas (TCGA)</t>
  </si>
  <si>
    <t>The primary specific applications of the study include:
- **Cancer subtypes classification**: The study uses deep neural networks based on multi-omics data to classify breast cancer subtypes, showing improved performance compared to using single omics data.
- **Feature selection**: The study analyzes the effect of feature selection on classification using deep neural networks based on multi-omics data, demonstrating its positive impact.
- **Drug response prediction**: Although not explicitly stated, the use of multi-omics data for classification can indirectly contribute to understanding drug responses by identifying relevant biomarkers and subtypes.
- **Biomarker identification**: The study identifies important genes and pathways that can serve as biomarkers for breast cancer subtypes.
- **Single cell-related study**: Not directly addressed, but the multi-omics approach can be extended to single cell data for more detailed analysis.
- **SL prediction**: The study employs deep learning for multi-class classification, which can be considered a form of supervised learning (SL) prediction.
The study does not explicitly focus on prognosis, synergistic drug combination prediction, or gene regulation mechanisms, but these areas could be relevant extensions of the research.</t>
  </si>
  <si>
    <t>variation of a fully connected neural network</t>
  </si>
  <si>
    <t>mRNA, DNA methylation, copy number variation</t>
  </si>
  <si>
    <t>Cancer subtypes classification, Feature selection, Drug response prediction, Biomarker identification, Single cell-related study, SL prediction</t>
  </si>
  <si>
    <t>The main model used in the paper is DeepMO, which is based on deep neural networks and integrates multi-omics data. This model consists of encoding subnetworks for each type of omics data (mRNA, DNA methylation, and CNV) and a classification subnetwork. Therefore, the primary method applied in the paper is a variation of a fully connected neural network (FCNN).</t>
  </si>
  <si>
    <t>The main model used in the paper is a deep neural network model that consists of encoding subnetworks and a classification subnetwork. This model is a variation of a fully connected neural network (FCNN) as it uses fully connected layers with ReLU activation functions and includes techniques like dropout and batch normalization.</t>
  </si>
  <si>
    <t>The study used mRNA, DNA methylation, and copy number variation (CNV) data as features. These include gene expression levels, regulatory relationships between gene transcription and promoter methylation, and copy number changes in genes.</t>
  </si>
  <si>
    <t>The primary specific application of the study is Cancer subtypes classification. The study employs a model called DeepMO, which uses deep neural networks based on multi-omics data to classify breast cancer subtypes. Additionally, the study compares the performance of binary and multi-class classification using multi-omics data against single omics data and other state-of-the-art methods.</t>
  </si>
  <si>
    <t>Cancer subtypes classification, DeepMO, deep neural networks, multi-omics data</t>
  </si>
  <si>
    <t>The main method developed and applied in the paper is a deep neural network model called DeepMO, which is a variation of a fully connected neural network (FCNN). The model consists of encoding subnetworks for each type of omics data and a classification subnetwork. The uncertainty here is minimal as the contexts clearly describe the use of a deep neural network for multi-omics data integration.</t>
  </si>
  <si>
    <t>The main method developed in the paper is a deep neural network model (DeepMO) that uses multi-omics data. Specifically, it consists of encoding subnetworks for each type of omics data (mRNA, DNA methylation, and CNV) and a classification subnetwork that combines the learned features. This model does not fit into the categories of fully connected neural network (FCNN), Convolutional neural network (CNN), Autoencoder (AE), or Graph Neural Network (GNN) as it is a custom architecture designed for multi-omics data integration.</t>
  </si>
  <si>
    <t>The study used mRNA expression, DNA methylation, and copy number variation (CNV) data. These three types of omics data were used to classify breast cancer subtypes using a deep neural network model called DeepMO.</t>
  </si>
  <si>
    <t>The primary specific applications of the study include:
- **Cancer subtypes classification**: The study uses a deep neural network model (DeepMO) to classify breast cancer subtypes based on multi-omics data (mRNA, DNA methylation, and copy number variation). This improves the accuracy of classification compared to using single omics data.
- **Drug response prediction**: Although not explicitly stated, the improved classification of subtypes can aid in predicting drug responses, as different subtypes may respond differently to treatments.
- **Gene regulation mechanisms**: The study indirectly addresses gene regulation mechanisms by analyzing enriched gene ontology terms and biological pathways of significant genes discovered during the feature selection process.
- **Synergistic drug combination prediction**: Not directly addressed, but improved subtype classification can support this by providing more accurate subtyping for drug combination studies.
- **Biomarker identification**: The feature selection process helps identify important genes, which can be potential biomarkers.
- **Single cell-related study**: Not directly addressed, but the methods could be extended to single cell data for more detailed analysis.
- **SL prediction**: Not directly addressed, but the multi-omics integration approach can be applied to single cell data for more comprehensive single cell analysis.
- **Medical imaging-assisted diagnosis**: Not directly addressed, but the improved classification of subtypes can enhance diagnostic accuracy when combined with medical imaging.
- **Prognosis**: The study indirectly addresses prognosis by improving the accuracy of subtype classification, which can inform prognosis.
- **Biomarker identification**: The feature selection process helps identify important genes, which can be potential biomarkers.
The study does not directly address medical imaging-assisted diagnosis, prognosis, or SL prediction, but the methods and models developed can be applied to these areas.</t>
  </si>
  <si>
    <t>Deep Neural Network Model (DeepMO)</t>
  </si>
  <si>
    <t>mRNA expression, DNA methylation, copy number variation</t>
  </si>
  <si>
    <t>Cancer subtypes classification, Drug response prediction, Gene regulation mechanisms, Synergistic drug combination prediction, Biomarker identification</t>
  </si>
  <si>
    <t>[35] btx806</t>
  </si>
  <si>
    <t>DeepSynergy uses a conic architecture with two hidden layers having 8192 neurons in the first and 4096 in the second hidden layer. It employs tanh input normalization, a learning rate of \(10^{-5}\), and dropout regularization with input dropout rate of 0.2 and hidden layer dropout rate of 0.5. Based on the provided contexts, this model is a variation of a fully connected neural network (FCNN).</t>
  </si>
  <si>
    <t>DeepSynergy used a fully connected neural network (FCNN) architecture.</t>
  </si>
  <si>
    <t>The study used gene expression profiles as genomic features. No DNA methylation, miRNA expression, copy number burden, tumor mutation burden, drug-target interaction, or demographic and clinical information were mentioned as features used in the study.</t>
  </si>
  <si>
    <t>ArrayExpress</t>
  </si>
  <si>
    <t>gene expression profiles</t>
  </si>
  <si>
    <t>The main method developed and applied in the paper is a fully connected neural network (FCNN), specifically referred to as DeepSynergy. The architecture includes two hidden layers with 8192 and 4096 neurons respectively, and uses tanh normalization, a learning rate of \(10^{-5}\), and dropout regularization.</t>
  </si>
  <si>
    <t>The main method developed and applied in the paper is a variation of a fully connected neural network (FCNN). This is evident from the description of the DeepSynergy architecture, which includes two hidden layers with specified numbers of neurons and uses tanh normalization. No Convolutional Neural Networks (CNNs) or Autoencoders (AEs) are mentioned as the main methods in the paper.</t>
  </si>
  <si>
    <t>In the study, the gene expression profiles of the cell lines were used. These profiles were obtained from the ArrayExpress database and processed using Factor Analysis for Robust Microarray Summarization (FARMS). No other types of features such as DNA methylation, miRNA expression, copy number burden, tumor mutation burden, drug-target interaction, or demographic and clinical information were mentioned in the context provided.</t>
  </si>
  <si>
    <t>The primary specific application of the study is Synergistic drug combination prediction.</t>
  </si>
  <si>
    <t>The main method developed in the paper is a deep learning approach with a conic architecture, which consists of two hidden layers with 8192 and 4096 neurons respectively. It uses tanh input normalization, a learning rate of \(10^{-5}\), and dropout regularization with input dropout rate of 0.2 and hidden layer dropout rate of 0.5. This method is referred to as DeepSynergy.</t>
  </si>
  <si>
    <t>The main method developed in the paper is a deep learning architecture called DeepSynergy, which uses a conic architecture with two hidden layers having 8192 and 4096 neurons, respectively. It employs tanh input normalization and dropout regularization. This architecture is a variation of a fully connected neural network (FCNN).</t>
  </si>
  <si>
    <t>The study used gene expression profiles as genomic information for the cell lines. No other specific genomic features such as DNA methylation, miRNA expression, copy number burden, or tumor mutation burden were mentioned. Drug-target interaction and demographic and clinical information were not included in the features used.</t>
  </si>
  <si>
    <t>The datasets used in this study include:
- The Cancer Genome Atlas (TCGA) (for genomic information of the cell lines)
- ArrayExpress (for gene expression profiles of the cell lines)
Note: The study did not directly mention using The Cancer Genome Atlas (TCGA), but it used gene expression profiles from ArrayExpress, which are often derived from TCGA data. The specific dataset from ArrayExpress used is E-MTAB-3610.</t>
  </si>
  <si>
    <t>The primary specific application of the study is Synergistic drug combination prediction. The research focuses on developing DeepSynergy, a deep learning approach to predict the synergy scores of drug combinations for cancer cell lines, which significantly outperforms other machine learning methods.</t>
  </si>
  <si>
    <t>DeepSynergy</t>
  </si>
  <si>
    <t>gene expression, drug-target interaction, demographic and clinical information</t>
  </si>
  <si>
    <t>The Cancer Genome Atlas (TCGA), ArrayExpress</t>
  </si>
  <si>
    <t>untreated cells' gene expression (GEX) profi_x000c_les and drug pairs' chemical structure.</t>
  </si>
  <si>
    <t>[36] 2020.05.24.113241v1.full</t>
  </si>
  <si>
    <t>The main method developed in the paper is MatchMaker, which uses a deep neural network architecture consisting of drug-specific subnetworks (DSNs) followed by a synergy prediction network. The DSNs are fully connected neural networks (FCNNs) that learn drug representations conditioned on cell line gene expressions. Therefore, the type of model used is a variation of a fully connected neural network (FCNN).</t>
  </si>
  <si>
    <t>The main method developed in the paper is a deep neural network-based approach called MatchMaker, which uses a combination of drug specific subnetworks (DSNs) and a synergy prediction network (SPN). Each DSN is a fully connected neural network with three layers, followed by activation functions and dropout layers. The SPN also uses fully connected layers to predict the synergy score. Therefore, the type of model used is a variation of a fully connected neural network (FCNN).</t>
  </si>
  <si>
    <t>The study used two types of features: untreated cells’ gene expression (GEX) profiles and drug chemical structure descriptors. Specifically, the gene expression profiles used landmark genes from Subramanian et al., and the drug chemical structure descriptors were calculated using the ChemoPy Python library.</t>
  </si>
  <si>
    <t>The Cancer Genome Atlas (TCGA), Gene Expression Omnibus (GEO), ArrayExpress</t>
  </si>
  <si>
    <t>The primary specific applications of the study are Synergistic drug combination prediction and Drug response prediction. The model, MatchMaker, uses drug chemical structure and cell line specific expression patterns to predict if two drugs work synergistically, which is a form of drug response prediction.</t>
  </si>
  <si>
    <t>Fully connected neural networks (FCNNs)</t>
  </si>
  <si>
    <t>gene expression, drug chemical structure descriptors</t>
  </si>
  <si>
    <t>Synergistic drug combination prediction, Drug response prediction</t>
  </si>
  <si>
    <t>The main method developed and applied in the paper is a variation of a fully connected neural network (FCNN). Specifically, the MatchMaker model uses a combination of drug-specific subnetworks (DSNs) and a synergy prediction network (SPN) to predict drug synergy scores. The DSNs are fully connected neural networks that learn drug representations conditioned on cell line gene expressions, while the SPN combines these representations to predict the final synergy score.</t>
  </si>
  <si>
    <t>The main model used in the paper is a variation of a fully connected neural network (FCNN). Specifically, the MatchMaker model consists of drug-specific subnetworks (DSNs) and a synergy prediction network (SPN) that are fully connected layers. The model is trained to predict Loewe values based on drug chemical descriptors and cell line gene expression profiles.</t>
  </si>
  <si>
    <t>In the study, gene expression profiles and drug chemical structure features were used. No other types of features such as DNA methylation, miRNA expression, copy number burden, tumor mutation burden, drug-target interaction, or demographic and clinical information were mentioned.</t>
  </si>
  <si>
    <t>gene expression, drug chemical structure</t>
  </si>
  <si>
    <t>The main method developed in the paper is a **fully connected neural network (FCNN)**. The architecture includes drug-specific subnetworks (DSNs) and a synergy prediction subnetwork (SPN), both of which are fully connected layers. The model is trained to predict the Loewe score using a weighted mean squared error loss function.</t>
  </si>
  <si>
    <t>The main method developed in the paper is a deep neural network-based approach, specifically a variation of a fully connected neural network (FCNN). The model consists of three neural subnetworks that learn drug-specific representations conditioned on cell line gene expressions, and a third subnetwork that predicts the drug pair synergy from these representations.</t>
  </si>
  <si>
    <t>The study used gene expression profiles and drug chemical structure features. Specifically, the features included:
- Untreated cells’ gene expression (GEX) profiles.
- Drug chemical descriptor features.
Uncertainty: The contexts do not mention DNA methylation, miRNA expression, copy number burden, tumor mutation burden, drug-target interaction, or demographic and clinical information.</t>
  </si>
  <si>
    <t>The datasets or data sources used in this study are:
- DrugComb
- Iorio et al. (E-MTAB-3610 at ArrayExpress)</t>
  </si>
  <si>
    <t>The primary specific applications of the study are:
Drug combination sensitivity scoring (Synergistic drug combination prediction). This is supported by the detailed description of the MatchMaker model, which is designed to predict the Loewe score for drug pairs, a measure of synergy.</t>
  </si>
  <si>
    <t>gene expression, drug chemical descriptor features</t>
  </si>
  <si>
    <t>DrugComb, Iorio et al. (E-MTAB-3610 at ArrayExpress)</t>
  </si>
  <si>
    <t>[37] es2018-93</t>
  </si>
  <si>
    <t>Cross-AE (cross autoencoder)</t>
  </si>
  <si>
    <t>The main method developed in the paper is the cross-modal superlayered neural network (SNN), which is a type of fully connected neural network (FCNN). It consists of two superlayers, each containing multiple fully connected layers, with cross-connections added between the superlayers to allow information flow and explore interactions between different modalities.</t>
  </si>
  <si>
    <t>The study used gene expression and DNA methylation as features.</t>
  </si>
  <si>
    <t>The Cancer Genome Atlas (TCGA), Gene Expression Omnibus (GEO)</t>
  </si>
  <si>
    <t>Prognosis, Cancer subtypes classification, Gene regulation mechanisms, Medical imaging-assisted diagnosis, Biomarker identification</t>
  </si>
  <si>
    <t>Cross-AE</t>
  </si>
  <si>
    <t>gene expression, DNA methylation</t>
  </si>
  <si>
    <t>The main method developed and applied in the paper is the Cross-modal Superlayered Neural Network (SNN). This model is a variation of a fully connected neural network (FCNN) that is specifically designed to integrate multiple modalities of multi-omics data.</t>
  </si>
  <si>
    <t>The main model developed and applied in the paper is the cross-modal superlayered neural network (SNN), which is a variation of a fully connected neural network (FCNN). This model integrates different data modalities (such as gene expression and DNA methylation) through superlayers and cross-connections between these superlayers.</t>
  </si>
  <si>
    <t>The study used gene expression and DNA methylation as features. Gene expression measurements were obtained from transcriptomics, while DNA methylation measurements were from epigenomics.</t>
  </si>
  <si>
    <t>The primary specific applications of the study include Prognosis and Cancer subtypes classification. The datasets used involve binary and multi-class classification of patients for breast cancer, and the SNN architecture is shown to achieve high accuracy in distinguishing cancer patients from healthy ones.</t>
  </si>
  <si>
    <t>Cross-modal Superlayered Neural Network (SNN), variation of a fully connected neural network (FCNN)</t>
  </si>
  <si>
    <t>Cross-modal superlayered neural network (SNN), fully connected neural network (FCNN)</t>
  </si>
  <si>
    <t>Prognosis, Cancer subtypes classification</t>
  </si>
  <si>
    <t>The main method developed in the paper is a **Cross-AE** (Cross-modal Autoencoder), which is a type of neural network architecture designed to integrate and analyze multi-omics data. The SNN (Cross-modal Superlayered Neural Network) consists of two superlayers, each processing a different modality, with cross-connections added in the middle to allow information flow between the modalities.</t>
  </si>
  <si>
    <t>The main method developed in the paper is a **Cross-modal Superlayered Neural Network (SNN)**, which is a type of **fully connected neural network (FCNN)**. The SNN consists of two superlayers, each processing a different modality of data, with cross-connections added between the superlayers to allow information to flow and explore interactions between the modalities.</t>
  </si>
  <si>
    <t>The study used the following types of features:
- Gene expression
- DNA methylation
The study did not use miRNA expression, copy number burden, tumor mutation burden, drug-target interaction, or demographic and clinical information.</t>
  </si>
  <si>
    <t>The datasets used in this study include The Cancer Genome Atlas (TCGA) and transcriptomes of human preimplantation embryos from the Gene Expression Omnibus (GEO).</t>
  </si>
  <si>
    <t>Prognosis
The primary specific application of the study is **prognosis**. The datasets used involve binary classification of patients for breast cancer, and the models achieve high accuracy, sensitivity, and F1-score, indicating their effectiveness in this context.</t>
  </si>
  <si>
    <t>fully connected neural network (FCNN)</t>
  </si>
  <si>
    <t>Gene expression, DNA methylation</t>
  </si>
  <si>
    <t>Multi-omics data integration and gene prioratization</t>
  </si>
  <si>
    <t>[41] s42003-020-01233-4</t>
  </si>
  <si>
    <t>The study used the following features:
- **Genome features**: Number of SNPs/indels within or nearby the gene (upstream, downstream, introns, and exons).
- **Transcriptome features**: Differentially expressed genes (DEGs) identified from RNA-seq data.
- **Literature features**: Features derived from the literature.
No DNA methylation, miRNA expression, copy number burden, tumor mutation burden, or drug-target interaction features were mentioned in the provided contexts.</t>
  </si>
  <si>
    <t>SRA, ENA, GEO, PubMed</t>
  </si>
  <si>
    <t>Gene prioritization and candidate gene identification.</t>
  </si>
  <si>
    <t>Genome features, Transcriptome features, Literature features</t>
  </si>
  <si>
    <t>SRA, ENA, GEO</t>
  </si>
  <si>
    <t>Gene prioritization, Candidate gene identification</t>
  </si>
  <si>
    <t>The main method developed and applied in the paper is a Convolutional Neural Network (CNN). The paper presents a general CNN model that integrates multi-omics information to prioritize candidate genes for objective traits in Sus scrofa.</t>
  </si>
  <si>
    <t>The main model used in the paper is a Convolutional Neural Network (CNN).</t>
  </si>
  <si>
    <t>The study used the following types of features:
- Genome features: including the number of SNPs/indels within or nearby the gene.
- Transcriptome features: derived from RNA-seq data.
- Literature features: information from published literature.
These features were integrated to improve the performance and interpretability of the gene prioritization model.</t>
  </si>
  <si>
    <t>The datasets used in this study included the Sequence Read Archive (SRA), the European Nucleotide Archive (ENA), and the NCBI Gene Expression Omnibus (GEO).</t>
  </si>
  <si>
    <t>The primary specific application of the study is Gene regulation mechanisms. The research focuses on integrating multiple omics data to identify credible candidate genes and understand the underlying genetic mechanisms of biological processes.</t>
  </si>
  <si>
    <t>Convolutional Neural Network (CNN)</t>
  </si>
  <si>
    <t>gene expression, DNA methylation, miRNA expression, copy number burden, tumor mutation burden, drug-target interaction, demographic and clinical information</t>
  </si>
  <si>
    <t>Sequence Read Archive (SRA), European Nucleotide Archive (ENA), NCBI Gene Expression Omnibus (GEO)</t>
  </si>
  <si>
    <t>Gene regulation mechanisms</t>
  </si>
  <si>
    <t>The main method developed in the paper is a **Convolutional Neural Network (CNN)**. The paper describes the development and application of a general CNN model that integrates multi-omics information to prioritize candidate genes for objective traits in non-model organisms, specifically in Sus scrofa (pigs).</t>
  </si>
  <si>
    <t>The main method developed in the paper is a Convolutional Neural Network (CNN).</t>
  </si>
  <si>
    <t>The study used the following types of features:
- Genome features (e.g., number of SNPs/indels within or nearby the gene)
- Transcriptome features
- Literature features
The genome features include the number of SNPs/indels in different regions (upstream, downstream, introns, exons). Transcriptome and literature features were also used, but specific details were not provided.</t>
  </si>
  <si>
    <t>The datasets used in this study include SRA, ENA, GEO, and PubMed.</t>
  </si>
  <si>
    <t>The primary specific application of the study is **gene prioritization** using a deep learning model based on a multi-omics knowledgebase. The study also provides an online platform, ISwine, which integrates various omics data (genomic, transcriptomic, and QTX) to prioritize candidate genes for specific traits.</t>
  </si>
  <si>
    <t>genome features, transcriptome features, literature features</t>
  </si>
  <si>
    <t>Gene prioritization</t>
  </si>
  <si>
    <t>[42] PIIS2001037020303585</t>
  </si>
  <si>
    <t>The main method developed in the paper is a deep convolutional neural network-based data integration model called DCNN_Concat. It concatenates the deep features from CNA and gene expression data sources for final prediction. Another model, DCNN_Siamese, is also used, which shares the training weights from each of the two data sources. The DNN_SE model uses a fully-connected DNN with weights initialized by stacked autoencoder, but it is not the main method developed in the paper.</t>
  </si>
  <si>
    <t>The main method developed in the paper is a deep convolutional neural network-based data integration model called DCNN_Concat. This model first trains each data source separately, and then concatenates the trained deep features for the final prediction. The paper also compares this model with other deep learning-based models, including DCNN_Siamese and DNN_SE.</t>
  </si>
  <si>
    <t>The study used copy number alteration data and gene expression data. Additionally, demographic and clinical information such as ER IHC status, HER2 gene copy number state, age at diagnosis, and tumor grade were also used as features.</t>
  </si>
  <si>
    <t>METABRIC project, Cancer Genome Atlas (TCGA) project</t>
  </si>
  <si>
    <t>The primary specific applications of the study include:
- **Cancer subtypes classification**: The study proposes a deep learning-based model (DCNN_Concat) to integrate copy number alteration and gene expression level data for predicting molecular subtypes of breast cancer, achieving better prediction performance than models using individual data sources.
- **Synergistic drug combination prediction**: While not explicitly mentioned, the study's focus on molecular subtypes could indirectly support the prediction of synergistic drug combinations by understanding the molecular characteristics of different cancer subtypes.
- **Gene regulation mechanisms**: The study involves the analysis of gene expression data, which can provide insights into gene regulation mechanisms.
- **Single cell-related study**: Although not directly addressed, the study's approach could be extended to single cell data for more detailed analysis.
- **SL prediction**: The study involves supervised learning (SL) for classifying breast cancer subtypes using deep neural networks.
The study does not directly focus on prognosis, drug response prediction, medical imaging-assisted diagnosis, or biomarker identification, but these areas could be relevant in the broader context of breast cancer research.</t>
  </si>
  <si>
    <t>DCNN_Concat, DCNN_Siamese</t>
  </si>
  <si>
    <t>Convolutional neural network, deep convolutional neural network</t>
  </si>
  <si>
    <t>copy number alteration, gene expression, ER IHC status, HER2 gene copy number state, age at diagnosis, tumor grade</t>
  </si>
  <si>
    <t>METABRIC project, The Cancer Genome Atlas (TCGA) project</t>
  </si>
  <si>
    <t>Cancer subtypes classification, Synergistic drug combination prediction, Gene regulation mechanisms, Single cell-related study, SL prediction</t>
  </si>
  <si>
    <t>The main method developed or applied in the paper is a deep neural network (DNN) based model. Specifically, the paper proposes a DNN model called DeepGene, which filters genes by mutation rate and indexes them by non-zero elements to overcome data sparsity. The outputs of these steps are then fed into a DNN for automatic feature extraction for somatic point mutation based cancer classification (SMCC).</t>
  </si>
  <si>
    <t>The main models developed or applied in the paper are variations of Convolutional Neural Networks (CNN). Specifically, the paper uses a Deep Convolutional Neural Network (DCNN) model, which includes a convolutional layer for feature extraction and a fully connected layer for final prediction. The paper also compares this with other models like DCNN_Siamese and DNN_SE, which are also based on CNN architectures.</t>
  </si>
  <si>
    <t>The study used gene expression and copy number alteration (CNA) data as features.</t>
  </si>
  <si>
    <t>The study used data from The Cancer Genome Atlas (TCGA).</t>
  </si>
  <si>
    <t>The primary specific application of the study is Cancer subtypes classification. The study aims to build a classification model for molecular subtypes of breast cancer by integrating CNA profiles and gene expression profiles using an integrative deep neural network learning approach.</t>
  </si>
  <si>
    <t>DNN, DeepGene</t>
  </si>
  <si>
    <t>Convolutional Neural Network (CNN), Deep Convolutional Neural Network (DCNN), DCNN_Siamese, DNN_SE</t>
  </si>
  <si>
    <t>gene expression, copy number alteration</t>
  </si>
  <si>
    <t>The main method developed in the paper is a deep convolutional neural network-based data integration model called **DCNN_Concat**. This model concatenates the high-level features from CNA data and gene expression data for final prediction.</t>
  </si>
  <si>
    <t>The main methods developed or applied in the paper are:
1. **DCNN_Concat**: A deep convolutional neural network-based data integration model that concatenates high-level features from CNA data and gene expression data for final prediction.
2. **DCNN_Siamese**: A weight-sharing network with two branches for learning models from CNA and gene expression data, which share the same weights or kernels.
Both models are variations of a **Convolutional Neural Network (CNN)**.</t>
  </si>
  <si>
    <t>The study used the following types of features:
- Copy number alteration (CNA) data
- Gene expression data
The study did not use DNA methylation, miRNA expression, copy number burden, tumor mutation burden, drug-target interaction, or demographic and clinical information as primary features.</t>
  </si>
  <si>
    <t>The datasets used in this study include METABRIC project data and gene expression data from the Cancer Genome Atlas (TCGA) project.</t>
  </si>
  <si>
    <t>The primary specific applications of the study include:
- **Cancer subtypes classification**: The study proposes a deep learning-based model (DCNN_Concat) to integrate copy number alteration and gene expression data for predicting molecular subtypes of breast cancer, achieving better prediction performance compared to models using individual data sources.
- **Synergistic drug combination prediction**: While not explicitly mentioned, the integrative approach could potentially be applied to predict synergistic drug combinations based on molecular subtypes.
- **Gene regulation mechanisms**: The study indirectly addresses gene regulation mechanisms by integrating gene expression and CNA data to better understand breast cancer subtypes.
- **Biomarker identification**: The deep learning model identifies 6 breast cancer subgroups, which could include potential biomarkers for different subtypes.
Uncertainty: The study focuses primarily on classification tasks and biomarker identification through integration of omics data, with less emphasis on direct drug response prediction or single cell analysis.</t>
  </si>
  <si>
    <t>Copy number alteration, Gene expression</t>
  </si>
  <si>
    <t>METABRIC, The Cancer Genome Atlas (TCGA)</t>
  </si>
  <si>
    <t>Cancer subtypes classification, Synergistic drug combination prediction, Gene regulation mechanisms, Biomarker identification</t>
  </si>
  <si>
    <t>[44] 1-s2.0-S0720048X20302308-main</t>
  </si>
  <si>
    <t>ResNet50-based multi-view fusion model</t>
  </si>
  <si>
    <t>ResNet50-based model</t>
  </si>
  <si>
    <t>The study used CT images for diagnosis. No other types of features such as gene expression, DNA methylation, miRNA expression, copy number burden, tumor mutation burden, drug-target interaction, or demographic and clinical information were mentioned as used in the study.</t>
  </si>
  <si>
    <t>The datasets used in this study are not explicitly named as TCGA, GEO, or ArrayExpress. The study used a dataset of high-resolution CT images of patients with pneumonia, including those with COVID-19 pneumonia and other types of pneumonia, collected from three hospitals in China.</t>
  </si>
  <si>
    <t>ResNet50-based</t>
  </si>
  <si>
    <t>CT images</t>
  </si>
  <si>
    <t>high-resolution CT images</t>
  </si>
  <si>
    <t>The main model used in the paper is a multi-view fusion deep learning model based on the ResNet50 architecture. This model is not one of the specific variations listed such as FCNN, CNN, Autoencoder, Denoising autoencoder, Cross-AE, Variational autoencoder, OmiVAE, MMD-VAE, Graph Neural Network, MOGONET, CapsNet, CapsNetMMD, or OmicsGAN. Instead, it is a modification of the ResNet50 architecture to handle multi-view input (axial, coronal, and sagittal views) for the purpose of diagnosing COVID-19 pneumonia.</t>
  </si>
  <si>
    <t>The main model used in the paper is a multi-view fusion deep learning model based on the ResNet50 architecture. This model is a variation of a Convolutional Neural Network (CNN).</t>
  </si>
  <si>
    <t>The study used demographic and clinical information, including age and gender, as well as chest CT imaging features from high-resolution CT scans. No other types of features like gene expression, DNA methylation, miRNA expression, copy number burden, tumor mutation burden, or drug-target interaction were mentioned in the provided context.</t>
  </si>
  <si>
    <t>The study used datasets from three hospitals in China, including Renmin Hospital of Wuhan University (RHWU), The First Hospital of China Medical University (1ˢᵗ HCMU), and Beijing Youan Hospital (BYH).</t>
  </si>
  <si>
    <t>The primary specific application of the study is Medical imaging-assisted diagnosis. The study aims to train a diagnostic model based on deep learning network on chest CT images to screen patients with COVID-19 pneumonia.</t>
  </si>
  <si>
    <t>ResNet50</t>
  </si>
  <si>
    <t>demographic and clinical information, chest CT imaging features</t>
  </si>
  <si>
    <t>Renmin Hospital of Wuhan University, The First Hospital of China Medical University, Beijing Youan Hospital</t>
  </si>
  <si>
    <t>The main method developed in the paper is a multi-view fusion deep learning model based on the ResNet50 architecture. This model uses three-view images (axial, coronal, and sagittal) of the maximum lung region for training.</t>
  </si>
  <si>
    <t>The study used CT images from axial, coronal, and sagittal views as the main features. No gene expression, DNA methylation, miRNA expression, copy number burden, tumor mutation burden, or drug-target interaction data were used. Demographic and clinical information (age and gender) were also considered.</t>
  </si>
  <si>
    <t>The datasets used in this study include chest CT images from three hospitals in China: Renmin Hospital of Wuhan University (RHWU), The First Hospital of China Medical University (1ˢᵗ HCMU), and Beijing Youan Hospital (BYH). These images were collected retrospectively and were not sourced from The Cancer Genome Atlas (TCGA), Gene Expression Omnibus (GEO), or ArrayExpress.</t>
  </si>
  <si>
    <t>The primary specific applications of the study are:
- **Medical imaging-assisted diagnosis**: The study develops a multi-view deep learning fusion model to assist radiologists in the initial screening of COVID-19 pneumonia using chest CT images.</t>
  </si>
  <si>
    <t>CT images from axial, coronal, and sagittal views, demographic and clinical information</t>
  </si>
  <si>
    <t xml:space="preserve">autoencoders </t>
  </si>
  <si>
    <t xml:space="preserve"> gene expression, copy number and genetic mutation data</t>
  </si>
  <si>
    <t>[47] 1811.07054v1</t>
  </si>
  <si>
    <t>AuDNNsynergy model consists of three autoencoders and a deep neural network. The main method developed in the paper is the AuDNNsynergy model, which uses autoencoders for feature extraction from different types of genomics data (expression, mutation, and copy number) and a deep neural network for prediction.</t>
  </si>
  <si>
    <t>The AuDNNsynergy model consists of two major components: three autoencoders and a deep neural network. Therefore, the main methods developed in the paper are Autoencoders (AE) and a Deep Neural Network (DNN).</t>
  </si>
  <si>
    <t>Gene expression, mutation, and copy number.</t>
  </si>
  <si>
    <t>Autoencoder, deep neural network</t>
  </si>
  <si>
    <t>Autoencoder, Deep Neural Network</t>
  </si>
  <si>
    <t>Gene expression, mutation, copy number</t>
  </si>
  <si>
    <t>The main method developed and applied in the paper is the AuDNNsynergy model, which consists of three autoencoders and a deep neural network. The autoencoders are used to process different types of genomics data (gene expression, copy number, and mutation), and the deep neural network integrates the outputs from these autoencoders for drug combination prediction.</t>
  </si>
  <si>
    <t>The main method developed and applied in the paper is the AuDNNsynergy model, which consists of two major components: three autoencoders and a deep neural network. Therefore, the main method used in the paper is an Autoencoder (AE) combined with a deep neural network.</t>
  </si>
  <si>
    <t>The study used gene expression, mutation, and copy number as features. Specifically, gene expression data included mRNA expression levels, mutation data covered non-silent mutations, and copy number variation data was estimated using the GISTIC2 method. Drug features were represented by 2431 physicochemical features. No information was provided regarding DNA methylation, miRNA expression, drug-target interaction, demographic, or clinical information.</t>
  </si>
  <si>
    <t>The Cancer Genome Atlas (TCGA), Cancer Cell Line Encyclopedia (CCLE), and UCSC Xena Server.</t>
  </si>
  <si>
    <t>The primary specific application of the study is Synergistic drug combination prediction. The study also explores underlying mechanisms of synergy for specific drug combinations against given cancer cell lines, which is closely related to understanding Gene regulation mechanisms.</t>
  </si>
  <si>
    <t>gene expression, mutation, copy number variation, physicochemical features</t>
  </si>
  <si>
    <t>The Cancer Genome Atlas (TCGA), Cancer Cell Line Encyclopedia (CCLE), UCSC Xena Server</t>
  </si>
  <si>
    <t>Synergistic drug combination prediction, Gene regulation mechanisms</t>
  </si>
  <si>
    <t>The main method developed in the paper is AuDNNsynergy, which consists of three autoencoders and a deep neural network. The uncertainty lies in the specific type of deep neural network used, as it is not explicitly detailed in the provided contexts.</t>
  </si>
  <si>
    <t>The main method developed in the paper is AuDNNsynergy, which consists of three autoencoders and a deep neural network. The deep neural network part of AuDNNsynergy is a variation of a fully connected neural network (FCNN).</t>
  </si>
  <si>
    <t>The study used the following types of features:
- Gene expression
- Mutation
- Copy number
- Drug (physicochemical properties)
- Demographic and clinical information (implied by the mention of "transfer learning using TCGA data" and "interpretation analysis of the deep learning model to investigate potential vital genetic predictors and the underlying mechanism of synergistic drug combinations on specific cancer cell-lines")
The study did not explicitly mention using DNA methylation, miRNA expression, or tumor mutation burden as features.</t>
  </si>
  <si>
    <t>The Cancer Genome Atlas (TCGA), Gene Expression Omnibus (GEO) is not mentioned as a data source, but The Cancer Genome Atlas (TCGA) was used. ArrayExpress is not mentioned either.</t>
  </si>
  <si>
    <t>Synergistic drug combination prediction.</t>
  </si>
  <si>
    <t>Fully connected neural network (FCNN), Autoencoder (AE)</t>
  </si>
  <si>
    <t>Gene expression, Mutation, Copy number, Drug (physicochemical properties), Demographic and clinical information</t>
  </si>
  <si>
    <t>[48] yang2021</t>
  </si>
  <si>
    <t>DSC-Nets (a type of Convolutional neural network (CNN))</t>
  </si>
  <si>
    <t>The main method developed in the paper is a deep subspace fusion clustering (DSFC) approach, which uses stacked convolutional auto-encoder structures to achieve the encoder and decoder. This method overall can achieve non-linear self-expressiveness.</t>
  </si>
  <si>
    <t>The study used mRNA expression, DNA methylation, and miRNA expression as features.</t>
  </si>
  <si>
    <t>The primary specific application of the study is cancer subtype prediction. The method, DSFC, integrates multi-omic data (mRNA expression, miRNA expression, and DNA methylation) to predict cancer subtypes, aiming to provide a more accurate treatment strategy in personalized medicine.</t>
  </si>
  <si>
    <t>Convolutional auto-encoder</t>
  </si>
  <si>
    <t>mRNA expression, DNA methylation, miRNA expression</t>
  </si>
  <si>
    <t>Cancer subtype prediction</t>
  </si>
  <si>
    <t>The main method developed and applied in the paper is Deep Subspace Fusion Clustering (DSFC), which uses a deep neural network architecture. Specifically, DSFC employs stacked convolutional auto-encoder structures to achieve the encoder and decoder parts. This approach allows the model to capture nonlinear self-expressiveness in the data.</t>
  </si>
  <si>
    <t>The main model used in the paper is an Autoencoder (AE) combined with a deep neural network to achieve nonlinear self-expressiveness. Specifically, the paper proposes Deep Subspace Fusion Clustering (DSFC), which uses a deep subspace learning network with encoding, self-expressive, and decoding layers for each type of omic data. This approach is distinct from fully connected neural networks (FCNN) or convolutional neural networks (CNN) in that it focuses on capturing nonlinear relationships within the data through self-expressiveness.</t>
  </si>
  <si>
    <t>The study used gene expression, DNA methylation, and miRNA expression as features.</t>
  </si>
  <si>
    <t>The primary specific application of the study is Cancer subtypes classification.</t>
  </si>
  <si>
    <t>Autoencoder, Deep Subspace Fusion Clustering</t>
  </si>
  <si>
    <t>gene expression, DNA methylation, miRNA expression</t>
  </si>
  <si>
    <t>The main method developed in the paper is Deep Subspace Fusion Clustering (DSFC), which uses a deep neural network, specifically a stacked convolutional auto-encoder, to achieve nonlinear self-expressiveness for integrating multi-omics data to predict cancer subtypes.</t>
  </si>
  <si>
    <t>The main method developed in the paper is a deep subspace fusion clustering (DSFC) model, which uses stacked convolutional auto-encoder structures for the encoder and decoder. This model achieves non-linear self-expressiveness through convolutional layers and a fully connected self-expressive layer.</t>
  </si>
  <si>
    <t>The study used the following types of features:
- Gene expression (mRNA expression)
- DNA methylation
- miRNA expression
The study did not use copy number burden, tumor mutation burden, drug-target interaction, or demographic and clinical information.</t>
  </si>
  <si>
    <t>The datasets used in this study are from The Cancer Genome Atlas (TCGA).</t>
  </si>
  <si>
    <t>The primary specific application of the study is **Cancer subtype prediction**. The research focuses on integrating multi-omic data (mRNA expression, miRNA expression, and DNA methylation) to predict cancer subtypes using a method called Deep Subspace Fusion Clustering (DSFC). This approach aims to improve the accuracy of cancer subtype prediction by leveraging deep neural networks to capture nonlinear relationships in the data.</t>
  </si>
  <si>
    <t>Convolutional auto-encoder, Fully connected self-expressive layer</t>
  </si>
  <si>
    <t>Gene expression, DNA methylation, miRNA expression</t>
  </si>
  <si>
    <t>Cancer subtype prediction, Deep Subspace Fusion Clustering (DSFC)</t>
  </si>
  <si>
    <t>[49] 1-s2.0-S0888754319309449-main</t>
  </si>
  <si>
    <t>Denoising Deep Auto-Encoder (DDAE)</t>
  </si>
  <si>
    <t>The main method developed in the paper is a Denoising Deep Auto-Encoder (DDAE) network combined with a Multi-Layer Perceptron (MLP) network for regression. The DDAE network is used for feature extraction and dimensionality reduction, while the MLP network is used for regression.</t>
  </si>
  <si>
    <t>DNA methylation, copy number variation, and gene expression.</t>
  </si>
  <si>
    <t>Gene regulation mechanisms, Cancer subtypes classification</t>
  </si>
  <si>
    <t>Denoising autoencoder (DAE)</t>
  </si>
  <si>
    <t>Denoising Deep Auto-Encoder, Multi-Layer Perceptron</t>
  </si>
  <si>
    <t>DNA methylation, copy number variation, gene expression</t>
  </si>
  <si>
    <t>The main method developed and applied in the paper is the DDAE-MLP model, which combines a Denoising Deep Auto-Encoder (DDAE) for feature extraction and dimensionality reduction with a Multi-Layer Perceptron (MLP) for regression.</t>
  </si>
  <si>
    <t>The main model developed and applied in the paper is a Denoising Deep Auto-Encoder (DDAE) combined with a Multi-Layer Perceptron (MLP) for regression. This model was used to estimate gene expression from DNA methylation and copy number variation data.</t>
  </si>
  <si>
    <t>The study used DNA methylation (DNAm) and copy number variation (CNV) as features, along with RNA-seq data for gene expression. No miRNA expression, tumor mutation burden, drug-target interaction, or demographic and clinical information were mentioned as features in the provided context.</t>
  </si>
  <si>
    <t>The primary specific applications of the study include:
- Gene regulation mechanisms: The study develops a deep learning-based predictive model to estimate gene expression from genetic and epigenetic alterations, providing insights into the regulatory mechanisms involved in gene expression for liver hepatocellular carcinoma (HCC).
- Cancer subtypes classification: The model is evaluated for its disease classification capability, achieving an accuracy of 95.1%.
- Biomarker identification: The study integrates multi-omics data (genomic, epigenomic, and transcriptomic) to identify potential biomarkers and therapeutic targets for HCC.
- Prognosis: The model is used to predict gene expression patterns, which can be linked to prognosis and major signaling pathways, aiding in the prediction of survival subgroups and poor prognosis.
- Feature extraction and dimensionality reduction: The DDAE network is used for feature extraction and dimensionality reduction, which are crucial for integrating multi-omics data and improving the predictive power of the model.</t>
  </si>
  <si>
    <t>Denoising autoencoder, Multi-Layer Perceptron</t>
  </si>
  <si>
    <t>DNA methylation, copy number variation, RNA-seq data</t>
  </si>
  <si>
    <t>Gene regulation mechanisms, Cancer subtypes classification, Biomarker identification, Prognosis</t>
  </si>
  <si>
    <t>The main method developed in the paper is a Denoising Deep Auto-Encoder (DDAE) combined with a Multi-Layer Perceptron (MLP) for regression. This DDAE-MLP model is used for estimating gene expression from DNA methylation and copy number variation data. The DDAE is used for feature extraction and dimensionality reduction, while the MLP is used for regression.</t>
  </si>
  <si>
    <t>The main method developed in the paper is a Denoising Deep Auto-Encoder (DDAE) combined with a Multi-Layer Perceptron (MLP) for regression.</t>
  </si>
  <si>
    <t>The study used DNA methylation (DNAm) and copy number variation (CNV) data for feature extraction and dimensionality reduction. Gene expression data was predicted using a Deep Denoising Auto-encoder (DDAE) and Multi-layer Perceptron (MLP) model. No miRNA expression, tumor mutation burden, drug-target interaction, or demographic and clinical information were mentioned as features used in this study.</t>
  </si>
  <si>
    <t>The study used TCGA multi-omics data for Liver Hepatocellular Carcinoma (LIHC).</t>
  </si>
  <si>
    <t>Cancer subtypes classification, Prognosis
The study primarily focuses on classifying cancer subtypes and predicting prognosis using a deep learning-based regression model that integrates gene expression, DNA methylation, and copy number variation data.</t>
  </si>
  <si>
    <t>DDAE, MLP</t>
  </si>
  <si>
    <t>[50] 2839775</t>
  </si>
  <si>
    <t>Denoising autoencoder</t>
  </si>
  <si>
    <t>Autoencoder (AE)</t>
  </si>
  <si>
    <t>The study used gene expression (mRNA), miRNA expression, and DNA methylation as features.</t>
  </si>
  <si>
    <t>The primary specific applications of the study include:
- **Prognosis**: The study uses a deep learning autoencoder-based pipeline to predict survival subtypes in bladder cancer, providing a robust method for prognosis.
- **Cancer subtypes classification**: The pipeline identifies two survival subtypes in bladder cancer, distinguishing between high-risk and low-risk groups.
- **Synergistic drug combination prediction**: While not directly addressed in the provided contexts, the study's approach could potentially be extended to predict synergistic drug combinations based on the identified subtypes.
- **Gene regulation mechanisms**: The study indirectly touches on gene regulation mechanisms by identifying pathways and genes associated with survival subtypes, such as the PI3K-Akt signaling pathway and KRT6/14 overexpression.
- **Biomarker identification**: The study identifies potential biomarkers, such as KRT6/14 overexpression and the PI3K-Akt pathway, which could be used as biomarkers for survival prediction.
- **Single cell-related study**: The study does not focus on single cell analysis but could be extended to incorporate single cell data for more detailed analysis.
- **SL prediction**: The study does not explicitly address single-label prediction but focuses on survival prediction, which is a form of single-label prediction.
The study does not directly address drug response prediction, medical imaging-assisted diagnosis, or gene regulation mechanisms in a detailed manner.</t>
  </si>
  <si>
    <t>Autoencoder</t>
  </si>
  <si>
    <t>gene expression, miRNA expression, DNA methylation</t>
  </si>
  <si>
    <t>Prognosis, Cancer subtypes classification, Gene regulation mechanisms, Biomarker identification</t>
  </si>
  <si>
    <t>The main method developed and applied in the paper is the Denoising autoencoder (DAE). Specifically, the authors used DAE to transform multi-omics features and identify features linked to survival.</t>
  </si>
  <si>
    <t>The main method developed and applied in the paper is an Autoencoder (AE). Specifically, the paper uses autoencoders to transform multi-omics features and integrate survival information to identify subtypes linked with survival.</t>
  </si>
  <si>
    <t>The study used gene expression (mRNA), DNA methylation, and miRNA expression as features. Specifically, the analysis focused on differentially expressed genes, differentially methylated genes, and differentially expressed miRNAs between two survival subtypes of bladder cancer. No information was provided regarding DNA copy number burden, tumor mutation burden, drug-target interaction, or demographic and clinical information.</t>
  </si>
  <si>
    <t>The primary specific application of the study is Cancer subtypes classification. The study uses a deep learning autoencoder-based pipeline to infer survival subtypes in bladder cancer from multi-omics data, including mRNA, miRNA, and methylation.</t>
  </si>
  <si>
    <t>The main method developed in the paper is the use of an autoencoder (AE). The paper does not describe the use of any other type of deep learning model beyond the autoencoder for the specific task of transforming multi-omics features and integrating survival information to infer subtypes.</t>
  </si>
  <si>
    <t>The main method developed in the paper is an **Autoencoder (AE)**. The paper focuses on using autoencoders to transform multi-omics features and integrate survival information to identify survival subtypes in bladder cancer.</t>
  </si>
  <si>
    <t>The study used the following types of features:
- Gene expression (mRNA)
- miRNA expression
- DNA methylation
The study did not use copy number burden, tumor mutation burden, drug-target interaction, or demographic and clinical information as primary features.</t>
  </si>
  <si>
    <t>The datasets used in this study include The Cancer Genome Atlas (TCGA) and Gene Expression Omnibus (GEO).</t>
  </si>
  <si>
    <t>The primary specific application of the study is **Prognosis**. The study uses a deep learning autoencoder-based pipeline (DeepProg) to infer survival subtypes in bladder cancer, aiming to predict the survival subtype of new samples.</t>
  </si>
  <si>
    <t>Gene expression, miRNA expression, DNA methylation</t>
  </si>
  <si>
    <t>[51] s13040-020-00222-x</t>
  </si>
  <si>
    <t>Denoising Autoencoder (DAE)</t>
  </si>
  <si>
    <t>The study used mRNA expression, miRNA expression, copy number variation (CNV), and multi-omics data as features.</t>
  </si>
  <si>
    <t>GEO, TCGA</t>
  </si>
  <si>
    <t>The primary specific application of the study is **Ovarian cancer subtype identification** and **Prognosis**. The research identifies two subtypes of ovarian cancer and relates them to clinical outcomes, including survival.</t>
  </si>
  <si>
    <t>mRNA expression, miRNA expression, copy number variation</t>
  </si>
  <si>
    <t>Ovarian cancer subtype identification, Prognosis</t>
  </si>
  <si>
    <t>The main method developed and applied in the paper is the Denoising autoencoder (DAE). The paper proposes a novel deep learning framework using DAE for integrating multi-omics data to identify ovarian cancer subtypes.</t>
  </si>
  <si>
    <t>The main method developed and applied in the paper is the Denoising Autoencoder (DAE). The paper proposes a novel deep learning framework using DAE to construct lower-dimensional representations of multi-omics data for identifying ovarian cancer subtypes.</t>
  </si>
  <si>
    <t>In the study, the following types of features were used: mRNA expression, miRNA expression, and copy number variation (CNV). Specifically, the study utilized mRNA-seq data, miRNA-seq data, and CNV data from the TCGA dataset.</t>
  </si>
  <si>
    <t>TCGA, GEO</t>
  </si>
  <si>
    <t>The primary specific application of the study is Cancer subtypes classification. The research focuses on identifying different molecular subtypes in ovarian cancer using a novel deep learning framework with denoising autoencoder (DAE) and k-means clustering.</t>
  </si>
  <si>
    <t>The main method developed in the paper is a Denoising Autoencoder (DAE). The DAE is used to generate a low-dimensional representation of multi-omics data, which is then used for clustering and classification.</t>
  </si>
  <si>
    <t>The main method developed in the paper is a Denoising Autoencoder (DAE).</t>
  </si>
  <si>
    <t>The study used the following types of features:
- mRNA expression
- miRNA expression
- Copy number variation (CNV)
The study did not use DNA methylation, tumor mutation burden, drug-target interaction, or demographic and clinical information as primary features.</t>
  </si>
  <si>
    <t>The datasets used in this study include:
- The Cancer Genome Atlas (TCGA)
- Gene Expression Omnibus (GEO) datasets GSE26712, GSE53963, and GSE63885</t>
  </si>
  <si>
    <t>The primary specific applications of the study include:
- **Ovarian cancer subtype identification**: The study identifies two subtypes of ovarian cancer using multi-omics data.
- **Prognosis**: The study extends underlying prognosis-related biological biomarkers based on the identified subtypes.
- **Classification model**: A light-weighted logistic regression model is built using mRNA features to classify cancer subtypes.
- **Biomarker identification**: The study identifies 34 target genes and 19 KEGG pathways associated with ovarian cancer.
Uncertainty: The study primarily focuses on ovarian cancer subtype identification and related applications, with less emphasis on other specific applications listed.</t>
  </si>
  <si>
    <t>mRNA expression, miRNA expression, Copy number variation</t>
  </si>
  <si>
    <t>The Cancer Genome Atlas (TCGA), Gene Expression Omnibus (GEO) datasets GSE26712, GSE53963, GSE63885</t>
  </si>
  <si>
    <t>Ovarian cancer subtype identification, Prognosis, Classification model, Biomarker identification</t>
  </si>
  <si>
    <t>[53] 18_BHI</t>
  </si>
  <si>
    <t>The main method developed in the paper is the ChannelAtt methodology, which includes ChannelAttloc and ChannelAttglo. Both of these models use two-layer stacked autoencoders (SAEs) for the encoders. Therefore, the type of model used is SAEs (Stacked Autoencoders).</t>
  </si>
  <si>
    <t>The main methods developed or applied in the paper are multi-view deep learning models, specifically using stacked autoencoders (SAEs) for both global and channel-specific views. The paper also applies an attention mechanism named ChannelAtt, which includes ChannelAttloc and ChannelAttglo, to learn both multi-view representation and its contribution scores simultaneously.</t>
  </si>
  <si>
    <t>The study used EEG signals as the feature type.</t>
  </si>
  <si>
    <t>CHB-MIT dataset, PhysioNet</t>
  </si>
  <si>
    <t>Epileptic seizure detection</t>
  </si>
  <si>
    <t>SAEs</t>
  </si>
  <si>
    <t>Stacked Autoencoders, ChannelAtt, ChannelAttloc, ChannelAttglo</t>
  </si>
  <si>
    <t>EEG signals</t>
  </si>
  <si>
    <t>The main method developed and applied in the paper is the ChannelAtt model, which includes ChannelAttloc and ChannelAttglo. These models use multi-view deep learning approaches, specifically employing two-layer stacked autoencoders (SAEs) for the global and channel encoders. Therefore, the main method involves the use of autoencoders (AE).</t>
  </si>
  <si>
    <t>The main models developed or applied in the paper include SAEs (Stacked Autoencoders) and the proposed ChannelAtt framework, which incorporates both global and channel encoders. These models are variations of Autoencoders rather than fully connected neural networks (FCNN) or Convolutional neural networks (CNN).</t>
  </si>
  <si>
    <t>In the study, the features used were primarily based on the multi-channel EEG signals from the CHB-MIT dataset. These included raw EEG signals from 23 patients, with each patient's data containing 23 channels (or 24 or 26 in a few cases). The features were processed using various methods such as PCA, SVM, SAEs, and STFT-mSSDA. No other types of features like gene expression, DNA methylation, miRNA expression, copy number burden, tumor mutation burden, drug-target interaction, or demographic and clinical information were mentioned in the provided context.</t>
  </si>
  <si>
    <t>The study used the CHB-MIT dataset from PhysioNet.</t>
  </si>
  <si>
    <t>The primary specific application of the study is epileptic seizure detection using multi-channel scalp electroencephalogram (EEG) signals.</t>
  </si>
  <si>
    <t>Stacked Autoencoders, ChannelAtt framework</t>
  </si>
  <si>
    <t>raw EEG signals, PCA, SVM, SAEs, STFT-mSSDA</t>
  </si>
  <si>
    <t>The main method developed in the paper is the ChannelAtt framework, which includes ChannelAttloc and ChannelAttglo. This framework uses a multi-view deep learning approach with two encoders (global-encoder and channel-encoder) and employs an attention mechanism for channel selection. The encoders are parameterized by two-layer stacked autoencoders (SAEs). Uncertainty: The exact type of SAEs used is not fully specified in the contexts.</t>
  </si>
  <si>
    <t>The main method developed in the paper is a **Channel-aware Attention Framework (ChannelAtt)**, which uses a multi-view deep learning model with two encoders (global-encoder and channel-encoder) parameterized by stacked autoencoders (SAEs). The ChannelAtt framework also includes two attention mechanisms to dynamically calculate scores for each channel and achieve soft channel selection.</t>
  </si>
  <si>
    <t>The study used EEG signals from multi-channel scalp electroencephalogram (EEG) recordings as the primary feature type. The features were derived from multi-channel data after preprocessing with short-time Fourier transform (STFT) to obtain spectrograms. No other types of features such as gene expression, DNA methylation, miRNA expression, copy number burden, tumor mutation burden, or drug-target interaction were mentioned in the provided contexts. Demographic and clinical information was not used as features in this study.</t>
  </si>
  <si>
    <t>CHB-MIT dataset from PhysioNet.
Note: The contexts provided do not mention any other specific biomedical data archives like TCGA, GEO, or ArrayExpress.</t>
  </si>
  <si>
    <t>Seizure detection using multi-channel EEG signals. The primary specific application is **Seizure detection**. Uncertainty: The context focuses specifically on seizure detection in epilepsy, but does not mention other applications.</t>
  </si>
  <si>
    <t>EEG signals, spectrograms</t>
  </si>
  <si>
    <t>CHB-MIT dataset from PhysioNet</t>
  </si>
  <si>
    <t>Seizure detection</t>
  </si>
  <si>
    <t>[54] s12911-020-01225-8</t>
  </si>
  <si>
    <t>Gene expression, DNA methylation, miRNA expression, copy number variation.</t>
  </si>
  <si>
    <t>The primary specific applications of the study include:
- **Prognosis**: The study focuses on predicting overall survival of breast cancer patients using multi-omics data.
- **Drug response prediction**: Not explicitly mentioned, but implied by the use of multi-omics data for survival prediction, which can inform on patient response to different treatments.
- **Cancer subtypes classification**: While not the primary focus, the study indirectly addresses this by using multi-omics data to improve survival prediction, which can help in understanding different subtypes.
- **Synergistic drug combination prediction**: Not directly addressed in the study.
- **Gene regulation mechanisms**: Not directly addressed in the study.
- **Medical imaging-assisted diagnosis**: The study incorporates imaging data, but the primary focus is on multi-omics data.
- **Biomarker identification**: Not directly addressed in the study.
- **Single cell-related study**: Not directly addressed in the study.
- **SL prediction**: Survival prediction is the main application, but the study does not focus on single-label prediction in isolation.
The study primarily aims to improve survival prediction using multi-omics data integration, with a focus on deep learning methods like ConcatAE and CrossAE.</t>
  </si>
  <si>
    <t>Gene expression, DNA methylation, miRNA expression, copy number variation</t>
  </si>
  <si>
    <t>Prognosis, Drug response prediction, Cancer subtypes classification</t>
  </si>
  <si>
    <t>The main methods developed or applied in the paper are the concatenation autoencoder (ConcatAE) and the cross-modality autoencoder (CrossAE).</t>
  </si>
  <si>
    <t>The main methods developed or applied in the paper include the use of an autoencoder (AE) and a cross-modality autoencoder (CrossAE). These are not variations of fully connected neural networks (FCNN) or convolutional neural networks (CNN), but rather specific types of neural networks designed for data reconstruction and integration across different modalities.</t>
  </si>
  <si>
    <t>The study used the following types of features: gene expression, DNA methylation, miRNA expression, and copy number variation. Tumor mutation burden, drug-target interaction, demographic, and clinical information were not mentioned as features in the provided context.</t>
  </si>
  <si>
    <t>The MNIST database and TCGA-BRCA breast cancer multi-omics data were used in this study.</t>
  </si>
  <si>
    <t>The primary specific application of the study is Prognosis. The study focuses on predicting survival rates for breast cancer patients using multi-omics data, which includes gene expression, DNA methylation, miRNA expression, and copy number variation.</t>
  </si>
  <si>
    <t>ConcatAE, CrossAE</t>
  </si>
  <si>
    <t>Autoencoder, Cross-modality Autoencoder</t>
  </si>
  <si>
    <t>gene expression, DNA methylation, miRNA expression, copy number variation</t>
  </si>
  <si>
    <t>The main methods developed or applied in the paper are:
- Concatenation autoencoder (ConcatAE)
- Cross-modality autoencoder (CrossAE)
These methods were specifically developed for integrating multi-omics data for breast cancer survival prediction, focusing on integrating complementary and consensus information from different modalities.</t>
  </si>
  <si>
    <t>The main method developed in the paper is the **cross-modality autoencoder (CrossAE)**. This method integrates consensus information from each data modality by using hidden features extracted from one modality to reconstruct the input features from other modalities.</t>
  </si>
  <si>
    <t>The study used the following types of features:
- Gene Expression: Fragments per kilobase of transcript per million mapped reads (FPKM)
- DNA Methylation: Beta values
- miRNA Expression: Reads per million mapped reads (RPM)
- Copy Number Variation: Gain/Loss/Neutral
The study also utilized PCA features and high variance features for dimension reduction and feature selection.</t>
  </si>
  <si>
    <t>The study used The Cancer Genome Atlas (TCGA) breast cancer multi-omics data.</t>
  </si>
  <si>
    <t>The primary specific applications of the study include:
- **Prognosis**: The study focuses on predicting overall survival of breast cancer patients using multi-omics data.
- **Drug response prediction**: Not explicitly mentioned, but related to prognosis as it can inform treatment decisions.
- **Cancer subtypes classification**: Not directly addressed in the provided contexts.
- **Synergistic drug combination prediction**: Not directly addressed.
- **Gene regulation mechanisms**: Not directly addressed.
- **Medical imaging-assisted diagnosis**: Not directly addressed.
- **Biomarker identification**: Not directly addressed.
- **Single cell-related study**: Not directly addressed.
- **SL prediction**: Not directly addressed.
The study primarily focuses on **Prognosis** through survival prediction using multi-omics data.</t>
  </si>
  <si>
    <t>Gene Expression, DNA Methylation, miRNA Expression, Copy Number Variation, PCA features, high variance features</t>
  </si>
  <si>
    <t>[58] bbaa287</t>
  </si>
  <si>
    <t>Single-cell multimodal variational autoencoder (scMVAE)</t>
  </si>
  <si>
    <t>The main method developed in the paper is the single-cell multimodal variational autoencoder (scMVAE) model. This is a deep joint-learning model designed to learn the joint latent features from single-cell RNA-seq and ATAC-seq data, accounting for their inherent sparse and heterogeneous properties.</t>
  </si>
  <si>
    <t>The features used in the study include scRNA-seq data and scATAC-seq data. Specifically, for each omics data, the top 500 features were selected for the input of the method, except for the AdBrainCortex dataset where the top 3000 features per data were selected. The features are from gene activity (from scATAC-seq data) and gene expression (from scRNA-seq data).</t>
  </si>
  <si>
    <t>Gene Expression Omnibus (GEO)</t>
  </si>
  <si>
    <t>The primary specific applications of the study include:
- **Single-cell multi-omics integration**: The study focuses on integrating single-cell RNA sequencing (scRNA-seq) and single-cell chromatin accessibility sequencing (scATAC-seq) data. This integration aims to provide new insights into the regulatory layers associated with cellular heterogeneity.
- **Clustering and classification**: The methods developed are used for clustering and classifying cells based on their multi-omics profiles.
- **Subtype classification**: The study evaluates methods for disease subtype classification using integrated multi-omics data.
- **Handling sparse and heterogeneous data**: The research addresses the challenges of integrating highly sparse and heterogeneous single-cell multiomics data, including dealing with assaying noise and dimensional differences between scATAC-seq and scRNA-seq data.
- **Efficient processing**: The study proposes and evaluates methods for efficiently processing large-scale single-cell multiomics datasets.
The specific application of the study does not directly map to the provided options such as drug response prediction, cancer subtypes classification, or gene regulation mechanisms, but it supports these areas by providing integrated multi-omics data analysis tools.</t>
  </si>
  <si>
    <t>gene expression, gene activity</t>
  </si>
  <si>
    <t>Single-cell multi-omics integration, Clustering and classification, Subtype classification, Handling sparse and heterogeneous data, Efficient processing</t>
  </si>
  <si>
    <t>The main method developed and applied in the paper is the single-cell multimodal variational autoencoder (scMVAE) model.</t>
  </si>
  <si>
    <t>The main model developed and applied in the paper is the Single-cell multimodal variational autoencoder (scMVAE) model. This model is used for data integration of single-cell RNA-seq and single-cell ATAC-seq data.</t>
  </si>
  <si>
    <t>In the study, the features used were gene expression from scRNA-seq data and chromatin accessibility from scATAC-seq data.</t>
  </si>
  <si>
    <t>The datasets used in this study are available from the Gene Expression Omnibus (GEO) repository under the accession number GSE126074 and supplementary data of previous study.</t>
  </si>
  <si>
    <t>The primary specific application of the study is Single cell-related study. The research focuses on integrating single-cell multiomics data, specifically scRNA-seq and scATAC-seq, to understand gene regulation mechanisms.</t>
  </si>
  <si>
    <t>gene expression, chromatin accessibility</t>
  </si>
  <si>
    <t>Single cell-related study, Gene regulation mechanisms</t>
  </si>
  <si>
    <t>The main method developed in the paper is the **Single-cell Multimodal Variational Autoencoder (scMVAE)** model. This model uses three joint-learning strategies: PoE (Product of Experts), NN (Neural Network), and Direct. The Direct strategy concatenates the original features of the two-layer data as input, while PoE and NN use neural networks to learn the joint latent space.</t>
  </si>
  <si>
    <t>The main method developed in the paper is a **Single-cell multimodal variational autoencoder (scMVAE)** model. This model uses three joint-learning strategies: PoE (Product of Experts), NN (Neural Network), and Direct concatenation of the original features of two-layer data.</t>
  </si>
  <si>
    <t>The study used the following types of features:
- **scRNA-seq data**: Gene expression
- **scATAC-seq data**: DNA methylation (indirectly through chromatin accessibility)
The study did not explicitly mention using DNA methylation or miRNA expression directly. Copy number burden, tumor mutation burden, drug-target interaction, and demographic and clinical information were not mentioned as used features in the provided contexts.</t>
  </si>
  <si>
    <t>The datasets used in this study are from the Gene Expression Omnibus (GEO) repository under the accession number GSE126074 and supplementary data of previous study.</t>
  </si>
  <si>
    <t>**Topic:** What are the primary specific applications of the study?
**Answer:** The primary specific applications of the study include dissecting cellular heterogeneity, denoising and imputing data, and constructing the association between multilayer omics data, which can be used for understanding transcriptional regulatory mechanisms.</t>
  </si>
  <si>
    <t>Single-cell Multimodal Variational Autoencoder (scMVAE)</t>
  </si>
  <si>
    <t>gene expression, DNA methylation, scRNA-seq data, scATAC-seq data</t>
  </si>
  <si>
    <t>[59] e201900517.full</t>
  </si>
  <si>
    <t>Variational autoencoder (VAE)</t>
  </si>
  <si>
    <t>VAE (Variational Autoencoder)</t>
  </si>
  <si>
    <t>The study used the following types of features:
- Gene expression
- Copy number alterations
- Mutations (point mutations)
- Clinical metadata (age at diagnosis, sex, tumor stage at diagnosis)
The study did not use DNA methylation, miRNA expression, or drug-target interaction data.</t>
  </si>
  <si>
    <t>The TCGA and CCLE datasets were used in this study.</t>
  </si>
  <si>
    <t>The primary specific applications of the study include:
- **Cancer subtypes classification**: The study refines CRC subtypes using multiomics data and proposes a novel classification system.
- **Drug response prediction**: The study predicts the overall fitness of specific cancer cell lines as models for CRC and specific subtypes, which can help in studying drug response.
- **Prognosis**: The study uses latent factors to predict patient survival and identify subgroups with different survival rates.
- **Cell line matching**: The study matches cell lines to CRC subtypes, which is useful for preclinical studies and drug discovery pipelines.</t>
  </si>
  <si>
    <t>Variational Autoencoder</t>
  </si>
  <si>
    <t>Gene expression, Copy number alterations, Mutations, Clinical metadata</t>
  </si>
  <si>
    <t>Cancer subtypes classification, Drug response prediction, Prognosis, Cell line matching</t>
  </si>
  <si>
    <t>The main method developed and applied in the paper is the Variational Autoencoder (VAE). Specifically, the paper discusses the use of a stacked VAE and a latent factor model within the VAE framework. Additionally, the paper mentions the use of batch normalization, which is a technique often applied in conjunction with neural networks, including VAEs, to improve training stability and speed.</t>
  </si>
  <si>
    <t>The main method developed in the paper is a variation of a fully connected neural network (FCNN) in the form of a stacked variational autoencoder (VAE). Specifically, the paper describes using a Bayesian latent variable model with a variational inference approach and stacking autoencoders to create deeper neural network architectures.</t>
  </si>
  <si>
    <t>The study used gene expression, mutations, and copy number variations.</t>
  </si>
  <si>
    <t>The primary specific applications of the study include Prognosis, Cancer subtypes classification, and Drug response prediction. The study uses latent factors derived from multiomics data to predict patient survival, classify colorectal cancer (CRC) subtypes, and assess the fitness of cancer cell lines as models for specific CRC subtypes.</t>
  </si>
  <si>
    <t>Variational Autoencoder (VAE), stacked VAE, latent factor model</t>
  </si>
  <si>
    <t>Variational autoencoder, stacked variational autoencoder</t>
  </si>
  <si>
    <t>gene expression, mutations, copy number variations</t>
  </si>
  <si>
    <t>Prognosis, Cancer subtypes classification, Drug response prediction</t>
  </si>
  <si>
    <t>The main method developed in the paper is a **Variational Autoencoder (VAE)**. The paper describes implementing a stacked VAE and using it for multiomics data analysis.</t>
  </si>
  <si>
    <t>The main method developed in the paper is a **Variational Autoencoder (VAE)**, specifically a **stacked VAE**. The paper also mentions using **SVMs** for classification tasks, but SVMs are not a deep learning model and are included for comparison or in related work.</t>
  </si>
  <si>
    <t>The study used the following types of features:
- Gene expression
- Copy number alterations
- Mutations (point mutations)
- Clinical metadata (age at diagnosis, sex, tumor stage at diagnosis)
DNA methylation and miRNA expression were not mentioned as used features in this study.</t>
  </si>
  <si>
    <t>The primary specific applications of the study are:
- **Cancer subtypes classification**: The study uses deep learning to refine and classify colorectal cancer (CRC) subtypes, particularly by integrating multiomics data (gene expression, copy number alterations, and point mutations) to identify new subtypes and improve patient stratification.
- **Drug response prediction**: The study predicts the overall fitness of specific cancer cell lines as models for CRC and specific subtypes, which can help in predicting drug response and guiding drug discovery pipelines.
- **Best-matching cell line identification**: The study aims to match cell lines to different CRC subtypes, enhancing the relevance of preclinical studies and improving the translatability of in vitro studies to clinical settings.
Uncertainty: The study primarily focuses on CRC subtypes and cell line matching, with secondary applications in drug response prediction and patient stratification, but does not extensively cover other specific applications like biomarker identification or single cell-related studies.</t>
  </si>
  <si>
    <t>Variational Autoencoder (VAE)</t>
  </si>
  <si>
    <t>Variational Autoencoder, Stacked VAE</t>
  </si>
  <si>
    <t>Cancer subtypes classification, Drug response prediction, Best-matching cell line identification</t>
  </si>
  <si>
    <t>[60] 1908.06278v1</t>
  </si>
  <si>
    <t>The main method developed in the paper is an OmiVAE model, which combines the basic structure of a Variational Autoencoder (VAE) with a classification network. This model uses fully connected (FC) blocks for gene expression and DNA methylation data, and applies model parallelism by assigning the encoder to GPU:0 and the decoder to GPU:1. The VAE part of the model aims to learn a latent representation that can reconstruct input samples, while the classification network adds regularisation to this representation to improve cancer classification performance. The total loss function is a combination of VAE loss and classification loss, weighted by parameters α and β.</t>
  </si>
  <si>
    <t>The study used gene expression data and DNA methylation data. Gene expression profiles were based on exons, while DNA methylation profiles were based on CpG sites from the Infinium HumanMethylation450 BeadChip (450K) arrays.</t>
  </si>
  <si>
    <t>The Cancer Genome Atlas (TCGA), UCSC Xena data portal</t>
  </si>
  <si>
    <t>The primary specific applications of the study include:
- **Cancer subtypes classification**: The study uses various deep learning models (e.g., VAE, autoencoders) to classify different subtypes of cancers, including kidney, lung, uterus, and breast cancers. It also performs pan-cancer classification using multi-omics data.
- **Drug response prediction**: Although not explicitly mentioned, the study's focus on cancer subtypes classification can indirectly aid in predicting drug responses by identifying specific subtypes that may respond differently to treatments.
- **Synergistic drug combination prediction**: The study does not directly address this application.
- **Gene regulation mechanisms**: The study does not focus on gene regulation mechanisms.
- **Medical imaging-assisted diagnosis**: The study does not involve medical imaging.
- **Biomarker identification**: The study does not specifically identify biomarkers.
- **Single cell-related study**: The study does not focus on single cell analysis.
- **SL prediction**: The study does not focus on survival prediction (SL prediction).
The study primarily focuses on cancer subtypes classification and pan-cancer classification using multi-omics data.</t>
  </si>
  <si>
    <t>OmiVAE, Variational Autoencoder (VAE), Fully connected (FC) blocks</t>
  </si>
  <si>
    <t>Cancer subtypes classification, pan-cancer classification</t>
  </si>
  <si>
    <t>The main method developed and applied in the paper is OmiVAE, which combines the basic structure of a Variational Autoencoder (VAE) with a classification network.</t>
  </si>
  <si>
    <t>The main method developed in the paper is an Autoencoder (AE) variation, specifically an OmiVAE, which combines the basic structure of a Variational Autoencoder (VAE) with a classification network. This model is used for task-oriented feature extraction and end-to-end cancer classification.</t>
  </si>
  <si>
    <t>The study used gene expression and DNA methylation features. Specifically, gene expression data included exons and RNA-Seq FPKM values, while DNA methylation data consisted of CpG sites targeted by Infinium HumanMethylation450 BeadChip arrays. No other types of features such as miRNA expression, copy number burden, tumor mutation burden, drug-target interaction, or demographic and clinical information were mentioned as being used in the preprocessing or analysis steps described.</t>
  </si>
  <si>
    <t>The primary specific application of the study is Cancer subtypes classification. The study focuses on using unsupervised learning methods, particularly OmiVAE, to classify different types of cancer and normal samples based on multi-omics data. This is evidenced by the detailed comparison of the performance of OmiVAE with other methods like PCA, t-SNE, and UMAP in distinguishing between various cancer subtypes and normal samples.</t>
  </si>
  <si>
    <t>OmiVAE, VAE</t>
  </si>
  <si>
    <t>Autoencoder (AE), OmiVAE</t>
  </si>
  <si>
    <t>The main method developed in the paper is OmiVAE, which combines the basic structure of a Variational Autoencoder (VAE) with a classification network.</t>
  </si>
  <si>
    <t>The main method developed in the paper is OmiVAE, which combines the basic structure of a Variational Autoencoder (VAE) with a classification network. This model uses fully connected (FC) blocks for gene expression and DNA methylation data.</t>
  </si>
  <si>
    <t>The study used gene expression and DNA methylation data as features. No miRNA expression, copy number burden, tumor mutation burden, drug-target interaction, or demographic and clinical information were mentioned as used features in the provided contexts.</t>
  </si>
  <si>
    <t>The datasets used in this study include:
- The Cancer Genome Atlas (TCGA)
- UCSC Xena data portal
Note: The Gene Expression Omnibus (GEO) and ArrayExpress are not mentioned as used datasets in the provided contexts.</t>
  </si>
  <si>
    <t>The primary specific application of the study is **cancer classification**. The study focuses on using OmiVAE to extract low-dimensional features and classify samples from multi-omics data, achieving an average classification accuracy of 97.88% on different tumour types and 97.49% on tumour types and normal samples. The study also investigates whether the information from different types of omics data (gene expression, DNA methylation) is complementary and can improve the performance of classification tasks.</t>
  </si>
  <si>
    <t>OmiVAE</t>
  </si>
  <si>
    <t>Fully connected neural network, Variational Autoencoder</t>
  </si>
  <si>
    <t>TCGA (TCGA Ovarian Cancer (OV) cohort and GDC TCGA Ovarian Cancer (OV) cohort)</t>
  </si>
  <si>
    <t>[62] s41598-021-85285-4</t>
  </si>
  <si>
    <t>VAE/MMD-VAE</t>
  </si>
  <si>
    <t>The main method developed in the paper is a VAE/MMD-VAE architecture, which is a variation of a fully connected neural network (FCNN).</t>
  </si>
  <si>
    <t>The study used the following types of features:
- Gene expression (mRNA)
- Copy number variation/alteration (CNV/CNA)
- DNA methylation
- RNAseq
- Demographic and clinical information
Note that miRNA expression was not mentioned in the provided contexts.</t>
  </si>
  <si>
    <t>The primary specific applications of the study include:
- Prognosis: Identifying robust survival subgroups of ovarian cancer to improve patient care.
- Drug response prediction: Not explicitly mentioned but implied through survival analysis.
- Cancer subtypes classification: Inferring and predicting survival subgroups of high-grade serous ovarian cancer (HGS-OvCa).
- Synergistic drug combination prediction: Not directly addressed in the provided contexts.
- Gene regulation mechanisms: Not directly addressed in the provided contexts.
- Medical imaging-assisted diagnosis: Not directly addressed in the provided contexts.
- Biomarker identification: Identifying potential prognostic biomarkers from clinically relevant latent features (CRLFs).
- Single cell-related study: Not directly addressed in the provided contexts.
- SL prediction: Not directly addressed in the provided contexts.</t>
  </si>
  <si>
    <t>VAE/MMD-VAE, FCNN</t>
  </si>
  <si>
    <t>Gene expression, Copy number variation/alteration, DNA methylation, RNAseq, Demographic and clinical information</t>
  </si>
  <si>
    <t>Prognosis, Drug response prediction, Cancer subtypes classification, Biomarker identification</t>
  </si>
  <si>
    <t>The main methods developed or applied in the paper are Variational Autoencoder (VAE) and Maximum Mean Discrepancy VAE (MMD-VAE).</t>
  </si>
  <si>
    <t>The main method developed and applied in the paper is the VAE/MMD-VAE architecture, which is a variation of an Autoencoder (AE). Specifically, the VAE/MMD-VAE model uses a combination of an encoder, a decoder, and a classifier to perform unsupervised and supervised learning of latent features.</t>
  </si>
  <si>
    <t>The study used gene expression (mRNA and RNAseq), DNA methylation, and copy number variation/alteration (CNV/CNA) as features. miRNA expression and tumor mutation burden were not mentioned. Drug-target interaction, demographic, and clinical information were not included.</t>
  </si>
  <si>
    <t>TCGA Ovarian Cancer (OV) cohort</t>
  </si>
  <si>
    <t>The primary specific applications of the study include Prognosis, Cancer subtypes classification, and Biomarker identification. The study focuses on identifying robust survival subgroups of ovarian cancer, which is a key aspect of prognosis. It also involves classifying cancer samples and molecular subtypes, which is related to cancer subtypes classification. Additionally, the study aims to identify potential prognostic biomarkers from the learned clinically relevant latent features (LFs).</t>
  </si>
  <si>
    <t>gene expression, DNA methylation, copy number variation/alteration</t>
  </si>
  <si>
    <t>Prognosis, Cancer subtypes classification, Biomarker identification</t>
  </si>
  <si>
    <t>The main method developed in the paper is a Variational Autoencoder (VAE) and an improved version of it, Maximum Mean Discrepancy VAE (MMD-VAE). The architecture includes an encoder, a decoder, and a classifier. The encoder and decoder are fully connected neural networks, and the classifier is a 3-layered fully connected artificial neural network (ANN). Therefore, the type of deep learning model used is a variation of a fully connected neural network (FCNN).</t>
  </si>
  <si>
    <t>The main method developed in the paper is a variation of a fully connected neural network (FCNN), specifically a Variational Autoencoder (VAE) and an improved version called Maximum Mean Discrepancy VAE (MMD-VAE). These models are used for unsupervised and supervised learning of latent features from mono-omics, di-omics, and tri-omics data.</t>
  </si>
  <si>
    <t>The types of features used in the study include:
- Gene expression (mRNA)
- DNA methylation
- miRNA expression (indicated as RNAseq in the context)
- Copy number variation/alteration (CNV/CNA)
- Tumor mutation burden (not explicitly mentioned but implied by the context of cancer studies)
- Drug-target interaction (not explicitly mentioned)
- Demographic and clinical information (not explicitly listed but implied by the context of survival analysis and molecular subtypes)
The study utilized mono-omics, di-omics, and tri-omics datasets combining these features in different combinations.</t>
  </si>
  <si>
    <t>The datasets used in this study include:
- The Cancer Genome Atlas (TCGA) datasets:
  - mRNA
  - CNV/CNA
  - RNAseq
  - DNA methylation (two datasets: one from TCGA and one from GDC)
- Gene Expression Omnibus (GEO) (mentioned for the second DNA methylation dataset)
- ArrayExpress (not mentioned in the provided contexts)
The study used datasets from TCGA and GEO for ovarian cancer, specifically focusing on mRNA, CNV/CNA, RNAseq, and DNA methylation.</t>
  </si>
  <si>
    <t>The primary specific applications of the study include:
- **Survival analysis**: Identifying robust survival subgroups of ovarian cancer to improve patient care.
- **Prognosis**: Using survival subgroups to predict patient outcomes.
- **Cancer subtypes classification**: Classifying molecular subtypes of ovarian cancer using latent features learned from VAE and MMD-VAE.
- **Biomarker identification**: Identifying potential prognostic biomarkers from clinically relevant latent features.
- **Classification accuracy improvement**: Improving classification accuracy for cancer samples and molecular subtypes through integrated multi-omics analysis.
Uncertainty: The study also explores dimensionality reduction and survival prediction, but these are not listed as primary specific applications.</t>
  </si>
  <si>
    <t>Variational Autoencoder (VAE), Maximum Mean Discrepancy VAE (MMD-VAE)</t>
  </si>
  <si>
    <t>Variational Autoencoder, Maximum Mean Discrepancy VAE</t>
  </si>
  <si>
    <t>Gene expression, DNA methylation, miRNA expression, copy number variation/alteration, tumor mutation burden, drug-target interaction, demographic and clinical information</t>
  </si>
  <si>
    <t>TCGA, Gene Expression Omnibus (GEO)</t>
  </si>
  <si>
    <t>Survival analysis, Prognosis, Cancer subtypes classification, Biomarker identification, Classification accuracy improvement</t>
  </si>
  <si>
    <t>[68] 1-s2.0-S200103701930368X-main</t>
  </si>
  <si>
    <t>GCN (Graph Neural Network)</t>
  </si>
  <si>
    <t>GCN (Graph Convolutional Network)</t>
  </si>
  <si>
    <t>The study used drug-drug synergy (DDS) data, drug-target interaction (DTI) data, and protein–protein interaction (PPI) data as features. No gene expression, DNA methylation, miRNA expression, copy number burden, tumor mutation burden, or demographic and clinical information were mentioned as features in the provided contexts.</t>
  </si>
  <si>
    <t>Graph Neural Network</t>
  </si>
  <si>
    <t>Graph Convolutional Network</t>
  </si>
  <si>
    <t>drug-drug synergy, drug-target interaction</t>
  </si>
  <si>
    <t>The main method developed and applied in the paper is the Graph Neural Network (GNN), specifically the Graph Convolutional Network (GCN). The paper focuses on using GCN for predicting drug-drug synergistic links in a heterogeneous network.</t>
  </si>
  <si>
    <t>The main method developed and applied in the paper is a Graph Convolutional Network (GCN). This model was used to predict drug-drug synergistic links using all the link information in a heterogeneous network. The GCN model operates on graphs and enables learning over graph structures, which is different from fully connected neural networks (FCNN), convolutional neural networks (CNN), or autoencoders (AE).</t>
  </si>
  <si>
    <t>In the study, the features used included physicochemical properties of drugs such as molecular weight, molar refractivity, logarithm of the octanol/water partition coefficient, number of atoms, number of bonds, and connectivity indices. Additionally, PubChem fingerprints representing unique molecular structure and properties were utilized. These features were extracted using the PaDEL software.</t>
  </si>
  <si>
    <t>The study used data from online databases such as STITCH Version 5.0, STRING Version 11.0, and BioGRID Version 3.5.174 for constructing the networks.</t>
  </si>
  <si>
    <t>Graph Neural Network (GNN), Graph Convolutional Network (GCN)</t>
  </si>
  <si>
    <t>Graph Convolutional Network (GCN)</t>
  </si>
  <si>
    <t>physicochemical properties, molecular weight, molar refractivity, logarithm of the octanol/water partition coefficient, number of atoms, number of bonds, connectivity indices, PubChem fingerprints</t>
  </si>
  <si>
    <t>STITCH Version 5.0, STRING Version 11.0, BioGRID Version 3.5.174</t>
  </si>
  <si>
    <t>The main method developed in the paper is a Graph Neural Network (GNN), specifically a Graph Convolutional Network (GCN). The GCN is enhanced to handle multi-relational links in heterogeneous networks, as described in the contexts.</t>
  </si>
  <si>
    <t>The main method developed in the paper is a Graph Neural Network (GNN), specifically a Graph Convolutional Network (GCN). This is evident from the detailed description of the GCN model and its application in predicting drug-drug synergistic links using a heterogeneous network.</t>
  </si>
  <si>
    <t>The study used the following types of features:
- Drug-drug synergy (DDS) data (binary)
- Drug-target interaction (DTI) data
- Protein-protein interaction (PPI) data
The features were integrated into a heterogeneous network for each cell line, which was then used as input for the GCN model. Gene expression, DNA methylation, miRNA expression, copy number burden, tumor mutation burden, drug-target interaction, demographic and clinical information were not explicitly mentioned as used features in the provided contexts.</t>
  </si>
  <si>
    <t>The datasets or data sources used in this study include:
- O'Neil et al. (for drug-drug synergy data)
- STITCH Version 5.0 (for drug-target interaction data)
- STRING Version 11.0 and BioGRID Version 3.5.174 (for protein-protein interaction data)
These datasets were used to construct the subnetworks and the heterogeneous network for predicting drug synergy in specific cancer cell lines.</t>
  </si>
  <si>
    <t>Drug-target interaction, demographic and clinical information</t>
  </si>
  <si>
    <t>O'Neil et al., STITCH Version 5.0, STRING Version 11.0, BioGRID Version 3.5.174</t>
  </si>
  <si>
    <t>[69] Prediction of synthetic lethal interactions in human cancers usin</t>
  </si>
  <si>
    <t>SLMGAE</t>
  </si>
  <si>
    <t>The main method developed in the paper is a Multi-view Graph Auto-Encoder (SLMGAE). This method uses a graph auto-encoder for the main view (SL graph) and multiple graph auto-encoders for support views (e.g., PPI, GO). The model is trained to reconstruct the graphs and predict synthetic lethality, with an attention mechanism to combine information from different views.</t>
  </si>
  <si>
    <t>The study used gene expression data, GO (Gene Ontology) including BP (biological process), MF (molecular function), and CC (cellular component), PPI (Protein-Protein Interaction) data, and SL (Synthetic Lethality) interactions as features. Additionally, the study utilized demographic and clinical information indirectly through the use of cancer cell lines and datasets related to specific cancers like breast cancer.</t>
  </si>
  <si>
    <t>gene expression, GO (Gene Ontology), PPI (Protein-Protein Interaction), SL (Synthetic Lethality), demographic and clinical information</t>
  </si>
  <si>
    <t>The main method developed and applied in the paper is the Multi-view Graph Auto-Encoder (SLMGAE). This model uses Graph Neural Networks (GNN) and specifically Graph Auto-Encoders (GAE) to reconstruct graphs from different views, including the SL graph and graphs from other data sources like PPI and GO.</t>
  </si>
  <si>
    <t>The main model used in the paper is a Multi-view Graph Auto-Encoder (SLMGAE). This model integrates multiple data sources for human SL prediction using graph auto-encoders.</t>
  </si>
  <si>
    <t>In the study, the following types of features were used for SL prediction:
- Gene Ontology (GO) including biological process (BP), molecular function (MF), and cellular component (CC)
- Protein-Protein Interaction (PPI) data
- Co-expression data
- Mutual exclusivity scores
- Pathway co-membership
- Protein complex co-membership
- PPI scores from the Hippie database
These features were used to support the main view graph in the SLMGAE model.</t>
  </si>
  <si>
    <t>SynLethDB, SynLethDB-BC, Gene Interactions (GIs) data</t>
  </si>
  <si>
    <t>The primary specific application of the study is SL prediction.</t>
  </si>
  <si>
    <t>Graph Neural Network (GNN), Graph Auto-Encoder (GAE)</t>
  </si>
  <si>
    <t>Gene Ontology, Protein-Protein Interaction, Co-expression data, Mutual exclusivity scores, Pathway co-membership, Protein complex co-membership, PPI scores from the Hippie database</t>
  </si>
  <si>
    <t>The main method developed in the paper is a Multi-view Graph Auto-Encoder (SLMGAE), which is a variation of Graph Neural Network (GNN).</t>
  </si>
  <si>
    <t>The main method developed in the paper is a Multi-view Graph Auto-Encoder (SLMGAE), which is an application of Graph Neural Networks (GNN). This model uses Graph Auto-Encoders (GAE) to reconstruct graphs from different data sources and integrates them using an attention mechanism for SL prediction.</t>
  </si>
  <si>
    <t>The study used the following types of features:
- Gene Ontology (GO) data (including biological process, molecular function, and cellular component)
- Protein-Protein Interaction (PPI) data
- Co-expression data
- Mutual exclusivity scores
- Pathway co-membership
- Protein complex co-membership
- PPI scores from the Hippie database
These features were used to construct support views for the main SL interaction graph. Gene expression data was not explicitly mentioned as a feature used in the study.</t>
  </si>
  <si>
    <t>The datasets or data sources used in this study include:
- SynLethDB
- Gene Interactions (GIs) data
- BioGRID
- GO (Gene Ontology) with three sub-ontologies: biological process (BP), molecular function (MF), and cellular component (CC)
- Hippie database
These datasets were used as the main view and support views for the SLMGAE model.</t>
  </si>
  <si>
    <t>The primary specific application of the study is **SL prediction**. The research focuses on developing a Multi-view Graph Auto-Encoder (SLMGAE) method for predicting novel synthetic lethality (SL) interactions in human cancers.</t>
  </si>
  <si>
    <t>Graph Neural Network (GNN), Autoencoder (AE)</t>
  </si>
  <si>
    <t>Gene Ontology, Protein-Protein Interaction, Co-expression, Mutual exclusivity scores, Pathway co-membership, Protein complex co-membership, PPI scores from the Hippie database</t>
  </si>
  <si>
    <t>SynLethDB, Gene Interactions (GIs) data, BioGRID, GO (Gene Ontology), Hippie database</t>
  </si>
  <si>
    <t>[70] 2021_Tangxinru</t>
  </si>
  <si>
    <t>MMGCN</t>
  </si>
  <si>
    <t>The main method developed in the paper is MMGCN, which combines Graph Convolutional Network (GCN) and Convolutional Neural Network (CNN). Specifically, the paper uses a CNN combiner to fuse multi-channel features and a GCN to process graph-structured data. The variations of MMGCN (MMGCN-nl and MMGCN-noatten) are used for ablation studies, but they are not considered as the main method since they are just for comparison.</t>
  </si>
  <si>
    <t>The study used miRNA expression (specifically, experimentally validated miRNA-disease associations, miRNA sequence information, and miRNA-target relationships), gene expression (via weighted gene-gene association network), and demographic and clinical information (not explicitly detailed but implied through the use of disease and gene associations). No direct mention of DNA methylation, copy number burden, tumor mutation burden, or drug-target interaction is provided.</t>
  </si>
  <si>
    <t>The Cancer Genome Atlas (TCGA), HMDD v3.2, miR2disease, HumanNet v2</t>
  </si>
  <si>
    <t>Graph Neural Network (GNN)</t>
  </si>
  <si>
    <t>Convolutional Neural Network (CNN), Graph Convolutional Network (GCN)</t>
  </si>
  <si>
    <t>miRNA expression, gene expression, demographic and clinical information</t>
  </si>
  <si>
    <t>The main method developed and applied in the paper is the MMGCN (Multi-view Multi-channel Graph Convolutional Network) model. This model incorporates a multi-view GCN encoder, a multichannel attention mechanism, and a CNN combiner. It does not fall under the categories of FCNN, CNN, Autoencoder, Denoising autoencoder, Cross-AE, Variational autoencoder, OmiVAE, MMD-VAE, MOGONET, CapsNet, CapsNetMMD, or OmicsGAN as the primary method used in the paper.</t>
  </si>
  <si>
    <t>The main model used in the paper is the MMGCN (Multi-view Multi-channel Graph Convolutional Network). This model combines graph convolutional networks (GCN) with convolutional neural networks (CNN) to integrate multiple views of miRNA and disease similarity networks. The paper does not describe the use of fully connected neural networks (FCNN) or autoencoders (AE) as the main method, but rather uses them as variants for comparison.</t>
  </si>
  <si>
    <t>In the study, the features used included miRNA expression and disease associations. Specifically, the research utilized known human miRNA–disease associations verified by experimental evidence, as well as biological data sources to characterize similarity views of miRNAs and diseases.</t>
  </si>
  <si>
    <t>The study used miRTarBase, HMDD v3.2, and DisGeNET v7.0.</t>
  </si>
  <si>
    <t>The primary specific application of the study is Biomarker identification. The research focuses on identifying disease-related miRNAs, which can serve as biomarkers for various diseases.</t>
  </si>
  <si>
    <t>MMGCN, GCN, CNN</t>
  </si>
  <si>
    <t>miRNA expression, disease associations</t>
  </si>
  <si>
    <t>miRTarBase, HMDD v3.2, DisGeNET v7.0</t>
  </si>
  <si>
    <t>Biomarker identification</t>
  </si>
  <si>
    <t>The main method developed in the paper is a Multi-view Multichannel Attention Graph Convolutional Network (MMGCN). This model uses Graph Convolutional Networks (GCN) to obtain features from different views of miRNA and disease, and incorporates a multichannel attention mechanism to focus on important features.</t>
  </si>
  <si>
    <t>The study used miRNA expression and disease associations, specifically focusing on miRNA–disease associations derived from experimental evidence. No other types of features such as DNA methylation, miRNA expression (beyond what was mentioned), copy number burden, tumor mutation burden, drug-target interaction, or demographic and clinical information were mentioned in the provided contexts.</t>
  </si>
  <si>
    <t>The datasets used in this study include HMDD v3.2 and miR2disease.</t>
  </si>
  <si>
    <t>The primary specific application of the study is miRNA–disease association prediction. The study proposes a Multi-view Multichannel Attention Graph Convolutional Network (MMGCN) to predict potential associations between miRNAs and diseases, demonstrating superior performance compared to state-of-the-art methods.</t>
  </si>
  <si>
    <t>[71] s41467-021-23774-w</t>
  </si>
  <si>
    <t>The main methods developed in the paper are Graph Convolutional Networks (GCNs) for omic-specific learning and a variant of a fully connected neural network (VCDN) for multi-omics integration.</t>
  </si>
  <si>
    <t>The study used the following types of features:
- mRNA expression
- DNA methylation
- miRNA expression</t>
  </si>
  <si>
    <t>The Cancer Genome Atlas (TCGA), AMP-AD Knowledge Portal</t>
  </si>
  <si>
    <t>Prognosis, Cancer subtypes classification, Biomarker identification, Single cell-related study</t>
  </si>
  <si>
    <t>Graph Convolutional Networks, VCDN</t>
  </si>
  <si>
    <t>The main method developed and applied in the paper is MOGONET, which combines Graph Neural Networks (GCNs) for omics-specific learning and VCDN for multi-omics integration.</t>
  </si>
  <si>
    <t>The main models used in the paper are Graph Convolutional Networks (GCNs) for omic-specific learning and a variant of a fully connected neural network (FCNN) combined with VCDN for multi-omics integration. Specifically, MOGONET utilizes GCNs for each omics data type and VCDN to integrate predictions from different omics data types.</t>
  </si>
  <si>
    <t>In the study, the following types of features were used: mRNA expression data, DNA methylation data, and miRNA expression data.</t>
  </si>
  <si>
    <t>The Cancer Genome Atlas Program (TCGA) was used as a data source in this study.</t>
  </si>
  <si>
    <t>The primary specific applications of the study include Cancer subtypes classification and Biomarker identification. The study applies multi-omics data integration methods to classify different types of cancer (such as LGG, KIPAN, and BRCA) and also identifies important biomarkers for these diseases. Additionally, the study includes the classification of Alzheimer’s disease (AD) patients versus normal control subjects (ROSMAP dataset), which falls under Biomarker identification.</t>
  </si>
  <si>
    <t>MOGONET, Graph Neural Network (GNN), VCDN</t>
  </si>
  <si>
    <t>Graph Convolutional Networks, fully connected neural network (FCNN), VCDN</t>
  </si>
  <si>
    <t>mRNA expression data, DNA methylation data, miRNA expression data</t>
  </si>
  <si>
    <t>The Cancer Genome Atlas Program (TCGA)</t>
  </si>
  <si>
    <t>The main method developed in the paper is **Graph Neural Network (GCN)** for omics-specific learning, combined with **View Correlation Discovery Network (VCDN)** for multi-omics integration.</t>
  </si>
  <si>
    <t>The main method developed and applied in the paper is a Graph Neural Network (GNN), specifically using Graph Convolutional Networks (GCNs) for omics-specific learning and View Correlation Discovery Network (VCDN) for multi-omics integration. The GCNs are used to capture the intrinsic structure of the data through graphs, while VCDN explores the cross-omics correlations in the label space.</t>
  </si>
  <si>
    <t>The types of features used in the study include:
- mRNA expression
- DNA methylation
- miRNA expression
These three types of omics data were used for classification tasks, providing comprehensive and complementary information on the diseases being studied.</t>
  </si>
  <si>
    <t>The datasets used in this study include:
- ROSMAP
- LGG
- KIPAN
- BRCA
These datasets were acquired from The Cancer Genome Atlas Program (TCGA) through Broad GDAC Firehose for LGG, KIPAN, and BRCA datasets, and from the AMP-AD Knowledge Portal for the ROSMAP dataset.</t>
  </si>
  <si>
    <t>The primary specific applications of the study include:
- **Alzheimer’s disease patient classification**: Using the ROSMAP dataset to classify Alzheimer’s disease patients vs. normal controls.
- **Tumor grade classification in low-grade glioma (LGG)**: Using the LGG dataset to classify tumor grades.
- **Kidney cancer type classification**: Using the KIPAN dataset to classify different types of kidney cancer.
- **Breast invasive carcinoma subtype classification**: Using the BRCA dataset to classify different subtypes of breast cancer.
- **Identifying important biomarkers**: MOGONET can identify important omics signatures and biomarkers related to the investigated biomedical problems, such as apelin and KIF5A for AD, and SOX11 and FABP7 for breast cancer.
The study does not directly address drug response prediction, cancer subtypes classification beyond the specific datasets mentioned, synergistic drug combination prediction, gene regulation mechanisms, medical imaging-assisted diagnosis, biomarker identification (beyond the specific examples given), single cell-related study, or SL prediction.</t>
  </si>
  <si>
    <t>Graph Neural Network (GCN), View Correlation Discovery Network (VCDN)</t>
  </si>
  <si>
    <t>Graph Neural Network, Graph Convolutional Networks, View Correlation Discovery Network</t>
  </si>
  <si>
    <t>TCGA, ROSMAP, LGG, KIPAN, BRCA</t>
  </si>
  <si>
    <t>Alzheimer’s disease patient classification, Tumor grade classification in low-grade glioma, Kidney cancer type classification, Breast invasive carcinoma subtype classification, Identifying important biomarkers</t>
  </si>
  <si>
    <t>[74] s41598-020-64824-5</t>
  </si>
  <si>
    <t>The main method developed in the paper is the 3D Multi-scale Capsule Network (3D—MCN). This model is a multi-scale version of the capsule network, which uses three independent capsule networks trained on different spatial scales. The outputs of these capsule networks are combined in a fully connected neural network. The base-line model used was a fully connected neural network (FCNN) with the same architecture as the multi-scale model, but trained on four hand-crafted features. The 3D-CNN was included for comparison but not as a developed method in the paper.</t>
  </si>
  <si>
    <t>The study used radiomics features extracted from CT scans, specifically focusing on nodule patches at three different scales (fine, medium, and coarse) for classification. The features were extracted from 3D patches around the nodule center, with each patch being extracted at three scales: the first scale fitting the nodule boundary, the second scale allowing a margin of 10 pixels, and the third scale allowing a margin of 20 pixels. The patches were zero-padded and down-sampled to a fixed size of 80x80 for consistency. No other types of features such as gene expression, DNA methylation, miRNA expression, copy number burden, tumor mutation burden, drug-target interaction, or demographic and clinical information were mentioned in the provided contexts.</t>
  </si>
  <si>
    <t>The Cancer Imaging Archive (TCIA)</t>
  </si>
  <si>
    <t>The primary specific applications of the study include:
- Lung nodule malignancy prediction based on computed tomography (CT) images using a 3D multi-scale capsule network (3D-MCN).
- The model predicts lung nodule malignancy with high accuracy, sensitivity, and specificity.
- The 3D-MCN model incorporates 3D inputs and multi-scale inputs to capture both local and global features of the nodules and their surrounding tissues.
- The model does not rely on hand-crafted features or detailed annotations, making it more time-efficient and less prone to inter-observer variability.
- The study evaluates the model's performance in classifying patients as having at least one malignant nodule or not, achieving an accuracy of 83%, sensitivity of 84%, and specificity of 81%.
This application falls under the category of **Cancer subtypes classification** and **Synergistic drug combination prediction** (indirectly, as it aids in identifying malignant nodules which could influence treatment decisions and drug combinations).</t>
  </si>
  <si>
    <t>3D Multi-scale Capsule Network, Fully Connected Neural Network</t>
  </si>
  <si>
    <t>radiomics features</t>
  </si>
  <si>
    <t>Lung nodule malignancy prediction, Cancer subtypes classification, Synergistic drug combination prediction</t>
  </si>
  <si>
    <t>The main method developed and applied in the paper is the 3D Multi-scale Capsule Network (3D-MCN). This model uses CapsNets for lung nodule malignancy prediction, incorporating 3D inputs and multi-scale input to capture both the nodule's local features and the characteristics of the surrounding tissues.</t>
  </si>
  <si>
    <t>The main model used in the paper is the 3D Multi-scale Capsule Network (3D—MCN). This model is a variation of the Capsule network, which is different from fully connected neural networks (FCNN), Convolutional neural networks (CNN), or Autoencoders (AE). The 3D—MCN incorporates 3D inputs and multiple scales to improve the performance of lung nodule malignancy prediction.</t>
  </si>
  <si>
    <t>In the study, the features used included CapsNet features and hand-crafted features. The correlation between these features and volume, diameter, and other characteristics of the nodules was analyzed. However, the correlation with the x and y centers was low due to the model being fed with cropped nodule slices in different scales.</t>
  </si>
  <si>
    <t>No specific datasets or data sources such as The Cancer Genome Atlas (TCGA), Gene Expression Omnibus (GEO), or ArrayExpress were mentioned as being used in this study.</t>
  </si>
  <si>
    <t>The primary specific application of the study is Medical imaging-assisted diagnosis, specifically for lung nodule malignancy prediction.</t>
  </si>
  <si>
    <t>CapsNet, 3D-MCN</t>
  </si>
  <si>
    <t>3D Multi-scale Capsule Network (3D—MCN)</t>
  </si>
  <si>
    <t>CapsNet features, hand-crafted features</t>
  </si>
  <si>
    <t>No specific datasets or data sources mentioned</t>
  </si>
  <si>
    <t>Medical imaging-assisted diagnosis, lung nodule malignancy prediction</t>
  </si>
  <si>
    <t>The main method developed in the paper is a 3D Multi-scale Capsule Network (3D-MCN). This model consists of three independent Capsule Networks trained on three different scales, which are then combined using a multi-scale network. The multi-scale network is a fully connected neural network with three hidden layers of sizes 1028, 512, and 256.</t>
  </si>
  <si>
    <t>The main method developed in the paper is a 3D Multi-scale Capsule Network (3D-MCN). This model uses a capsule network architecture, which is a type of deep learning model. Specifically, the 3D-MCN incorporates 3D inputs and uses multiple scales to capture both local and global features of lung nodules. It does not rely on hand-crafted features or detailed annotations, making it more time-efficient and less prone to inter-observer variability.</t>
  </si>
  <si>
    <t>The study used the following types of features:
- 3D patches of lung nodules at three different scales (first scale: fits the nodule boundary, second scale: 10-pixel margin, third scale: 20-pixel margin)
- Capsule network features (output vectors from the capsule networks)
- Hand-crafted features: volume, diameter, center-of-mass x coordinate, and center-of-mass y coordinate (used for a baseline model)
The study did not use gene expression, DNA methylation, miRNA expression, copy number burden, tumor mutation burden, or drug-target interaction. Demographic and clinical information were not mentioned as used features in the provided contexts.</t>
  </si>
  <si>
    <t>The study used the LIDC-IDRI dataset.</t>
  </si>
  <si>
    <t>3D Multi-scale Capsule Network, Fully connected neural network</t>
  </si>
  <si>
    <t>3D Multi-scale Capsule Network (3D-MCN)</t>
  </si>
  <si>
    <t>3D patches, capsule network features, hand-crafted features</t>
  </si>
  <si>
    <t>[75] Capsule_Network_Based_Modeling_of_Multi-omics_Data_for_Discovery_of_Breast_Cancer-Related_Genes</t>
  </si>
  <si>
    <t>Capsule Network (CapsNet)</t>
  </si>
  <si>
    <t>Capsule Network (CapsNet) based modeling</t>
  </si>
  <si>
    <t>The study used the following features: mRNA expression, z scores for mRNA expression, DNA methylation, and two forms of copy-number alterations (CNA).</t>
  </si>
  <si>
    <t>The primary specific application of the study is the discovery of breast cancer-related genes by transforming the issue of gene identification into a supervised classification problem. The method, CapsNetMMD, integrates multi-omics data including mRNA expression, z scores for mRNA expression, DNA methylation, and two forms of DNA copy-number alterations (CNAs) to generate features for genes. The study focuses on identifying genes with prognostic values in breast cancer.</t>
  </si>
  <si>
    <t>mRNA expression, z scores for mRNA expression, DNA methylation, copy-number alterations</t>
  </si>
  <si>
    <t>The main model used in the paper is CapsNetMMD, which is a Capsule Network based Modeling of Multi-omics Data. This model integrates multi-omics data to generate feature matrices of genes and uses a capsule network architecture for classification.</t>
  </si>
  <si>
    <t>The main model used in the paper is a Capsule Network (CapsNet) based model. Specifically, the authors propose a deep learning method named CapsNetMMD, which uses a capsule network to model multi-omics data for predicting breast cancer-related genes.</t>
  </si>
  <si>
    <t>The study used gene expression, DNA methylation, and copy number alterations (CNA), including both numerical values and types of copy number variations (CNVs). MicroRNA (miRNA) expression was not included as a feature in this study.</t>
  </si>
  <si>
    <t>The primary specific application of the study is Biomarker identification. The study focuses on identifying breast cancer-related genes that may serve as candidates for biologists and medical scientists in future studies of biomarkers for breast cancer.</t>
  </si>
  <si>
    <t>gene expression, DNA methylation, copy number alterations, numerical values, types of copy number variations</t>
  </si>
  <si>
    <t>The main deep learning model used in the paper is Capsule Network Based Modeling of Multi-omics Data (CapsNetMMD). This model is a variation of Capsule Networks, which is a novel network structure originally proposed for image recognition.</t>
  </si>
  <si>
    <t>The deep learning model used in this paper is a Capsule Network (CapsNet). Specifically, the model is a Capsule Network based Modeling of Multi-omics Data (CapsNetMMD), which integrates multi-omics data such as mRNA expression, z scores for mRNA expression, DNA methylation, and two forms of DNA copy-number alterations (CNAs) to identify breast cancer-related genes. This model is a novel application of capsule networks in bioinformatics.</t>
  </si>
  <si>
    <t>The study used the following types of features: mRNA expression, z scores for mRNA expression, DNA methylation, and two forms of DNA copy-number alterations (CNAs). These features were integrated to generate feature matrixes of genes for the discovery of breast cancer-related genes using Capsule Network based Modeling of Multi-omics Data (CapsNetMMD).</t>
  </si>
  <si>
    <t>The primary specific application of the study is **Gene regulation mechanisms**. The research focuses on identifying breast cancer-related genes by modeling multi-omics data using Capsule Network based Modeling of Multi-omics Data (CapsNetMMD). This involves integrating various types of omics data (mRNA expression, z scores for mRNA expression, DNA methylation, and DNA copy-number alterations) to predict genes related to breast cancer, which is a form of gene regulation mechanism study.</t>
  </si>
  <si>
    <t>Capsule Network, Capsule Network based Modeling of Multi-omics Data</t>
  </si>
  <si>
    <t>mRNA expression, z scores for mRNA expression, DNA methylation, DNA copy-number alterations</t>
  </si>
  <si>
    <t>[77] btab608</t>
  </si>
  <si>
    <t>omicsGAN uses a generative adversarial network (GAN) framework, specifically Wasserstein GANs (wGANs), to generate synthetic omics data. The main method developed in the paper is a biologically motivated deep learning-based model that integrates two omics datasets (e.g., mRNA and miRNA expression data) and their interaction network (e.g., miRNA-mRNA interaction network) using a GAN architecture.</t>
  </si>
  <si>
    <t>The study used the following types of features:
- Gene expression (mRNA)
- miRNA expression
- Synthetic mRNA and miRNA expression generated by omicsGAN
Demographic and clinical information was used for classification, such as ER status, TN status, and survival time.</t>
  </si>
  <si>
    <t>The primary specific applications of the study include:
- **Drug response prediction**: The study evaluates the quality of synthetic mRNA and miRNA expression data generated by omicsGAN for predicting cancer outcomes, which can inform drug response prediction.
- **Cancer subtypes classification**: The study classifies breast cancer patients based on estrogen receptor (ER) and triple negative (TN) status using both original and synthetic omics data.
- **Synergistic drug combination prediction**: Although not explicitly mentioned, the improved prediction of cancer outcomes can indirectly support the prediction of synergistic drug combinations.
- **Gene regulation mechanisms**: The study integrates miRNA-mRNA interaction networks to better understand gene regulation mechanisms.
- **Biomarker identification**: The study identifies significant predictive signatures in synthetic datasets, which can be potential biomarkers.
- **Single cell-related study**: The study does not focus on single cell data, but the integration of interaction networks can be relevant for single cell studies.
- **SL prediction**: The study evaluates survival prediction using both original and synthetic omics data, indicating an application in survival analysis.
The study does not explicitly mention applications in prognosis, medical imaging-assisted diagnosis, or general computational biology/bioinformatics domains.</t>
  </si>
  <si>
    <t>omicsGAN, GAN, Wasserstein GANs</t>
  </si>
  <si>
    <t>Gene expression, miRNA expression, synthetic mRNA and miRNA expression, ER status, TN status, survival time</t>
  </si>
  <si>
    <t>Drug response prediction, Cancer subtypes classification, Synergistic drug combination prediction, Gene regulation mechanisms, Biomarker identification, Survival prediction</t>
  </si>
  <si>
    <t>The main method developed and applied in the paper is omicsGAN, which is a generative adversarial network model.</t>
  </si>
  <si>
    <t>The main model used in the paper is a generative adversarial network (GAN), specifically a variation of a fully connected neural network (FCNN) referred to as Wasserstein GAN (wGAN). This GAN model is used to integrate two omics datasets and their interaction network to generate synthetic data with better predictive signals.</t>
  </si>
  <si>
    <t>The study used mRNA expression and miRNA expression as the main types of features. Specifically, the following features were used:
- mRNA expression
- miRNA expression
No other types of features such as DNA methylation, copy number burden, tumor mutation burden, drug-target interaction, or demographic and clinical information were mentioned in the provided context.</t>
  </si>
  <si>
    <t>The primary specific application of the study is Prognosis. The study focuses on improving patient survival predictions using a biologically motivated deep learning-based model called omicsGAN, which integrates mRNA and miRNA expression data along with their interaction network to enhance disease outcome prediction.</t>
  </si>
  <si>
    <t>Wasserstein GAN, fully connected neural network</t>
  </si>
  <si>
    <t>mRNA expression, miRNA expression</t>
  </si>
  <si>
    <t>The main method developed in the paper is **omicsGAN**, which is a **Generative Adversarial Network (GAN)**. The model integrates two omics datasets and their interaction network to generate synthetic data with better predictive signals for disease phenotype prediction.</t>
  </si>
  <si>
    <t>The main method developed in the paper is a fully connected neural network (FCNN) used as a critic in a generative adversarial network (GAN) framework. The critic is trained to differentiate between real and synthetic data, and the generator is trained to produce synthetic data that can fool the critic.</t>
  </si>
  <si>
    <t>The study used the following types of features:
- Gene expression (mRNA)
- miRNA expression
- Synthetic mRNA and miRNA expression generated by omicsGAN
The study also integrated these features with interaction networks (miRNA-mRNA and TF-gene) to generate synthetic datasets.</t>
  </si>
  <si>
    <t>The primary specific application of the study is **Prognosis**. The study uses omicsGAN to predict patient survival outcomes for breast cancer, lung cancer, and ovarian cancer datasets, demonstrating improved survival predictions using synthetic mRNA and miRNA expressions generated from integrating mRNA and miRNA expression data along with their interaction network.</t>
  </si>
  <si>
    <t>Gene expression, miRNA expression, synthetic mRNA and miRNA expression, miRNA-mRNA interaction, TF-gene interaction</t>
  </si>
  <si>
    <t>AVG all FULL ANSWER</t>
  </si>
  <si>
    <t>naive rag</t>
  </si>
  <si>
    <t>react-extract</t>
  </si>
  <si>
    <t>0.92</t>
  </si>
  <si>
    <t>In this study, we implement Deep Learning-based networks to determine how gene expression data predicts Cox regression survival in breast cancer. |#&gt; We accomplish this through an algorithm called SALMON (Survival
Analysis Learning with Multi-Omics Neural Networks), which aggregates and simplifies gene expression data and cancer biomarkers to enable prognosis prediction. |#&gt; Using neural network architecture, multi-omics data,
and the Cox proportional hazards model, we develop our model called SALMON (Survival Analysis Learning with Multi-Omics Neural Networks). |#&gt; We introduced our SALMON (Survival Analysis Learning with Multi-Omics Neural Networks) algorithm with the implementation of Cox proportional hazards regression networks in breast invasive carcinoma. |#&gt; We performed survival prognosis on breast cancer, proposed a Deep Learning-based algorithm SALMON (Survival Analysis Learning with Multi-Omics Network) by integrating Cox proportional hazards model and adopting gene co-expression network analysis results as input, and predict patient hazard ratios precisely.</t>
  </si>
  <si>
    <t>In this experiment, we analyzed 583 female breast invasive
carcinoma (BRCA) patients which had five omics data types
including gene expression data (illuminahiseq_rnaseqv2-
RSEM_genes_normalized) and miRNA data
(illuminahiseq_mirnaseq-miR_gene_expression) from Broad
GDAC Firehose (https://gdac.broadinstitute.org/), copy number
burden (CNB) was measured by total Kb length and the data
(broad.mit.edu_PANCAN_Genome_Wide_SNP_6_whitelisted.
seg) was provided from Pan-Cancer Atlas (PanCanAtlas)
Initiative (https://gdc.cancer.gov/about-data/publications/
pancanatlas). Tumor mutation burden (TMB) was calculated
by the total number of mutated genes based on MAF files
(Mutation_Packager_Oncotated_Calls) from Broad GDAC
Firehose. Demographical and clinical information (diagnosis
age, Estrogen Receptor (ER) status, Progesterone Receptor
(PR) status) and overall survival (OS) events and months
were collected from cBioPortal (http://www.cbioportal.org/).   |#&gt; which aggregates and simplifies gene expression data and cancer biomarkers to enable prognosis prediction.</t>
  </si>
  <si>
    <t>In this experiment, we analyzed 583 female breast invasive
carcinoma (BRCA) patients which had five omics data types
including gene expression data (illuminahiseq_rnaseqv2-
RSEM_genes_normalized) and miRNA data
(illuminahiseq_mirnaseq-miR_gene_expression) from Broad
GDAC Firehose (https://gdac.broadinstitute.org/), copy number
burden (CNB) was measured by total Kb length and the data
(broad.mit.edu_PANCAN_Genome_Wide_SNP_6_whitelisted.
seg) was provided from Pan-Cancer Atlas (PanCanAtlas)
Initiative (https://gdc.cancer.gov/about-data/publications/
pancanatlas). Tumor mutation burden (TMB) was calculated
by the total number of mutated genes based on MAF files
(Mutation_Packager_Oncotated_Calls) from Broad GDAC
Firehose. Demographical and clinical information (diagnosis
age, Estrogen Receptor (ER) status, Progesterone Receptor
(PR) status) and overall survival (OS) events and months
were collected from cBioPortal (http://www.cbioportal.org/).</t>
  </si>
  <si>
    <t xml:space="preserve"> which aggregates and simplifies gene expression data and cancer biomarkers to enable prognosis prediction. |#&gt; Improved cancer prognosis is a central goal for precision health medicine. |#&gt; In this study, we implement Deep Learning-based networks to determine how gene expression data predicts Cox regression survival in breast cancer. We accomplish this through an algorithm called SALMON (Survival Analysis Learning with Multi-Omics Neural Networks), which aggregates and simplifies gene expression data and cancer biomarkers to enable prognosis prediction. |#&gt; In this work, we demonstrated the feasibility of breast cancer survival prognosis by integrating multi-omics data using Deep Learning-based approaches and opened up a new avenue for deriving new prognostic biomarkers in breast cancer. |#&gt; We performed survival prognosis on breast cancer, proposed
a Deep Learning-based algorithm SALMON (Survival Analysis Learning with Multi-Omics Network) by integrating Cox proportional hazards model and adopting gene co-expression network analysis results as input, and predict patient hazard ratios precisely.</t>
  </si>
  <si>
    <t>Deep Learning-based algorithm SALMON (Survival Analysis Learning with Multi-Omics Network)</t>
  </si>
  <si>
    <t>gene expression data, miRNA data, copy number burden, tumor mutation burden, demographical and clinical information, overall survival events</t>
  </si>
  <si>
    <t>Broad GDAC Firehose, Pan-Cancer Atlas, cBioPortal</t>
  </si>
  <si>
    <t xml:space="preserve">Breast cancer prognosis </t>
  </si>
  <si>
    <t>TCGA, cBioPortal, GDSC, PDX Encyclopedia, O’Neil dataset, ArrayExpress, DrugComb, SRA, ENA, GEO, PubMed, ARKdbgenome, NCBI Nucleotidedatabase, METABRIC project, CCLE, CHB-MIT dataset, MNIST, The cell line mixture dataset, dataset from China, simulated dataset, AdBrainCortex, STITCH, STRING, BioGRID, SynLethDB, miRBase, HMDD, MeSH, DisGeNET, HumanNet, miR2disease database, ROSMAP, LIDC-IDRI, TargetScanHuman</t>
  </si>
  <si>
    <t>Prognosis, Drug response prediction, Cancer subtypes classification, Synergistic drug combination prediction, Gene regulation mechanisms, Gene discovery, Medical imaging-assisted diagnosis, Biomarker identification, Singe cell-related study, SL prediction</t>
  </si>
  <si>
    <t>cBioPortal</t>
  </si>
  <si>
    <t>Broad GDAC Firehose, Pan-Cancer Atlas</t>
  </si>
  <si>
    <t>We propose MOLI, a multi-omics late integration method based on deep neural networks. |#&gt; In this paper, we explore the problem of drug response prediction
and propose MOLI, a multi-omics late integration method based on deep neural networks. |#&gt; MOLI is a deep neural network that predicts the drug response for a
given sample, represented by its multi-omics profile, and for a given drug. |#&gt; In this paper, we proposed MOLI method based on deep neural networks
to predict drug response. |#&gt; In this paper, we proposed MOLI, a method for drug response prediction based on deep neural networks.</t>
  </si>
  <si>
    <t>MOLI takes somatic mutation, copy number aberration and gene expression data as input, and integrates them for drug response prediction. |#&gt; MOLI takes somatic mutation, CNA and gene expression data as input, |#&gt; MOLI integrates somatic mutation, CNA and gene expression data and predicts the drug responses.</t>
  </si>
  <si>
    <t>Various in vitro studies of cancer cell lines and patient-derived xenograft (PDX) mice models (Gao et al., 2015) have created datasets such as Genomics of Drug Sensitivity in Cancer (GDSC) (Iorio et al., 2016) and cancer Cell Line Encyclopedia (CCLE) (Barretina et al., 2012). |#&gt; We validated MOLI on in vitro (PDX) and in vivo (TCGA
patients) datasets for five chemotherapy agents and two targeted
therapeutics. We use four main resources in this paper:
• GDSC cell lines dataset (Iorio et al., 2016).
• PDX Encyclopedia dataset (Gao et al., 2015).
• TCGA patients with the drug response available in their records
(Ding et al., 2016).
• TCGA patients without the drug response (Weinstein et al.,
2013). |#&gt; We use the other publicly available multi-omics datasets for external
validation as follows:
1. We apply PDX Encyclopedia mice models published by Gao
et al. (2015). This dataset has more than 300 PDX models for
different cancer types, screened with 34 targeted and chemotherapy
drugs.
2. TCGA (Weinstein et al., 2013) data including profiles of tumor
samples collected from more than 10 000 patients with different
cancer types, downloaded from Firehose Broad GDAC (https://
doi.org/10.7908/C11G0KM9, http://gdac.broadinstitute.org/
runs/stddata__2016_01_28/). For TCGA datasets, we use clinical
annotations of the drug response for some patients which
were obtained from Supplementary Material of Ding et al.
(2016).
3. We also use TCGA patients for breast (BRCA), bladder (BLCA),
pancreatic (PAAD), lung (LUAD), kidney (KIRP) and prostate
(PRAD) cancers. These patients are without the drug response in
their records. |#&gt; We trained
MOLI on a pan-cancer cell line dataset and successfully validated it
on PDX and patient data for five chemotherapy agents and two targeted
therapeutics.</t>
  </si>
  <si>
    <t>we reasoned a multiomics approach combined with clinical datasets would improve drug response prediction and clinical relevance. |#&gt; In this paper, we explore the problem of drug response prediction |#&gt; MOLI takes somatic mutation, copy number aberration and gene expression data as input, and integrates them for drug response prediction. |#&gt; MOLI integrates somatic mutation,
CNA and gene expression data and predicts the drug responses. |#&gt; In this paper, we proposed MOLI, a method for drug response prediction
based on deep neural networks</t>
  </si>
  <si>
    <t>multi-omics late integration method based on deep neural networks</t>
  </si>
  <si>
    <t xml:space="preserve">GDSC cell lines dataset, PDX Encyclopedia dataset, TCGA patients with the drug response available in their records, TCGA patients without the drug response </t>
  </si>
  <si>
    <t>GDSC, PDX Encyclopedia, TCGA</t>
  </si>
  <si>
    <t>In this study, DeepMO, a model using deep neural networks based on multi-omics data, was employed for classifying breast cancer subtypes. |#&gt; In this study, DeepMO, a model using deep neural networks based on multi-omics data,
was employed to classify breast cancer subtypes. |#&gt; In this study, we used a deep neural network model to classify breast cancer subtypes based
on multi-omics data. In this study, we utilized DeepMO, a method using deep neural networks and multi-omics late
integration to classify breast cancer subtypes. |#&gt; The purpose of this study was to classify breast cancer subtypes by using deep neural networks
based on multi-omics data from TCGA.</t>
  </si>
  <si>
    <t xml:space="preserve">Three types of omics data including mRNAdata, DNA methylation data, and copy number variation (CNV) data were collected from The Cancer Genome Atlas (TCGA). DeepMOcontains a type-specific encoding subnetwork
to learn the features of each omics type and combines features of each omics type, and a classification
subnetwork is used to classify different breast cancer subtypes. |#&gt; In this study, the input of DeepMO
containsmRNAdata, DNAmethylation data, and copy number variation (CNV) data, and the output of
DeepMO is the predicted molecular subtypes of breast cancer.  |#&gt; Among these data from TCGA, three types of omics data including mRNA, DNA methylation,
and CNV data were used to compare the performance of different models.  |#&gt; In this study, we used three omics
data types to classify breast cancer subtypes, including mRNA data, DNA methylation data, and CNV
data.  </t>
  </si>
  <si>
    <t>Three types of omics data including mRNAdata, DNA methylation data, and copy number variation (CNV) data were collected from The Cancer Genome Atlas (TCGA). Data Sources |#&gt;
In this study, the data on breast cancer were collected from The Cancer Genome Atlas (TCGA)
[35], which is currently a very commonly used database in the field of cancer, and contains a
comprehensive range of cancer types, including various omics data and clinical data of more than
10,000 cancer patients. Among these data from TCGA, three types of omics data including mRNA,
DNA methylation, and CNV data were used to compare the performance of different models. 
In this study, the data on breast cancer were collected from The Cancer Genome Atlas (TCGA) [35],
which is currently a very commonly used database in the field of cancer, and contains a comprehensive
range of cancer types, including various omics data and clinical data of more than 10,000 cancer
patients. |#&gt; Among these data from TCGA, three types of omics data including mRNA, DNA methylation,
and CNV data were used to compare the performance of different models. |#&gt; The purpose of this study was to classify breast cancer subtypes by using deep neural networks
based on multi-omics data from TCGA.</t>
  </si>
  <si>
    <t>In this study, DeepMO, a model using deep neural networks based on multi-omics data, was employed for classifying breast cancer subtypes. |#&gt; DeepMOcontains a type-specific encoding subnetwork
to learn the features of each omics type and combines features of each omics type, and a classification
subnetwork is used to classify different breast cancer subtypes. |#&gt; In this study, the input of DeepMO
containsmRNAdata, DNAmethylation data, and copy number variation (CNV) data, and the output of
DeepMO is the predicted molecular subtypes of breast cancer. In this study, we used a deep neural network model to classify breast cancer subtypes based
on multi-omics data. |#&gt; In this study, we utilized DeepMO, a method using deep neural networks and multi-omics late
integration to classify breast cancer subtypes. |#&gt; The purpose of this study was to classify breast cancer subtypes by using deep neural networks
based on multi-omics data from TCGA.</t>
  </si>
  <si>
    <t>deep neural networks based on multi-omics data</t>
  </si>
  <si>
    <t>mRNAdata, DNA methylation data, and copy number variation (CNV) data</t>
  </si>
  <si>
    <t>breast cancer subtype classification</t>
  </si>
  <si>
    <t>Deep Learning has not yet been applied to drug synergy prediction, |#&gt; In this work, we present DeepSynergy, a Deep Learning
approach for predicting the synergy of drug combinations and a
thorough method comparison.
which is the approach we present here, termed DeepSynergy. |#&gt; DeepSynergy is a feed forward neural network, which maps input
vectors representing samples to a single output value, the synergy
score. |#&gt; We have developed a novel Deep Learning based method,
DeepSynergy, that predicts synergy scores of drug combinations for cancer
cell lines with high accuracy.</t>
  </si>
  <si>
    <t>DeepSynergy uses chemical
and genomic information as input information, a normalization strategy to account for input data
heterogeneity, and conical layers to model drug synergies. |#&gt; DeepSynergy uses both compound as well as genomic
information as inputs. By incorporating genomic information,
DeepSynergy can learn to distinguish different cancer cell lines and
find specific drug combinations that have maximal efficacy on a
given cell line. DeepSynergy combines information about the cancer
cell line and the drug combination in its hidden layers to form a
combined representation that eventually leads to accurate predictions
of drug synergies. |#&gt; To represent the input data in numeric form we used both chemical
information from the drugs, and genomic information capturing disease
biology. |#&gt; The samples are described by concatenated vectors which
include the features of two drugs and one cell line. In Figure 2, the
basic setup of DeepSynergy is illustrated. The neurons in the input
layer receive the gene expression values of the cell line and chemical
descriptors of both drugs as inputs. The information is then propagated
through the layers of the DeepSynergy network until the output
unit that produces the predicted synergy score. Since the
network should not differentiate between the drug combination AB
presented in the ordering A-B or B-A, we double the measurements
by presenting each sample twice in the training set. Once the drug
features are used in an A-B and once in a B-A order. |#&gt; The method requires cancer cell lines
to be described by their genomic profiles, and the compounds to be represented
by their chemical descriptors.</t>
  </si>
  <si>
    <t>We used a recently published large-scale oncology screen produced |#&gt; The cell lines were described by their gene expression profile.
The profiles of the untreated cells were downloaded from the
ArrayExpress database (accession number: E-MTAB-3610) (Iorio
et al., 2016).
by Merck &amp; Co. (O’Neil et al., 2016) to train our models. The dataset
comprises 23 062 samples, where each sample consists of two
compounds and a cell line. Thereby, the dataset covers 583 distinct
combinations, each tested against 39 human cancer cell lines derived
from 7 different tissue types</t>
  </si>
  <si>
    <t>Deep Learning has not yet been applied to drug synergy prediction, |#&gt;  We envision that DeepSynergy could be a valuable tool for selecting novel synergistic drug
combinations.
which is the approach we present here, termed DeepSynergy. |#&gt; In this work, we present DeepSynergy, a Deep Learning
approach for predicting the synergy of drug combinations and a
thorough method comparison. |#&gt; We have developed a novel Deep Learning based method,
DeepSynergy, that predicts synergy scores of drug combinations for cancer
cell lines with high accuracy.</t>
  </si>
  <si>
    <t>deep learning feed forward neural network</t>
  </si>
  <si>
    <t>chemical descriptors and genomic profiles information</t>
  </si>
  <si>
    <t>large-scale oncology screen produced and gene expression profiles from ArrayExpress
by Merck &amp; Co. (O’Neil dataset)</t>
  </si>
  <si>
    <t>O'Neil dataset, ArrayExpress</t>
  </si>
  <si>
    <t>We present MatchMaker that predicts drug synergy scores
using drug chemical structure information and gene expression pro_x000c_les of cell lines in a deep
learning framework. |#&gt; In this study, we present MatchMaker, a deep neural network-based drug synergy prediction
algorithm. |#&gt; MatchMaker is a deep neural network-based drug synergy prediction algorithm. |#&gt; In this work, we present MatchMaker, a deep learning-based model that utilizes drug
chemical structure and cell line speci_x000c_c expression patterns to predict if two drugs work synergistically.
We</t>
  </si>
  <si>
    <t>We investigate the cell types and drug
pairs that are relatively harder to predict and present novel candidate pairs. |#&gt; The model makes use of the drug chemical structures and untreated cell line gene expression
pro_x000c_les to predict the Loewe Additivity score [19] of a drug pair (referred to as Loewe
score from now on). |#&gt; We use two types of features to train the model. The _x000c_rst set of features encodes the untreated
cells' gene expression (GEX) pro_x000c_les. The data were obtained from Iorio et al. (accession number
2
available under aCC-BY-NC-ND 4.0 International license.
was not certified by peer review) is the author/funder, who has granted bioRxiv a license to display the preprint in perpetuity. It is made
bioRxiv preprint doi: https://doi.org/10.1101/2020.05.24.113241; this version posted May 27, 2020. The copyright holder for this preprint (which
E-MTAB-3610 at ArrayExpress [27]).We downloaded the RMA normalized gene expression pro_x000c_les
from https://www.cancerrxgene.org (downloaded on Dec 2019). For each cell line k, we use the
expression pro_x000c_les of landmark genes, denoted as ck 2 R972. We obtain the list of landmark genes
from Subramanian et al.. The second set of features describes the drug pairs' chemical structure. To
represent the drugs in the combination, drug chemical descriptor features x 2 R541 are calculated
using ChemoPy Python library [29]. The chemical descriptors and the number of features for each
descriptor are provided in Table S1. |#&gt; The model inputs (i) the drug chemical descriptors of a pair of drugs and (ii)
an untreated cell line gene expression pro_x000c_le as features to predict the Loewe score [19] of a drug
pair.</t>
  </si>
  <si>
    <t>For the _x000c_rst time, our model utilizes the largest known drug combi-
nation dataset to date, DrugComb. |#&gt; We use the synergy scores provided in the DrugComb [20] database. The data were obtained
from https://drugcomb._x000c_mm._x000c_/ (version v1.4, downloaded on Dec 2019). DrugComb curates highthroughput
combinatorial drug screening data from four studies: (i) O'Neil dataset [21], (ii) Forcina
dataset [22], (iii) NCI Almanac dataset [23], and (iv) Cloud dataset [24]. |#&gt;  The data were obtained from Iorio et al. E-MTAB-3610 at ArrayExpress [27]).</t>
  </si>
  <si>
    <t>We present MatchMaker that predicts drug synergy scores
using drug chemical structure information and gene expression pro_x000c_les of cell lines in a deep
learning framework. |#&gt; In this study, we present MatchMaker, a deep neural network-based drug synergy prediction
algorithm. |#&gt; MatchMaker is a deep neural network-based drug synergy prediction algorithm. |#&gt;In this work, we present MatchMaker, a deep learning-based model that utilizes drug
chemical structure and cell line speci_x000c_c expression patterns to predict if two drugs work synergistically.
We</t>
  </si>
  <si>
    <t>deep neural network</t>
  </si>
  <si>
    <t>drug chemical descriptors of a pair of drugs and gene expression data</t>
  </si>
  <si>
    <t>DrugComb, ArrayExpress</t>
  </si>
  <si>
    <t>This paper introduces a novel neural network ar-
chitecture for exploring and integrating modalities in omics datasets, es-
pecially in scenarios with a limited number of training examples available. |#&gt; This paper introduces a cross-modal neural network architecture capable of in-
tegrating modalities in multi-omics data thus achieving good performance in
situations where only small training datasets are available.</t>
  </si>
  <si>
    <t>The separation into data modalities through domain-speci_x000c_c
knowledge (gene expression and DNA methylation)</t>
  </si>
  <si>
    <t>we will use a dataset from TCGA that involves binary classi_x000c_ca-
tion of patients for breast cancer</t>
  </si>
  <si>
    <t>This paper introduces a novel neural network ar-
chitecture for exploring and integrating modalities in omics datasets, es-
pecially in scenarios with a limited number of training examples available. |#&gt; This paper introduces a cross-modal neural network architecture capable of in-
tegrating modalities in multi-omics data thus achieving good performance in
situations where only small training datasets are available. The model achieves
up to 99% accuracy on classi_x000c_cation problems with both multi-omic data (tran-
scriptomics and epigenomics) and single-omic data (where k-means clustering
was used to identify modalities).</t>
  </si>
  <si>
    <t>neural network</t>
  </si>
  <si>
    <t>gene expression and DNA methylation</t>
  </si>
  <si>
    <t>integrating modalities in multi-omics data, cancer subtypes classification</t>
  </si>
  <si>
    <t xml:space="preserve">Integrating modalities </t>
  </si>
  <si>
    <t>Here, we
present a general convolutional neural network model that integrates multi-omics information
to prioritize the candidate genes of objective traits. |#&gt; we present an integrated multi-omics knowledgebase
with an embedded CNN model for prioritizing genes of
interest by multi-omics integration analyses, and we demonstrated
the great potential of CNN model in multi-omics integration
by applying it to a non-model organism—swine.</t>
  </si>
  <si>
    <t>To make full use of multi-omics data, the
features of variation counts, expression levels, QTALs/QTANs
number, and the WGCNA (Weighted Gene Co-expression Network
Analysis) module for each gene of the training dataset were
obtained for integration analysis. Using these features, four
models were trained to prioritize the candidate genes obtained
from GWAS or any other omics analysis that was associated with
a trait of interest.</t>
  </si>
  <si>
    <t>With these design criteria in mind, we constructed a multiomics
database for swine, which is an important non-model
organism and one of the most important livestock animals. The
database contains almost all the published pig genome data,
transcriptome data, and QTX data. |#&gt; The swine transcriptome data, which consisted of 20.0 TB of
sequencing data, 263 projects, and 3526 samples (Supplementary
Data 2), were downloaded and analyzed |#&gt; ISwine consists of an integrated swine
omics database and a computing framework for gene prioritization.
The integrated swine omics database is composed mainly of
three basic databases on genome variation, gene expression, and
QTX and a multi-omics integration database, which uses data on
multi-omics for gene prioritization and to provide information
about genes (e.g., sequences and annotation). |#&gt; ISwine is the first integrated multi-omics knowledgebase for
swine, and it is mainly composed of three basic databases titled
Variation, Expression, and QTX, and an integrated database with
an embedded gene prioritization method. |#&gt; The present version of
ISwine consists of almost all the published swine data, which
include 81,814,111 SNPs and 11,920,965 indels from 825 resequencing
individuals (32.9 TB), 25,880 genes from 3,282 RNAseq
samples (20.0 TB), and 24,238 QTXs from 586 published
sources. For the database Variation, compared with existing swine
databases, such as pigVar50, dbSNP from NCBI (updates have
stopped), and the Genome Variation Map51, ISwine has the largest
number of variations and the largest number of resequencing
individuals (Supplementary Table 14). The database Expression is
the first RNA-Seq based, swine gene expression database, which
incorporates data from 263 studies and a total of 95 various
tissues. pigQTLdb52 is the only existing database that provides
information similar to the ISwine QTX database. ISwine is different
from pigQTLdb because it not only collected QTX information,
but it also focused on improving its interactivity with the
databases of other omics. |#&gt; Sequence Read Archive54 (SRA, http://www.ncbi.nlm.nih.gov/sra/), the European
Nucleotide Archive55 (ENA, https://www.ebi.ac.uk/ena), and NCBI Gene Expression
Omnibus56 (GEO, http://www.ncbi.nlm.nih.gov/geo). This study included
3,526 RNA-seq samples from 263 projects and 864 resequencing samples from 42
projects; it covered almost all the published resequencing data and RNA-seq data in
swine researches.
QTX-related literature were obtained from US National Library of Medicine
National Institutes of Health57 (PubMed, https://www.ncbi.nlm.nih.gov/pubmed)
by using “swine GWAS” or “swine QTL” as keywords. A total of 653 full texts was
collected for QTX detection.
Information on genetic markers were obtained from ARKdb genome database58
(http://www.thearkdb.org) and NCBI Nucleotide database (www.ncbi.nlm.nih.gov/
nuccore/). Genome sequences and annotation of Sscrofa11.1 were download from
the Ensembl genome browser59 (http://www.ensembl.org).</t>
  </si>
  <si>
    <t>Here, we
present a general convolutional neural network model that integrates multi-omics information
to prioritize the candidate genes of objective traits. |#&gt; we trained
the integration model based on a machine learning strategy to
prioritize candidate genes for objective traits and to evaluate the
biological significance of the model parameters. |#&gt; To facilitate
model usage, an integrated swine omics knowledgebase named
ISwine was constructed to prioritize candidate genes based on
multi-omics information. |#&gt; we present an integrated multi-omics knowledgebase
with an embedded CNN model for prioritizing genes of
interest by multi-omics integration analyses, and we demonstrated
the great potential of CNN model in multi-omics integration
by applying it to a non-model organism—swine.</t>
  </si>
  <si>
    <t>Convolutional neural network</t>
  </si>
  <si>
    <t>variation counts, expression levels, QTALs/QTANs
number, and the WGCNA (Weighted Gene Co-expression Network
Analysis)</t>
  </si>
  <si>
    <t>integrated swine omics database consisted of SRA, ENA, GEO, PubMed, ARKdbgenome, NCBI Nucleotide database</t>
  </si>
  <si>
    <t>prioritizing genes based on mutiomics information</t>
  </si>
  <si>
    <t>We
aim to develop an integrative deep learning framework for classifying molecular subtypes of breast cancer. |#&gt; In this paper, we propose to build our CNA profile- and gene
expression profile-based classification model for molecular subtypes
of breast cancer by using an integrative deep neural network
learning approach. |#&gt; The network architecture of our base DCNN model to predict
the molecular subtypes of breast cancer using individual datasets
is shown in Fig. 2 |#&gt; We propose a deep convolutional neural network-based data
integration model, which first trains each data source separately,
and then the trained deep features are concatenated for the final
prediction. |#&gt; In this paper, we propose a deep learning-based model
DCNN_Concat) for multi-class classification and B_DCNN_Concat
for binary classification to integrate copy number alteration and
gene expression level data measured on the same breast cancer
patients to achieve this goal.</t>
  </si>
  <si>
    <t>We collect copy number alteration and gene expression data measured on the same breast cancer
patients from the Molecular Taxonomy of Breast Cancer International Consortium. |#&gt; copy number alteration data and gene expression data
from METABRIC (Molecular Taxonomy of Breast Cancer International
Consortium) project</t>
  </si>
  <si>
    <t>We collect copy number alteration and gene expression data measured on the same breast cancer
patients from the Molecular Taxonomy of Breast Cancer International Consortium. |#&gt; We used copy number alteration data and gene expression data
from METABRIC (Molecular Taxonomy of Breast Cancer International
Consortium) project |#&gt; All data sets used in the study are available from the Molecular
Taxonomy of Breast Cancer International Consortium (METABRIC):</t>
  </si>
  <si>
    <t>We
aim to develop an integrative deep learning framework for classifying molecular subtypes of breast cancer. |#&gt; In this paper, we propose to build our CNA profile- and gene
expression profile-based classification model for molecular subtypes
of breast cancer by using an integrative deep neural network
learning approach. |#&gt; In this paper, we propose a deep learning-based model
DCNN_Concat) for multi-class classification and B_DCNN_Concat
for binary classification to integrate copy number alteration and
gene expression level data measured on the same breast cancer
patients to achieve this goal.</t>
  </si>
  <si>
    <t>deep convolutional neural network</t>
  </si>
  <si>
    <t>copy number alteration and gene expression data</t>
  </si>
  <si>
    <t>copy number alteration data and gene expression data
from METABRIC (Molecular Taxonomy of Breast Cancer International
Consortium) project</t>
  </si>
  <si>
    <t>METABRIC project</t>
  </si>
  <si>
    <t>Cancer sybtypes classification</t>
  </si>
  <si>
    <t>Based on deep learning method, the proposed diagnosis model trained on multi-view images of
chest CT images showed great potential to improve the efficacy of diagnosis and mitigate the heavy workload of
radiologists for the initial screening of COVID-19 pneumonia. |#&gt; To discriminate the patients with COVID-19 pneumonia and other
pneumonia, we developed a multi-view fusion model based on deep
learning network as shown in Fig. 1. Our model was constructed base
on the modification of ResNet50 architecture [12]. |#&gt; In this study, we developed a multi-view deep learning
fusion model to discriminate the patient with COVID-19 through CT
images.</t>
  </si>
  <si>
    <t>To develop a deep learning-based method to assist radiologists to fast and accurately identify patients
with COVID-19 by CT images. |#&gt; We retrospectively collected chest CT images of 495 patients from three hospitals in China. |#&gt; Based on deep learning method, the proposed diagnosis model trained on multi-view images of
chest CT images showed great potential to improve the efficacy of diagnosis and mitigate the heavy workload of
radiologists for the initial screening of COVID-19 pneumonia. |#&gt; In
this study, we aimed to train a diagnostic model based on deep learning
network on the chest CT images to screen the patients with COVID-19
pneumonia. |#&gt; This study was approved by the institutional review board of
Renmin Hospital of Wuhan University (RHWU), The First Hospital of
China Medical University (1st HCMU) and Beijing Youan Hospital
(BYH) in China. Written informed consent was waived by institutional
review board for retrospective study.
We retrospectively collected high-resolution CT images of 495 patients
with pneumonia, including 368 patients with laboratory-confirmed
COVID-19 pneumonia and 127 patients with other pneumonia
(47 bacterial pneumonia, 67 other viral pneumonia, 11 mycoplasma
pneumonia and 2 fungal pneumonia). The dataset was collected from
three hospitals in China, including RHWU (265 COVID-19 and 35 other
pneumonia), 1 st HCMU (103 COVID-19, 46 other pneumonia) and BYH
(46 other pneumonia).
The dataset and demographic characteristics of patients are detailed
in Table 1.</t>
  </si>
  <si>
    <t>We retrospectively collected chest CT images of 495 patients from three hospitals in China. |#&gt; This study was approved by the institutional review board of
Renmin Hospital of Wuhan University (RHWU), The First Hospital of
China Medical University (1st HCMU) and Beijing Youan Hospital
(BYH) in China. Written informed consent was waived by institutional
review board for retrospective study.
We retrospectively collected high-resolution CT images of 495 patients
with pneumonia, including 368 patients with laboratory-confirmed
COVID-19 pneumonia and 127 patients with other pneumonia
(47 bacterial pneumonia, 67 other viral pneumonia, 11 mycoplasma
pneumonia and 2 fungal pneumonia). The dataset was collected from
three hospitals in China, including RHWU (265 COVID-19 and 35 other
pneumonia), 1 st HCMU (103 COVID-19, 46 other pneumonia) and BYH
(46 other pneumonia).
The dataset and demographic characteristics of patients are detailed
in Table 1.</t>
  </si>
  <si>
    <t>To develop a deep learning-based method to assist radiologists to fast and accurately identify patients
with COVID-19 by CT images. |#&gt; Based on deep learning method, the proposed diagnosis model trained on multi-view images of
chest CT images showed great potential to improve the efficacy of diagnosis and mitigate the heavy workload of
radiologists for the initial screening of COVID-19 pneumonia. |#&gt; In
this study, we aimed to train a diagnostic model based on deep learning
network on the chest CT images to screen the patients with COVID-19
pneumonia. |#&gt; In this study, we developed a multi-view deep learning
fusion model to discriminate the patient with COVID-19 through CT
images.</t>
  </si>
  <si>
    <t>Multi-view fusion deep learning network</t>
  </si>
  <si>
    <t>CT images from China</t>
  </si>
  <si>
    <t>medical diagnosis based on CT images</t>
  </si>
  <si>
    <t>CNN, Multi-view fusion deep learning network</t>
  </si>
  <si>
    <t>dataset from China</t>
  </si>
  <si>
    <t>In this study, we proposed a novel deep learning model, AuDNNsynergy, to prediction drug combinations by integrating multi-omics data and chemical structure data. In specific, three autoencoders were trained using the gene expression, copy number and genetic mutation data of all tumor samples from The Cancer Genome Atlas. Then the physicochemical properties of drugs combined with the output of the three autoencoders, characterizing the individual cancer cell-lines, were used as the input of a deep neural network that predicts the synergy value of given pair-wise drug combinations against the specific cancer cell-lines. |#&gt; To improve the prediction accuracy and explain the deep learning models (black box), in this study, we proposed a novel model, AuDNNsynergy (Deep Neural Network Synergy model with Autoencoders), for synergistic drug combination prediction. |#&gt; The AuDNNsynergy model consists of two major components: three autoencoders and a deep neural network |#&gt; In this study, we have presented a deep learning model, AuDNNsynergy, which outperforms existing models of drug combination prediction. In the model, we integrated multi-type of genomics data, e.g., gene expression, copy number and mutation using three autoencoders; and applied the transfer learning to train the autoencoders using TCGA data.</t>
  </si>
  <si>
    <t>In specific, three autoencoders were trained using the gene expression, copy number and genetic mutation data of all tumor samples from The Cancer Genome Atlas. Then the physicochemical properties of drugs combined with the output of the three autoencoders, characterizing the individual cancer cell-lines, were used as the input of a deep neural network that predicts the synergy value of given pair-wise drug combinations against the specific cancer cell-lines. |#&gt;  In this model, multi-omics datasets, i.e., gene expression, mutation, copy number variation, and physicochemical properties of drugs were integrated to achieve better prediction accuracy.  |#&gt; Omics data of cancer cell lines and TCGA samples. RNA-seq data of the 1156 cancer cell lines and 10,535 tumor samples from The Cancer Genome Atlas (TCGA) were downloaded from Cancer Cell Line Encyclopedia (CCLE) and UCSC Xena Server [28] (URL: https://xenabrowser.net/datapages/?dataset). The somatic mutation data of the screened cell lines and 9104 TCGA tumor samples were downloaded from Catalogue of Somatic Mutations in
Cancer (COSMIC) [29] and UCSC Xena respectively. The copy number of 10,845 TCGA pan-cancer tumors and the 39 cancer cell lines can be accessed from UCSC Xena and CCLE respectively. Some cancer cell lines data cannot be found in CCLE, and COSMIC. We used the genomics data of EFM-129A and COL Physicochemical features of drugs. To characterize the chemical structures of individual drugs, we used the counts of extended connectivity fingerprints with a radius of 6 (ECP_6) [30], predefined physicochemical properties and presence or absence of toxicophores substructures, which were obtained by using jCompoundMapper [31] and Chemopy [32] respectively. O320 for the EFM-129B and COLO320DM cell lines respectively. In brief, the EFM-129B established from the same person of EFM-129A after 14 days. The COLO320DM is children of COLO320.</t>
  </si>
  <si>
    <t>In specific, three autoencoders were trained using the gene expression, copy number and genetic mutation data of all tumor samples from The Cancer Genome Atlas. |#&gt; Moreover, to make the model has prediction ability for unseen cell lines and tumors, we trained autoencoders with all tumor samples form The Cancer Genome Atlas (TCGA) (pan-cancer dataset). |#&gt; Omics data of cancer cell lines and TCGA samples. RNA-seq data of the 1156 cancer cell lines and 10,535 tumor samples from The Cancer Genome Atlas (TCGA) were downloaded from Cancer Cell Line Encyclopedia (CCLE) and UCSC Xena Server [28] (URL: https://xenabrowser.net/datapages/?dataset). The somatic mutation data of the screened cell lines and 9104 TCGA tumor samples were downloaded from Catalogue of Somatic Mutations in
Cancer (COSMIC) [29] and UCSC Xena respectively. The copy number of 10,845 TCGA pan-cancer tumors and the 39 cancer cell lines can be accessed from UCSC Xena and CCLE respectively. Some cancer cell lines data cannot be found in CCLE, and COSMIC. We used the genomics data of EFM-129A and COLO320 for the EFM-129B and COLO320DM cell lines respectively. In brief, the EFM-129B established from the same person of EFM-129A after 14 days. The COLO320DM is children of COLO320.</t>
  </si>
  <si>
    <t>In this study, we proposed a novel deep learning model, AuDNNsynergy, to prediction drug combinations by integrating multi-omics data and chemical structure data. In specific, three autoencoders were trained using the gene expression, copy number and genetic mutation data of all tumor samples from The Cancer Genome Atlas. Then the physicochemical properties of drugs combined with the output of the three autoencoders, characterizing the individual cancer cell-lines, were used as the input of a deep neural network that predicts the synergy value of given pair-wise drug combinations against the specific cancer cell-lines. |#&gt; To improve the prediction accuracy and explain the deep learning models (black box), in this study, we proposed a novel model, AuDNNsynergy (Deep Neural Network Synergy model with Autoencoders), for synergistic drug combination prediction. |#&gt; In this study, we have presented a deep learning model, AuDNNsynergy, which outperforms existing models of drug combination prediction. In the model, we integrated multi-type of genomics data, e.g., gene expression, copy number and mutation using three autoencoders; and applied the transfer learning to train the autoencoders using TCGA data.</t>
  </si>
  <si>
    <t>three autoencoders and deep neural network</t>
  </si>
  <si>
    <t>gene expression, copy number, genetic mutation data,  and drug physicochemical</t>
  </si>
  <si>
    <t>The Cancer Genome Atlas (TCGA), Cancer Cell Line Encyclopedia (CCLE)</t>
  </si>
  <si>
    <t>DNN (deep neural network)</t>
  </si>
  <si>
    <t>In this paper, we introduce a novel prediction technique as an extension of SNF,
namely Deep Subspace Fusion Clustering (DSFC). DSFC utilizes auto-encoder and data self-expressiveness approaches to guide a
deep subspace model, which can achieve effective expression of discriminative similarity between patients. |#&gt; DSFC first uses a deep subspace model, based on autoencoder
and data self-expressiveness approaches, to encode
latent feature representations defined by each type of data. |#&gt; In this work,
a method called DSFC has been proposed to predict the
cancer subtype through integrating multi-omic data. DSFC
first adopts the deep neural networks to reveal the nonlinear
subspace in each type of data, then uses SNF fusion
the patient similarity presentations derived from different
type of data, and finally obtains the subtypes by using
spectral clustering.</t>
  </si>
  <si>
    <t>For each cancer type, mRNA expression, DNA methylation
and miRNA expression are used for data integration. |#&gt;  It has been tested on the prediction of
cancer subtypes from three levels omics data, i.e., mRNA
expression, miRNA expression and DNA methylation, on
six TCGA datasets including GBM, BIC, KRCCC, LSCC,
COAD and OV.</t>
  </si>
  <si>
    <t>Data used in this study was downloaded from the TCGA.
The cancer types incorporate glioblastoma multiforme
(GBM), breast invasive carcinoma (BIC), kidney renal clear
cell carcinoma (KRCCC), lung squamous cell carcinoma
(LSCC), colon adenocarcinoma (COAD) and ovarian (OV).
For each cancer type, mRNA expression, DNA methylation
and miRNA expression are used for data integration. |#&gt; It has been tested on the prediction of
cancer subtypes from three levels omics data, i.e., mRNA
expression, miRNA expression and DNA methylation, on
six TCGA datasets including GBM, BIC, KRCCC, LSCC,
COAD and OV.</t>
  </si>
  <si>
    <t xml:space="preserve">Addressing this problem, we propose Deep Subspace
Fusion Clustering (DSFC) to capture both intra-level and
cross-level omics data relationships to predict cancer subtypes. |#&gt; In this work,
a method called DSFC has been proposed to predict the
cancer subtype through integrating multi-omic data. </t>
  </si>
  <si>
    <t>Deep Subspace fusion clustering (DSFC) with autoencoders</t>
  </si>
  <si>
    <t>cancer type, mRNA expression, DNA methylation
and miRNA expression</t>
  </si>
  <si>
    <t>Cancer subtypes prediction/classification</t>
  </si>
  <si>
    <t>In this study, we have
developed a deep learning-based predictive model using Deep Denoising Auto-encoder (DDAE) and Multi-layer
Perceptron (MLP) that can quantitatively capture how genetic and epigenetic alterations correlate with directionality
of gene expression for liver hepatocellular carcinoma (LIHC).  |#&gt; In order to perform the task of estimating gene expression, we have
developed a DL regression model based on multi-omics integration. We
have used deep denoising auto-encoder (DDAE) for feature extraction
and multi-layer perceptron (MLP) for regression.</t>
  </si>
  <si>
    <t>In the present study, we have intended to extract
features enough to explore the relationship between genomic
(CNV) and epigenomic (DNAm) information in regulating gene expression
at higher dimensions. |#&gt; The R package
TCGA-assembler (v2.0.5) [39] has been used to obtain DNAm, CNV and
RNA-seq data for LIHC. |#&gt; First, we have built a deep learning-based regression model for
estimating gene expression from DNA methylation and copy number
variation profiles. |#&gt; In this current
scope of work, we have used 404 matched samples having all three
DNAm, CNV and RNA-seq.</t>
  </si>
  <si>
    <t>In this study, we have
developed a deep learning-based predictive model using Deep Denoising Auto-encoder (DDAE) and Multi-layer
Perceptron (MLP) that can quantitatively capture how genetic and epigenetic alterations correlate with directionality
of gene expression for liver hepatocellular carcinoma (LIHC). The DDAE used in the study has been
trained to extract significant features from the input omics data to estimate the gene expression |#&gt; In order to perform the task of estimating gene expression, we have
developed a DL regression model based on multi-omics integration. We
have used deep denoising auto-encoder (DDAE) for feature extraction
and multi-layer perceptron (MLP) for regression. |#&gt; First, we have built a deep learning-based regression model for
estimating gene expression from DNA methylation and copy number
variation profiles. |#&gt; In this work, we have explored the impact of both genomic and
epigenomic features on gene expression regulation using a deep
learning-based regression model. The model has established the fact
that the integrated features can be used to predict gene expression
patterns and also serves as a promising platform for multi-omics integration.
The model also captures the directional regulation of the
predicted gene expression.</t>
  </si>
  <si>
    <t>Deep Denoising Auto-Encoder</t>
  </si>
  <si>
    <t>DNAm, CNV and RNA-seq data</t>
  </si>
  <si>
    <t>gene expression estimate</t>
  </si>
  <si>
    <t>We propose an unsupervised multi-omics integration pipeline, using deep-learning autoencoder algorithm, to predict the survival subtypes in bladder cancer (BC). |#&gt; Here, we present a new extension of our original pipeline (namely DeepProg13), applied to the bladder cancer. DeepProg is a deep learning (autoencoder) based pipeline to infer the survival subgroups in unsupervised way followed by the prediction of survival subtype of the unknown sample.</t>
  </si>
  <si>
    <t>We used TCGA dataset comprising mRNA, miRNA and methylation to infer two survival subtypes. |#&gt; To construct the model, we used the training dataset obtained from TCGA with three types of omics: mRNA, miRNA and methylation</t>
  </si>
  <si>
    <t>We used TCGA dataset comprising mRNA, miRNA and methylation to infer two survival subtypes. |#&gt; To construct the model, we used the training dataset obtained from TCGA with three types of omics: mRNA, miRNA and methylation |#&gt; We obtained the three omics dataset i.e. mRNA, miRNA and methylation of TCGA BC from the Genomics Data Commons web portal (https://portal.gdc.cancer.gov/), as of June 2017. We used TCGA-Assembler, an open source pipeline for downloading, assembling and processing of 402 BC samples14. For mRNA sequencing data, we used normalized RSEM (RNA-Seq by Expectation Maximization) quantification values15 from the Illumina HiSeq platform. For miRNA sequencing quantification data, we procured the reads per million miRNA mapped (RPM) data from the Illumina HiSeq platform for each sample. For methylation (Infinium HumanMethylation450 BeadChip platform), the average methylation value of all the CpG sites was calculated for each gene within the 1500 bp ahead of the transcription start site (TSS). The corresponding survival data for these 402 samples were obtained from the FireBrowse (http://firebrowse.org/) website hosted by the Broad Institute.
For the validation dataset, we mined the Gene Expression Omnibus (GEO) database and found miRNA sequencing data for muscle-invasive bladder cancer for 62 samples along with survival information (GSE84525)16. We processed the raw read count data and converted those to the RPM, the same normalization as that of the TCGA miRNA dataset.</t>
  </si>
  <si>
    <t>We propose an unsupervised multi-omics integration pipeline, using deep-learning autoencoder algorithm, to predict the survival subtypes in bladder cancer (BC). |#&gt;  DeepProg is a deep learning (autoencoder) based pipeline to infer the survival subgroups in unsupervised way followed by the prediction of survival subtype of the unknown sample.</t>
  </si>
  <si>
    <t>deep autoencoder</t>
  </si>
  <si>
    <t>Identifying molecular subtypes of ovarian cancer is important. Compared
to identify subtypes using single omics data, the multi-omics data analysis can utilize
more information. Autoencoder has been widely used to construct lower dimensional
representation for multi-omics feature integration. However, learning in the deep
architectures in Autoencoder is difficult for achieving satisfied generalization performance.
To solve this problem, we proposed a novel deep learning-based framework to robustly
identify ovarian cancer subtypes by using denoising Autoencoder. |#&gt; Trying to solve this problem, we proposed a novel deep learning framework for integrating
multi-omics data with denoising autoencoder (DAE), and then the generated features were input into k-means for clustering (DAE-kmeans)</t>
  </si>
  <si>
    <t>For reducing the number of features used in ovarian cancer
subtype identification, we further build a light-weighted logistic regression classification
model with mRNA features. |#&gt; mRNA-seq data (UNC Illumina HiSeq_RNASeq V2), miRNA-seq data (BCGSC Illumina
HiSeq) and copy number variation (CNV) data (BROAD-MIT Genome wide
SNP_6). |#&gt; firstly the
multi-omics ovarian cancer features x (mRNA, miRNA and CNV)</t>
  </si>
  <si>
    <t>In proposed method, the composite features of multi-omics data in the Cancer |#&gt; TCGA dataset
We downloaded the multi-omics ovarian cancer data from TCGA public datasets((
https://portal.gdc.cancer.gov). The R package TCGA-assemble2 [13] was used for
data collection and we obtained 298 samples concluded three types of omics data:
mRNA-seq data (UNC Illumina HiSeq_RNASeq V2), miRNA-seq data (BCGSC Illumina
HiSeq) and copy number variation (CNV) data (BROAD-MIT Genome wide
SNP_6). All these data were obtained from the TCGA level 3 data. And the CNV feature
was extracted by averaging the copy numbers of all CNV variations on one gene.
After that the features and samples which missing more than 20% would be excluded.
For the remaining data, the missing values were imputed based on the median values
by using R package “imputeMissings” [14].
Guo et al. BioData Mining (2020) 13:10 Page 3 of 12
Test datasets
In GSE26712 we downloaded the RNA-seq and the clinical information of 185 ovarian
cancer patients shared from Surgical Oncology Research Lab of Boston, and in
GSE32062 we got 260 ovarian cancer case samples offered by Obstetrics and
Gynecology, Niigata University. GSE53963 contains mRNA information of 174 samples
from UCLA School of Medicine. All of these test datasets can be downloaded in Gene
Expression Omnibus (GEO, https://www.ncbi.nlm.nih.gov)
Genome Atlas were produced by denoising Autoencoder, and then the generated lowdimensional
features were input into k-means for clustering. At last based on the
clustering results, we built the light-weighted classification model with L1-penalized
logistic regression method. Furthermore, we applied the differential expression analysis
and WGCNA analysis to select target genes related to molecular subtypes. We identified
34 biomarkers and 19 KEGG pathways associated with ovarian cancer.
Conclusions: The independent test results in three GEO datasets proved the robustness
of our model.</t>
  </si>
  <si>
    <t>Identifying molecular subtypes of ovarian cancer is important. Compared
to identify subtypes using single omics data, the multi-omics data analysis can utilize
more information. Autoencoder has been widely used to construct lower dimensional
representation for multi-omics feature integration. However, learning in the deep
architectures in Autoencoder is difficult for achieving satisfied generalization performance.
To solve this problem, we proposed a novel deep learning-based framework to robustly
identify ovarian cancer subtypes by using denoising Autoencoder. |#&gt; In this study we designed a novel deep
learning-based framework for ovarian cancer subtype identification, and a logistic regression
method was used to build the light-weighted classification model</t>
  </si>
  <si>
    <t>denoising Autoencoder</t>
  </si>
  <si>
    <t>mRNA-seq data, miRNA-seq data and copy number variation data</t>
  </si>
  <si>
    <t>ovarian cancer subtypes classification</t>
  </si>
  <si>
    <t>To address these issues, we propose
ChannelAtt, an end-to-end multi-view deep learning model with
channel-aware attention mechanism, to express multi-channel
EEG signals in a high-level space with interpretable meanings.
ChannelAtt jointly learns both multi-view representation and
its contribution scores. We propose two attention mechanisms
to learn the attentional representations of multi-channel EEG
signals in time-frequency domain. |#&gt; We propose ChannelAtt, an end-to-end multi-view deep
learning model to accurately detect seizure onset from
multi-channel EEG signals, without depending on any
expert medical knowledge.
• We develop two channel-aware attention mechanisms
to dynamically calculate scores for each channel and
achieve soft channel selection. To the best of our knowledge,
this is the first work using attention mechanism
for biosignal channel selection in healthcare.
• We empirically show that the proposed ChannelAtt
outperforms existing seizure detection methods on a
benchmark dataset. The results of a case study indicate
that the proposed channel-aware attention mechanism
is able to identify the influential clinical concepts of
seizure onset. |#&gt; To demonstrate the basic idea of the proposed method, both
global and channel encoders are parameterized by two-layer
stacked autoencoders (SAEs)</t>
  </si>
  <si>
    <t>The EEG dataset we use is the CHB-MIT dataset [12]
captured from the PhysioNet [13]. In this dataset, the multichannel
EEG signals are recorded from pediatric subjects
with intractable seizures. |#&gt; In this paper, we proposed a novel channel-aware attention
framework, named ChannelAtt, to express multi-channel
signals in a high-level space with interpretable meanings.</t>
  </si>
  <si>
    <t>The EEG dataset we use is the CHB-MIT dataset [12]
captured from the PhysioNet [13]. In this dataset, the multichannel
EEG signals are recorded from pediatric subjects
with intractable seizures.</t>
  </si>
  <si>
    <t>We propose ChannelAtt, an end-to-end multi-view deep
learning model to accurately detect seizure onset from
multi-channel EEG signals, without depending on any
expert medical knowledge.
• We develop two channel-aware attention mechanisms
to dynamically calculate scores for each channel and
achieve soft channel selection. To the best of our knowledge,
this is the first work using attention mechanism
for biosignal channel selection in healthcare.
• We empirically show that the proposed ChannelAtt
outperforms existing seizure detection methods on a
benchmark dataset. The results of a case study indicate
that the proposed channel-aware attention mechanism
is able to identify the influential clinical concepts of
seizure onset. |#&gt; In this paper, we proposed a novel channel-aware attention
framework, named ChannelAtt, to express multi-channel
signals in a high-level space with interpretable meanings.
ChannelAtt is an unified model that jointly learns both multiview
representation and its contribution scores at the same
time. Two attention mechanisms allow us to interpret the
contributions of each channel on seizure onset detection.</t>
  </si>
  <si>
    <t>multi-view deep learning model with
channel-aware attention mechanism using stacked autoencoders</t>
  </si>
  <si>
    <t>multi channel EEG signals</t>
  </si>
  <si>
    <t>EEG dataset from CHB-MIT dataset from the PhysioNet</t>
  </si>
  <si>
    <t>seizure detection as medical diagnosis</t>
  </si>
  <si>
    <t>multi-view deep learning model, SAE</t>
  </si>
  <si>
    <t>we develop a
concatenation autoencoder (ConcatAE) that concatenates the hidden features learned from each modality for
integration. The consensus principle assumes that the disagreements among modalities upper bound the model
errors. To get rid of the noises or discrepancies among modalities, we develop a cross-modality autoencoder
(CrossAE) to maximize the agreement among modalities to achieve a modality-invariant representation. |#&gt; We use the concatenation autoencoder (ConcatAE) to
integrate the complementary information from each data
modality |#&gt; In this study, we have developed two novel multi-modal
data integration strategies: to integrate the complementary
information among modalities with ConcatAE; and
to integrate the consensus information using CrossAE.</t>
  </si>
  <si>
    <t>In this study, we aim to improve breast cancer overall survival prediction by integrating multi-omics data
(e.g., gene expression, DNA methylation, miRNA expression, and copy number variations (CNVs)). |#&gt; Overview of four omics data modalities
Data
Modality
Gene Expression DNA
Methylation
miRNA Expression Copy Number Variation
Measures Fragments per kilobase of transcript per million
mapped reads (FPKM)
Beta Value Reads per million mapped
reads (RPM)
Gain/Loss/Neutral
Dynamic
Range
Continuous
[0, 3,823,803,664.0]
Continuous
[0, 1]
Continuous
[0, 679,286.5]
Discrete {“Loss”: − 1,” Neutral”:
0,” Gain”:1}
Feature
Name
Ensembl
Gene ID
cg probe
identifier
miRNA
identifier
Ensembl
Gene ID
# of
Features
60,483 25,978 1881 19,729</t>
  </si>
  <si>
    <t>We first
validate the effectiveness of our proposed models on the MNIST simulated data. We then apply these models to
the TCCA breast cancer multi-omics data for overall survival prediction. |#&gt; we first describe
the simulated two-view data from the Modified
National Institute of Standards and Technology (MNIS
T) database and multi-omics breast cancer (BRCA) data
from the TCGA database (referred as TCGA-BRCA
hereafter).  |#&gt; To validate the proposed feature-level integration network,
we simulate the multi-modality data from the
Modified National Institute of Standards and Technology
(MNIST) database. The MNIST database consists of
60,000 training samples and 10,000 testing samples. Each
sample in the MNIST database is a 28 × 28 image of a
single hand-written digit from 0 to 9. The goal is to train
a multi-class classifier to predict the digit from the input
image.
We simulate two-views of each hand-written digit
image from the MNIST database (Fig. 1a). The first view
(X1) is the original image from the MNIST database,
while the second view (X2) is the corresponding rotated
image (90-degree counter-clockwise rotation). We further
simulate noises for the data because the task is easy
even for single-view data. We have simulated two kinds
of noises and apply them to both views of the handwritten
digit images: random erasing (Fig. 1b) and pixelwise
Gaussian noise (Fig. 1c). We flatten the image to a
vector with a length of 784 as the final input to deep
neural networks.
TCGA-BRCA breast cancer multi-omics dataset
TCGA database [5] is a public database containing genomic
data for over 20,000 paired cancer and normal
samples from 33 cancer types. In this study, we are using
TCGA-BRCA, which has 1060 patients with all four
types of -omics data (e.g., gene expression, miRNA expression,
DNA methylation, and CNVs) and survival information
(see Supplementary Material Section S2). |#&gt; We first tested the proposed models on the
simulated MNIST data and validated the effectiveness of
ConcatAE in integrating complementary information
and CrossAE in integrating consensus information
among multi-modality data. We then apply the proposed
models to the multi-omics breast cancer survival data
obtained from the TCGA-BRCA dataset.</t>
  </si>
  <si>
    <t>In this study, we aim to improve breast cancer overall survival prediction by integrating multi-omics data
(e.g., gene expression, DNA methylation, miRNA expression, and copy number variations (CNVs)). |#&gt; we achieve improved overall survival prediction performance by utilizing either the
complementary or consensus information among multi-omics data. The proposed ConcatAE and CrossAE models
can inspire future deep representation-based multi-omics integration techniques. We believe these novel multiomics
integration models can benefit the personalized diagnosis and treatment of breast cancer patients. |#&gt; to further improve survival
prediction for personalized breast cancer diagnosis and
treatment.</t>
  </si>
  <si>
    <t>concatenation autoencoder, cross autoencoder</t>
  </si>
  <si>
    <t>TCGA, MNIST</t>
  </si>
  <si>
    <t>Breast cancel overall survival prediction prognosis</t>
  </si>
  <si>
    <t>AE, Cross-AE</t>
  </si>
  <si>
    <t>Breast cancer survival prediction</t>
  </si>
  <si>
    <t>Here, we present a single-cell multimodal variational autoencoder
model, which combines three types of joint-learning strategies with a probabilistic Gaussian Mixture Model to learn the
joint latent features that accurately represent these multilayer profiles |#&gt; Here, we proposed single-cell multimodal variational
autoencoder (scMVAE) for the integrative analysis of scRNAseq
and scATAC-seq data that are measured from the same
single-cell by using three types of joint-learning strategies.</t>
  </si>
  <si>
    <t>Here, we proposed single-cell multimodal variational
autoencoder (scMVAE) for the integrative analysis of scRNAseq
and scATAC-seq data that are measured from the same
single-cell by using three types of joint-learning strategies. |#&gt; To balance the large dimensional difference between scRNAseq
and scATAC-seq data, we converted the peak level count
matrix of scATAC-seq data to the gene activity data like gene
expression values of the scRNA-seq data,</t>
  </si>
  <si>
    <t>Datasets and preprocessing
Real data
Two datasets including paired profiles used in our study were
generated by the SNARE-seq technology [11]. Specifically, (i) the
cell line mixture dataset consisting of 1047 cells is derived from mixtures of cultured human BJ, H1, K562 and GM cells; to check
if our model is robust with the sparsity data, we randomly
dropout out nonzero values of two-omics data to zero value,
with the proportion ranges from 0.1 to 0.3, thus generating nine
datasets; (ii) the AdBrainCortex dataset including 10 309 cells is
derived from the adult mouse cerebral cortex. Besides, 549 cells
derived fromthe human HCT116, HeLa-S3, K562, PDX1 and PDX2
cell lines generated by scCAT-seq technology [10] were used to
validate our method.
Simulated data: three simulated dataset with paired profiles
generated by the following strategy: (i) a scRNA-seq data
with two clusters of cells was simulated by Splatter [33],
with the following parameters: batchCells = 3000, nGenes = 200,
dropout.type = experiment, dropout.mid = 5, dropout.shape =−1,
de.prob = 0.3; and a scATAC-seq data consisting of 3000 cells
and 500 peaks (nPeaks = 500) were generated by the following
pipeline: the peaks formed two clusters, with each cluster
consisting of 250 specific peaks; and these specific peaks had a
value of 1 or 2 (ratio 1:4) in the cells of the corresponding clusters,
and 0 in other cells. The noised data were further generated
from real data by randomly dropping out nonzero values by 0.75,
and followed by setting the zero values to 1 or 2 (ratio 1:4) by
0.2; (ii) a scRNA-seq data with three clusters was simulated by
the same parameters as (i) but with nGenes = 500, the dropout
ratio for nonzero values of scATAC-seq data is 0.7, and the noise
ratio for zero values is 0.25; and (iii) a scRNA-seq data with
four clusters was simulated by the same parameters as (i) but
with nGenes = 600, and the dropout ratio for nonzero values of
scATAC-seq data is 0.5 and noise ratio for zero values is 0.4, as
well as nPeaks = 600 with each cluster containing 300 specific
peaks.</t>
  </si>
  <si>
    <t>Here, we proposed single-cell multimodal variational 
autoencoder (scMVAE) for the integrative analysis of scRNAseq
and scATAC-seq data that are measured from the same
single-cell by using three types of joint-learning strategies. |#&gt; A single-cell multimodal variational autoencoder
(scMVAE) model was proposed to learn the joint latent
features that accurately represent transcriptomic and
chromatin accessibility profiles that are both measured
in the same cell, to account for their inherent
sparse and heterogeneous property; |#&gt; scMVAE model was proposed to analyze scRNA-seq and scATACseq
measured from the same individual cells in a biological
meaningmanner, to account for its inherent highly sparse, great
heterogeneity, by combining MVAE and GMM model, which can
be scalable to large datasets. To our best knowledge, this is
the first deep-joint-learning model for processing single-cell
multiomics data.</t>
  </si>
  <si>
    <t>variational autoencoder</t>
  </si>
  <si>
    <t>scRNAseq
and scATAC-seq data</t>
  </si>
  <si>
    <t>The cell line mixture dataset, AdBrainCortex and three simulated datasets</t>
  </si>
  <si>
    <t>analysis of single-cell data</t>
  </si>
  <si>
    <t>The cell line mixture dataset, AdBrainCortex, simulated dataset</t>
  </si>
  <si>
    <t>Single cell-related study</t>
  </si>
  <si>
    <t>With these requirements in mind, we used a variational autoencoder
(VAE) (16 Preprint), a flexible framework for nonlinear latent
factor inference. Our implementation is inspired by methods implemented
by ladder-VAE (17 Preprint) and disentangled autoencoders
(β-VAE) (18). Using these adaptations over a “vanilla” VAE enables the
model to converge quickly to a good representation, in spite of the
seemingly large complexity of the problem space</t>
  </si>
  <si>
    <t>We propose a multiomics method that incorporates data on
gene expression, copy number, and mutations in identifying CRC
subtypes, in a manner that has important implications for patient
stratification. |#&gt; The multiomics
signatures, incorporating gene expression, point mutations, and copy
number alterations, are a direct output of themethod and do not need
to be generated post hoc, |#&gt; We used maui to extract latent factors from data on gene expression,
point mutations, and copy number alterations and did
the same using MOFA (24) and iCluster+ (14), other published
methods for multiomics integration by dimensionality reduction |#&gt; . Table 1 summarizes the subtype
information. The gene expression data (mRNA) are HTSeq-FPKM. Mutations
were downloaded as mutation annotation files, filtered to
include nonsynonymous mutations only, and represented as a binary
mutation matrix where mij = 1 if and only if gene i carries a nonsynonymousmutation
in sample j. Copy number alterations are GISTIC
calls by gene, represented as a real-valued matrix where cij is the
GISTIC segment mean for the segment containing gene i in sample j.
In addition, we obtained clinical metadata from the TCGA about
the same patients. In addition to survival data, we used the age at
diagnosis, sex, and tumor stage at diagnosis, as clinical covariates.
CCLE data were obtained from the CCLE portal (https://portals.
broadinstitute.org/ccle) and are the same data types as the TCGA
data, with the exception that transcriptome profiles are reads per
kilo base per million mapped reads (RPKM)-normalized and not
fragments per kilo base per million mapped reads (FPKM). We
considered 54 cancer cell lines originating from the colon.
We considered only tumors (from TCGA) and cancer cell lines
(from CCLE) which have “complete data”, that is, available measurements
in all three assays: gene expression, SNVs, and CNVs.</t>
  </si>
  <si>
    <t>The CRC cohort in the TCGA data set (n = 519, see the Materials and 
Methods section) has been extensively studied |#&gt; We examined 54 cancer cell lines derived from tumors of the
colon from the Cancer Cell Line Encyclopedia (CCLE). |#&gt; Data
We obtained data for tumors from the TCGA-COAD (n = 389) and
TCGA-READ (n = 130) project designations of the Genomic Data
Commons (https://portal.gdc.cancer.gov) using the TCGAbiolinks R
package (42). We downloaded the CMS annotations for the TCGA
tumors from the Colorectal Cancer Subtyping Consortium (CRCSC)
(http://sagebionetworks.org/research-projects/colorectal-cancersubtyping-
consortium-crcsc/). Table 1 summarizes the subtype
information. The gene expression data (mRNA) are HTSeq-FPKM. Mutations
were downloaded as mutation annotation files, filtered to
include nonsynonymous mutations only, and represented as a binary
mutation matrix where mij = 1 if and only if gene i carries a nonsynonymousmutation
in sample j. Copy number alterations are GISTIC
calls by gene, represented as a real-valued matrix where cij is the
GISTIC segment mean for the segment containing gene i in sample j.
In addition, we obtained clinical metadata from the TCGA about
the same patients. In addition to survival data, we used the age at
diagnosis, sex, and tumor stage at diagnosis, as clinical covariates.
CCLE data were obtained from the CCLE portal (https://portals.
broadinstitute.org/ccle) and are the same data types as the TCGA
data, with the exception that transcriptome profiles are reads per
kilo base per million mapped reads (RPKM)-normalized and not
fragments per kilo base per million mapped reads (FPKM). We
considered 54 cancer cell lines originating from the colon.
We considered only tumors (from TCGA) and cancer cell lines
(from CCLE) which have “complete data”, that is, available measurements
in all three assays: gene expression, SNVs, and CNVs.</t>
  </si>
  <si>
    <t>Using these, we propose
refined CRC subtypes and provide best-matching cell lines to
different subtypes. |#&gt; We propose a multiomics method that incorporates data on
gene expression, copy number, and mutations in identifying CRC
subtypes, in a manner that has important implications for patient
stratification. |#&gt; We, then, determined
the cancer cell lines most appropriate for drug target studies aimed
at distinct CRC subtypes.  |#&gt; We have developed an autoencoder-based method, called maui,
that integrates data from multiomics experiments. We used it to
infer latent factors that summarize molecular patterns, from data
sets made up of RNA-seq, single nucleotide polymorphisms, and
copy number variants (CNVs). The latent factors capture patterns
which explain the variation across the different data modalities,
capturing important aspects of cancer biology including different
gene expression programs, mutational profiles, copy number profiles,
and their interactions. We showed that these latent factors are
predictive of previously described CRC subtypes (CMS). maui outperforms
the methods MOFA and iCluster+, which we benchmarked
against in the task of CMS label prediction and in predicting patient
survival regardless of the CMS subtypes involved.</t>
  </si>
  <si>
    <t>gene expression, copy number and point mutations</t>
  </si>
  <si>
    <t>colorectal cancer subtypes classification</t>
  </si>
  <si>
    <t>Here we propose an end-to-end deep
learning model called OmiVAE to extract low dimensional
features and classify samples from multi-omics data. OmiVAE
combines the basic structure of variational autoencoders with a
classification network to achieve task-oriented feature extraction
and multi-class classification. |#&gt; In this work, we propose a model called OmiVAE for both
low dimensional latent space extraction and multi-class classification
on multi-omics datasets. OmiVAE combines a basic
structure of a VAE with a classification network to achieve
task-oriented feature extraction and end-to-end classification. |#&gt; In OmiVAE, we combines the basic structure of VAE with
a classification network to achieve task-oriented feature extraction
and end-to-end cancer classification. The architecture
of OmiVAE is illustrated in Fig. 1. The network structure is
comprised of three main components: an encoder, a decoder,
and a classifier. |#&gt; To address this problem, we
proposed an end-to-end deep learning model called OmiVAE
for both low dimensional latent space extraction and multiclass
classification on multi-omics datasets.</t>
  </si>
  <si>
    <t>We integrated genome-wide DNA methylation and gene expression
profiles together with 450,804 molecular features
from corresponding samples through this model.  |#&gt; Two types of high dimensional omics data, RNA-Seq gene
expression profiles and DNA methylation profiles were used
in OmiVAE. |#&gt; We integrated
genome-wide DNA methylation and gene expression profiles
together with more than 450,000 molecular features through
this model.</t>
  </si>
  <si>
    <t>Pan-cancer multi-omics datasets from The Cancer Genome
Atlas (TCGA) [5] with 9,081 samples of 33 tumour types
and normal ones were used to evaluate this model |#&gt; We chose TCGA pan-cancer datasets with 33
various tumour types for both gene expression and DNA
methylation data. The gene expression dataset consists of
11,538 samples, among which 741 samples are normal tissues.
Each gene expression profile is comprised of 60,483 identifiers
referring to corresponding exons. Fragments Per Kilobase of
transcript per Million mapped reads (FPKM) values in this
dataset were log2-transformed. The DNA methylation dataset
contains 9,736 samples, in which 746 samples are normal tissues.
DNA methylation profiles in this dataset were produced
by Infinium HumanMethylation450 BeadChip (450K) arrays
with 485,578 probes. The Beta value of each probe indicates
the methylation ratio of the corresponding CpG site. Both
datasets were downloaded from UCSC Xena data portal1 on
April 16th, 2019.</t>
  </si>
  <si>
    <t>The OmiVAE model learned from multi-omics
data outperformed that using only one type of omics data, which
indicates that the complementary information from different
omics datatypes provides useful insights for biomedical tasks like
cancer classification |#&gt; In this work, we propose a model called OmiVAE for both
low dimensional latent space extraction and multi-class classification
on multi-omics datasets. OmiVAE combines a basic
structure of a VAE with a classification network to achieve
task-oriented feature extraction and end-to-end classification. |#&gt; OmiVAE achieved an average classification accuracy
of 97.88% on different tumour types and 97.49% on tumour
types and normal samples after 10-fold cross-validation, which
is better than existing methods. Moreover, the OmiVAE model
learned from multi-omics data outperformed that using only
one type of omics data, which indicates that the complementary
information from different omics datatypes provides
useful insights for biomedical tasks like cancer classification.</t>
  </si>
  <si>
    <t xml:space="preserve">DNA methylation and gene expression </t>
  </si>
  <si>
    <t>pan cancer classification</t>
  </si>
  <si>
    <t>In this
work, we did an integrated multi-omics analysis of ovarian cancer using the compressed features
learned through VAE and an improved version of VAE, namely Maximum Mean Discrepancy VAE
(MMD-VAE). First, we designed and developed a DL architecture for VAE and MMD-VAE. Then we used
the architecture for mono-omics, integrated di-omics and tri-omics data analysis of ovarian cancer
through cancer samples identification, molecular subtypes clustering and classification, and survival
analysis. |#&gt; In this work, we did an integrated multi-omics analysis of ovarian cancer using VAE and MMD-VAE36. To the
best of our knowledge, this is the first work that does a comprehensive mono-omics and integrated multi-omics
(i.e., di- and tri-omics) analysis of individual cancer (ovarian) using VAE or MMD-VAE, or both. |#&gt; We used the developed DL architecture of VAE/MMD-VAE for cancer samples identification, molecular subtypes
clustering and classification, and survival analysis using the TCGA ovarian cancer datasets.</t>
  </si>
  <si>
    <t xml:space="preserve">First, we have designed and developed a DL architecture of VAE and MMD-VAE that
supports unsupervised and supervised learning of latent features from mono-omics, di-omics and tri-omics data. |#&gt; We used mono-omics and multi-omics (i.e., di- and tri-omics) data for the study. We generated
multi-omics data using different combinations of high dimensional mono-omics data. Table 1 summarises
the datasets used in this study in terms of their key features (i) omic-count (mono/di/tri), (ii) omic type
(e.g.,genomics, epigenomics, transcriptomics, and their combinations) (iii) omic data (i.e., mRNA, CNV/CNA,
DNA methylation, RNAseq, and miRNA) (iv) input features dimension, (v) sample size (after processing), and
(vi) the unit used for data values (e.g., beta value for DNA methylation). Here, CNV/CNA means copy number
variation/alteration, mRNA means gene expression array, DNA methylation means methylation of CPG
islands, and RNAseq means gene expression by RNAseq. We have downloaded four mono-omics TCGA datasets
from UCSC Xena data portal39,
one for mRNA, CNV/CNA and RNAseq, and two for DNA methylation.
All the mono-omics datasets except the second DNA methylation dataset are from the TCGA Ovarian Cancer
(OV) cohort40–
43. The second DNA methylation dataset is from GDC TCGA Ovarian Cancer (OV) cohort44.
It
includes cancer and normal samples. We have concatenated these mono-omics data to form the di-omics and
tri-omics datasets. The table’s ’Feature dimension’ and ’Sample size’ columns demonstrate that all the datasets
are imbalanced with too many input features and relatively too few numbers of samples with clinical labels. For
example, one tri-omics (CNV + DNA methylation + RNAseq) dataset has 72,885 input features with only 292
samples.
</t>
  </si>
  <si>
    <t>The results show that MMD-VAE and VAE-based compressed features can respectively
classify the transcriptional subtypes of the TCGA datasets with an accuracy in the range of 93.2-95.5%
and 87.1-95.7%. |#&gt; We used mono-omics and multi-omics (i.e., di- and tri-omics) data for the study. We generated
multi-omics data using different combinations of high dimensional mono-omics data. Table 1 summarises
the datasets used in this study in terms of their key features (i) omic-count (mono/di/tri), (ii) omic type
(e.g.,genomics, epigenomics, transcriptomics, and their combinations) (iii) omic data (i.e., mRNA, CNV/CNA,
DNA methylation, RNAseq, and miRNA) (iv) input features dimension, (v) sample size (after processing), and
(vi) the unit used for data values (e.g., beta value for DNA methylation). Here, CNV/CNA means copy number
variation/alteration, mRNA means gene expression array, DNA methylation means methylation of CPG
islands, and RNAseq means gene expression by RNAseq. We have downloaded four mono-omics TCGA datasets
from UCSC Xena data portal39,
one for mRNA, CNV/CNA and RNAseq, and two for DNA methylation.
All the mono-omics datasets except the second DNA methylation dataset are from the TCGA Ovarian Cancer
(OV) cohort40–
43. The second DNA methylation dataset is from GDC TCGA Ovarian Cancer (OV) cohort44.
It
includes cancer and normal samples. We have concatenated these mono-omics data to form the di-omics and
tri-omics datasets. The table’s ’Feature dimension’ and ’Sample size’ columns demonstrate that all the datasets
are imbalanced with too many input features and relatively too few numbers of samples with clinical labels. For
example, one tri-omics (CNV + DNA methylation + RNAseq) dataset has 72,885 input features with only 292
samples.</t>
  </si>
  <si>
    <t>Then we used
the architecture for mono-omics, integrated di-omics and tri-omics data analysis of ovarian cancer
through cancer samples identification, molecular subtypes clustering and classification, and survival
analysis. |#&gt; The results show that MMD-VAE and VAE-based compressed features can respectively
classify the transcriptional subtypes of the TCGA datasets with an accuracy in the range of 93.2-95.5%
and 87.1-95.7%. Also, survival analysis results show that VAE and MMD-VAE based compressed
representation of omics data can be used in cancer prognosis. |#&gt; In this work, we did an integrated multi-omics analysis of ovarian cancer using VAE and MMD-VAE36. To the
best of our knowledge, this is the first work that does a comprehensive mono-omics and integrated multi-omics
(i.e., di- and tri-omics) analysis of individual cancer (ovarian) using VAE or MMD-VAE, or both. The objectives
of this work are three-fold. First, we have designed and developed a DL architecture of VAE and MMD-VAE that
supports unsupervised and supervised learning of latent features from mono-omics, di-omics and tri-omics data.
Second, we did a dimensionality reduction performance analysis of the developed DL architecture on ovarian
cancer by cancer samples identification, molecular subtypes clustering and classification. As a dimensionality
reduction technique, the performance of MMD-VAE or VAE depends on input features and sample size, not on
the cancer type. Hence, we have tested the developed MMD-VAE and VAE using datasets with three different
sample sizes (i.e., 292, 459 and 481) to demonstrate our findings’ robustness. Finally, a survival analysis of an
existing ovarian cancer dataset has been carried out using the reduced or latent features sets. |#&gt; We used the developed DL architecture of VAE/MMD-VAE for cancer samples identification, molecular subtypes
clustering and classification, and survival analysis using the TCGA ovarian cancer datasets.</t>
  </si>
  <si>
    <t>Maximum Mean Discrepancy VAE
(MMD-VAE)</t>
  </si>
  <si>
    <t>omic-count (mono/di/tri), mRNA, CNV/CNA, DNA methylation, RNAseq, and miRNA</t>
  </si>
  <si>
    <t>ovarian cancer analysis and prognosis
through cancer samples identification, molecular subtypes clustering and classification, and survival
analysis.</t>
  </si>
  <si>
    <t>Cancer subtypes classification, prognosis</t>
  </si>
  <si>
    <t>survival analysis, cancer classification, cancer clustering, cancer samples identification</t>
  </si>
  <si>
    <t>In this study, we proposed a Graph Convolutional
Network (GCN) model to predict synergistic drug combinations in particular cancer cell lines.
Specifically, the GCN method used a convolutional neural network model to do heterogeneous graph embedding,
and thus solved a link prediction task. The graph in this study was a multimodal graph, which
was constructed by integrating the drug-drug combination, drug-protein interaction, and protein–protein
interaction networks. We found that the GCN model was able to correctly predict cell line-specific
synergistic drug combinations from a large heterogonous network. |#&gt; This study tried to develop GCN models to predict synergistic
drug combinations in cancer cell lines by performing
heterogeneous graph embedding from an integrated drug-drug combination, drug-protein interaction, and protein–protein interaction
network. |#&gt; In this study, we utilized the graph convolutional network
method to develop GCN models, which can predict synergistic drug
combinations for 39 cell lines derived from six major cancer types,
including breast, colon, lung, melanoma, ovarian, and prostate cancers.</t>
  </si>
  <si>
    <t>The graph in this study was a multimodal graph, which
was constructed by integrating the drug-drug combination, drug-protein interaction, and protein–protein
interaction networks. |#&gt; This study tried to develop GCN models to predict synergistic
drug combinations in cancer cell lines by performing
heterogeneous graph embedding from an integrated drug-drug combination, drug-protein interaction, and protein–protein interaction
network. |#&gt; Our study design is depicted in Fig. 1. The GCN model for synergistic
drug combination prediction was cell line-specific and
based on three different types of subnetworks: drug-drug synergy
(DDS) network, drug-target interaction (DTI) network, and protein–
protein interaction (PPI) network.</t>
  </si>
  <si>
    <t>Data from various sources
such as online databases and the published literature were collected
to build the three networks (Table 1). We obtained the
DDS data from O’Neil et al.’s study [4]. This study contains
23,052 drug-drug combinations with the corresponding Loewe
synergy scores tested across 38 drugs in 39 cell lines derived from
6 human cancer types. The measured Loewe synergy score for most
drug pairs in the O’neil et al.’s data ranges from _x0001_60 to 60. According
to the definition of the Loewe synergy score, any score greater
than 0 indicates the synergistic effect between the two drugs [16].
Drug pairs with a high synergy score indicate a highly synergistic
effect [7]. We used 30 as the threshold to define the positive and
negative samples as described in Preue et al.’s study [7]. Drug pairs
with a measured synergy score higher than 30 were considered as
positive (i.e., synergistic). Drug pairs with a measured score lower
than 30 and not reported were considered as negative (i.e., nonsynergistic).
In this way, we obtained 20,971 negative drug pairs
and 2,081 positive drug pairs.
The DTI data were extracted from the STITCH Version 5.0 database
[17], which provides voluminous interactions between chemical
compounds and target proteins. We obtained a total of
8,083,600 interactions between more than 500,000 compounds
and 8,900 proteins.
We collected the PPI data from two comprehensive open access
repositories, the STRING Version 11.0 database [18] and the Bio-
GRID Version 3.5.174 database [19]. Both the computationally predicted
and experimentally validated interactions were included,
resulting in a total of 719,402 interactions over 19,085 unique proteins.
We listed the total number of links extracted for each of the
three networks (DDS, DTI and PPI) in Table 1.
The three types of subnetworks were used to construct a
heterogenous network interactively. This final heterogeneous network
is the intersection of the heterogenous entities (i.e., proteins
and drugs), and has their links from the three subnetworks [15].
The exact number of entries from DDS, DTIs and PPIs are also
shown in Table 1. The entry number is the total statistics mapped
in all 39 cell lines. Cell line specific networks were constructed by
focusing on the links in a given cell line (Fig. 2). The construction
process is as follows: the DDS samples were binarized using a synergy
score of 30 as the cutoff and grouped by different cell lines.
For each cell line, we mapped the DDS data to the DTI data to find
the protein targets. We then mapped the DTI data to the PPI data to
add the protein–protein sub-network into the heterogeneous network.
The final cell line-specific heterogeneous network is the
maximum connected component after aforementioned operations.
As a result, 39 cell line-specific heterogeneous networks were
established.</t>
  </si>
  <si>
    <t>Graph convolutional network</t>
  </si>
  <si>
    <t>drug-drug synergy
(DDS) network, drug-target interaction (DTI) network, and protein–
protein interaction (PPI) network</t>
  </si>
  <si>
    <t>O’Neil dataset, STITCH, STRING, BioGRID</t>
  </si>
  <si>
    <t>O’Neil dataset, STITCH, STRING</t>
  </si>
  <si>
    <t>In this paper, we propose a novel SL prediction
method using Multi-view Graph Auto-Encoder (SLMGAE). We
consider the SL graph as the main view and the graphs from
other data sources (e.g., PPI, GO, etc.) as support views. Multiple
Graph Auto-Encoders (GAEs) are implemented to reconstruct
the graphs for different views. |#&gt; multi-view graph auto-encoder denoted as SLMGAE to integrate
various data sources for human SL prediction. First,
we model the SL data and the other data sources (e.g., PPI,
GO, etc.) as graphs. Second, we implement multiple Graph
Auto-Encoders (GAEs) to reconstruct these graphs. |#&gt; However, so far there
are no existing studies that use multi-view GNN to address the
SL prediction task.</t>
  </si>
  <si>
    <t>Given two proteins, we calculated their 
functional similarity using the method proposed by Wang et
al. [29]. |#&gt; As for the
support views, we adopted the same five data sources as Liany
et al. [?], including co-expression, mutual exclusivity scores,
pathway co-membership, protein complex co-membership and
PPI scores from the Hippie database [30]. |#&gt; To conduct independent validation experiments, we downloaded
the Gene Interactions (GIs) data [31] as our third SL
dataset, which was collected by CRISPR interference in 2
leukemia cancer cell lines “K562” and “Jurkat”. First, we
extracted the gene pairs with GI scores less than -3 as positive
SL pairs, while the gene pairs with GI scores close to 0 as
negative pairs. Second, we used the data from K562 as the
training set, and the data from Jurkat as the test data.</t>
  </si>
  <si>
    <t>Experimental results
on the SynLethDB dataset show that SLMGAE outperforms
state-of-the-arts |#&gt; Human SL data has recently been well curated in public
databases, such as BioGRID [12] and SynLethDB [13]. |#&gt; Data: We downloaded SynLethDB [13], the most comprehensive
up-to-date database for human SL interactions,
to evaluate the performance of our SLMGAE method. Syn-
LethDB contains 19,667 human SL pairs among 6,375 genes.
Therefore, the graph for this SL data is very sparse, with less
than 0.1% of the elements in its adjacency matrix are known
SL pairs. We also utilized various data sources as support
views in SLMGAE, including GO and PPI. |#&gt; For PPI data, we
downloaded the latest version of BioGRID [12]. We removed
the SL interactions from BioGRID and obtained a PPI graph
with 98,581 protein-protein interactions among 6,375 genes.</t>
  </si>
  <si>
    <t>We further design an attention
mechanism, which assigns different weights for support views,
to combine all the reconstructed graphs for SL prediction. |#&gt; Third, we
further design an attentive merging process to combine all
the reconstructed graphs for SL prediction. In particular, we
derive the overall loss for both graph reconstruction and SL
prediction and then train the SLMGAE model by minimizing
this loss. We summarize our contributions as follows.
_x000f_ We proposed a multi-view framework based on graph
neural networks (i.e., graph auto-encoder) for human SL
prediction.
_x000f_ We designed an attention mechanism to effectively integrate
the data from different views for SL prediction.</t>
  </si>
  <si>
    <t>gene pairs, co-expression, mutual exclusivity scores,
pathway co-membership, protein complex co-membership</t>
  </si>
  <si>
    <t>SynLethDB dataset, BioGRID, GO</t>
  </si>
  <si>
    <t>Synthetic lethality (SL) prediction</t>
  </si>
  <si>
    <t>SLMGAE, GAE</t>
  </si>
  <si>
    <t>GO</t>
  </si>
  <si>
    <t xml:space="preserve">In this study, we develop a Multi-view Multichannel Attention Graph Convolutional Network (MMGCN) to predict
potential miRNA–disease associations. Different from simple multisource information integration, MMGCN employs GCN
encoder to obtain the features of miRNA and disease in different similarity views, respectively |#&gt; In this study,we present a Multi-viewMultichannel Attention
Graph Convolutional Network named MMGCN for miRNA–
disease association prediction. First, we use the graph
convolutional network (GCN) to learn the multiview features
of miRNA and disease from their multiple similarity networks,
respectively. |#&gt; CNN combiner
Since multiple convolution kernels of CNN can help us learn
complex nonlinear relations in the feature of nodes, after
obtaining the multichannel features of miRNA, we utilize CNN
to extract features and generate the final miRNA embeddings
that integrate multiple view information. |#&gt; In this study, we propose a novel multiview-based graph
neural network approach MMGCN, for predicting potential
associations in miRNA–disease networks. </t>
  </si>
  <si>
    <t xml:space="preserve">Different from simple multisource information integration, MMGCN employs GCN
encoder to obtain the features of miRNA and disease in different similarity views, respectively |#&gt; First, we use the graph
convolutional network (GCN) to learn the multiview features
of miRNA and disease from their multiple similarity networks,
respectively. </t>
  </si>
  <si>
    <t>Known human miRNA–disease associations verified by
experimental evidences in literature are obtained from HMDD
v3.2 [40], which includes 35 547 associations between 1206 miRNAs and 894 diseases. The miRNA sequence information
is downloaded from miRBase Release 22 [41], which contains
1917 human miRNAs. The miRTarBase Release 8.0 [42] contains
502 652 pairs of miRNA–gene relationships, including 2599
miRNAs. As done in previous studies [34, 37], we merge multiple
miRNA transcripts with the same mature miRNA. Then we
intersect the datasets and obtain 905 disease-associated miRNAs
that have sequence information. The semantic trees of diseases
and disease–gene relations are downloaded from MESH (https://
www.nlm.nih.gov/mesh/) and DisGeNET v7.0 [43]. The two
databases contain 29 638 and 30 170 diseases, respectively. After
merging duplicates and removing the irregular data, we get
12 446 experimentally validated miRNA–disease associations
among 853 miRNAs and 591 diseases. The weighted gene–gene
association network is got from HumanNet v2 [36]. For miRNAs
and diseases we obtain above, there are 14 971 and 19 258 genes
associated with them, respectively.
Besides, to better evaluate the performance of the model, we
use the miR2disease database [44] to build a small multiview
network. MiR2disease contains 2925 experimentally validated
associations between 438 miRNAs and 174 diseases. We use
the same method as above to perform intersection and deduplication
of the datasets, and finally get 701 miRNA–disease
associations, including 193 miRNAs and 54 diseases.</t>
  </si>
  <si>
    <t>In this study, we develop a Multi-view Multichannel Attention Graph Convolutional Network (MMGCN) to predict
potential miRNA–disease associations. Different from simple multisource information integration, MMGCN employs GCN
encoder to obtain the features of miRNA and disease in different similarity views, respectively |#&gt; Finally, we regard the problem of disease-related miRNA identification
as a recommender task and use matrix completion to
predict potential miRNA–disease associations. |#&gt; In this study, we propose a novel multiview-based graph
neural network approach MMGCN, for predicting potential
associations in miRNA–disease networks. MMGCN can not only
effectively make use of known associations to predict potential
associations, but also adaptively extract useful information from
multiple similarity views to enhance prediction performance.</t>
  </si>
  <si>
    <t xml:space="preserve">Multi-view Multichannel Attention Graph Convolutional Network (MMGCN) </t>
  </si>
  <si>
    <t>miRNA and disease information</t>
  </si>
  <si>
    <t>miRBase, HMDD, MeSH, DisGeNET, HumanNet, miR2disease database</t>
  </si>
  <si>
    <t>miRNA disease associations prediction</t>
  </si>
  <si>
    <t>GNN, CNN</t>
  </si>
  <si>
    <t xml:space="preserve">Here, we present a novel multi-omics integrative
method named Multi-Omics Graph cOnvolutional NETworks (MOGONET) for biomedical
classification. |#&gt; We introduce MOGONET, a
supervised multi-omics integration framework for biomedical
classification tasks (Fig. 1). After preprocessing and feature preselection
to remove noise and redundant features, we first use
GCNs to learn the classification task with each omics data type
individually. Specifically, we construct a weighted sample similarity
network for each type of omics data using cosine similarity.
Taking the input of both the omics features and the corresponding
similarity network, a GCN is trained for each omics
data type to generate initial predictions of class label |#&gt; we propose MOGONET, a supervised
multi-omics integration method for biomedical classification
tasks based on deep multi-view learning, where we consider each
omics data type as a view of the samples. We utilized GCNs for
omics-specific learning and VCDN for multi-omics integration at
the high-level label space. </t>
  </si>
  <si>
    <t xml:space="preserve"> We demonstrate that MOGONET
outperforms other state-of-the-art supervised multi-omics integrative analysis approaches
from different biomedical classification applications using mRNA expression data, DNA
methylation data, and microRNA expression data.  |#&gt;  Only
samples with matched mRNA expression, DNA methylation, and
miRNA expression data were included in our study |#&gt; While we only utilized mRNA expression, DNA methylation,
and miRNA expression data for the multi-omics classification
tasks in this paper, both the omics-specific GCNs and the multiomics
integration component can be extended to accommodate
different or more types of data</t>
  </si>
  <si>
    <t xml:space="preserve">Datasets. To demonstrate the effectiveness of MOGONET, we
applied the proposed method on four different biomedical classification
tasks using four different datasets: ROSMAP for Alzheimer’s
Disease (AD) patients vs. normal control (NC)
classification, LGG for grade classification in low-grade glioma
(LGG), KIPAN for kidney cancer type classification, and BRCA
for breast invasive carcinoma (BRCA) PAM50 subtype classification.
Three types of omics data (i.e., mRNA expression data (mRNA), DNA methylation data (meth), and miRNA expression
data (miRNA)) were used for classification to provide comprehensive
and complementary information on the diseases. Only
samples with matched mRNA expression, DNA methylation, and
miRNA expression data were included in our study. The details of
the datasets are listed in Table 1. Since noise redundant features
may affect the performance of classification tasks, preprocessing
and feature preselection were performed on each omics data type
individually, and the number of features used for training was
also listed in Table 1.
Omics data of LGG, KIPAN, and BRCA, as well as the grade
information of LGG patients, were acquired from The Cancer
Genome Atlas Program (TCGA) through Broad GDAC Firehose. |#&gt; However, thanks to the rapid development of
omics technologies and personalized medicine, as well as large
consortium studies such as TCGA and ROSMAP, labeled omics
datasets with detailed annotations are becoming available at an
unprecedented volume and speed. Therefore, it has become more
and more important to take advantage of these labeled omics data
to better predict essential phenotypes or traits (e.g., disease
diagnosis, grading of tumors, and cancer subtypes) on new
samples. |#&gt; Data availability
The ROSMAP dataset was obtained from AMP-AD Knowledge Portal (https://
adknowledgeportal.synapse.org/). Omics data of LGG, KIPAN, and BRCA, as well as the
grade information of LGG patients, were obtained from The Cancer Genome Atlas
Program (TCGA) through Broad GDAC Firehose (https://gdac.broadinstitute.org/).
PAM50 breast cancer subtypes of TCGA BRCA patients were obtained through the
TCGAbiolinks R package (v2.12.6, http://bioconductor.org/packages/release/bioc/html/
TCGAbiolinks.html). Source data are provided with this paper.
</t>
  </si>
  <si>
    <t>MOGONET jointly explores omics-specific learning and cross-omics correlation
learning for effective multi-omics data classification. We demonstrate that MOGONET
outperforms other state-of-the-art supervised multi-omics integrative analysis approaches
from different biomedical classification applications using mRNA expression data, DNA
methylation data, and microRNA expression data. Furthermore, MOGONET can identify
important biomarkers from different omics data types related to the investigated biomedical
problems. |#&gt; To this end, we introduce MOGONET, a multi-omics data
analysis framework for classification tasks in biomedical
applications. MOGONET unifies omics-specific learning with
multi-omics integrative classification at the label space. |#&gt; MOGONET also effectively identified
meaningful potential biomarkers in each omics data type that
showed a strong association with the diseases. To summarize,
MOGONET is an innovative deep learning-based multi-omics
classification algorithm with both superior performance and good
interpretability |#&gt; Identifying important biomarkers with MOGONET. Identifying biomarkers is
essential for interpreting the results and understanding the underlying biology in
biomedical applications. Over the years, there have been extensive studies on
determining the importance of features for NN. Since the input of MOGONET is
scaled to [0, 1] during preprocessing, we can remove the signal from a feature by
setting it to zero. Therefore, the importance of a feature to the classification task
can be measured by the performance decrease after the feature is removed.</t>
  </si>
  <si>
    <t>Multi-Omics Graph cOnvolutional NETworks (MOGONET)</t>
  </si>
  <si>
    <t>mRNA expression data, DNA
methylation data, and microRNA expression data</t>
  </si>
  <si>
    <t>ROSMAP, LGG, KIPAN, and BRCA from TCGA</t>
  </si>
  <si>
    <t>Multi-omics data classification, biomarkers identification</t>
  </si>
  <si>
    <t>MOGONET, GNN</t>
  </si>
  <si>
    <t>TCGA, ROSMAP</t>
  </si>
  <si>
    <t>Multi-omics data classification</t>
  </si>
  <si>
    <t>Capitalizing on the success of CapsNet in biomedical domains, we propose a
novel model for lung tumor malignancy prediction. The proposed framework, referred to as the 3D
Multi-scale Capsule Network (3D-MCN), is uniquely designed to benefit from: (i) 3D inputs, providing
information about the nodule in 3D; (ii) Multi-scale input, capturing the nodule’s local features, as
well as the characteristics of the surrounding tissues, and; (iii) CapsNet-based design, being capable of
dealing with a small number of training samples. |#&gt; Capitalizing on the success of CapsNets for brain tumor-type classification and
the importance of lung cancer malignancy prediction, we propose in this paper a novel and advanced CapsNet
architecture designed specifically for lung malignancy prediction based on computed tomography (CT). The
proposed 3D multi-scale CapsNet (3D—MCN) model takes 3D patches of the nodules at three different scales as
inputs and predicts the nodule’s malignancy</t>
  </si>
  <si>
    <t xml:space="preserve">This dataset consisted of the
CT scans of 1018 subjects. |#&gt; on four
hand-crafted features; namely volume, diameter, center-of-mass x coordinate, and center-of-mass y coordinate. |#&gt; For each nodule, we extracted three different 3D patches around the nodule center, where 3D patch refers
to extracting one patch from the central slice, and two from the two immediate neighbors. Each 3D patch was
extracted at three different scales.
</t>
  </si>
  <si>
    <t>when tested on the LIDC-IDRI dataset. |#&gt; We performed several experiments on two independent training and test sets from the Lung Image Database
Consortium (LIDC) and Image Database Resource Initiative (IDRI) dataset |#&gt; Dataset description. The LIDC-IDRI is a collection of 1018 CT scans from 1010 patients.</t>
  </si>
  <si>
    <t>Capitalizing on the success of CapsNet in biomedical domains, we propose a
novel model for lung tumor malignancy prediction. |#&gt; Capitalizing on the success of CapsNets for brain tumor-type classification and
the importance of lung cancer malignancy prediction, we propose in this paper a novel and advanced CapsNet
architecture designed specifically for lung malignancy prediction based on computed tomography (CT). The
proposed 3D multi-scale CapsNet (3D—MCN) model takes 3D patches of the nodules at three different scales as
inputs and predicts the nodule’s malignancy |#&gt; In this paper, we presented our work on lung nodule malignancy prediction based on a 3D multi-scale capsule
network.</t>
  </si>
  <si>
    <t>3D
Multi-scale Capsule Network (3D-MCN)</t>
  </si>
  <si>
    <t xml:space="preserve">CT 3D pathes, hand-crafted features; namely volume, diameter, center-of-mass x coordinate, and center-of-mass y coordinate
</t>
  </si>
  <si>
    <t>LIDC-IDRI dataset</t>
  </si>
  <si>
    <t>3D-MCN</t>
  </si>
  <si>
    <t>We propose a deep learning method for the discovery of breast
cancer-related genes by using Capsule Network based Modeling of Multi-omics Data (CapsNetMMD). In CapsNetMMD, we make
use of known breast cancer-related genes to transform the issue of gene identification into the issue of supervised classification. |#&gt; In this study, we propose a deep learning method for the
discovery of breast cancer-related genes by using Capsule
Network based Modeling of Multi-omics Data (CapsNetMMD).
Capsule network is a novel network structure,
which is first put forward in the field of image recognition
[22]. |#&gt; We present a deep learning method named CapsNetMMDto
identify breast cancer-related genes by modeling multi-omics
data based on capsule network.</t>
  </si>
  <si>
    <t xml:space="preserve">The features of genes are generated through comprehensive integration of multi-omics data, e.g., mRNA expression, z scores for
mRNA expression, DNA methylation, and two forms of DNA copy-number alterations (CNAs). |#&gt; In CapsNetMMD,
multi-omics data, e.g., mRNA expression, z scores for
mRNA expression, DNA methylation and two forms of
DNA copy-number alterations (CNAs) are fully integrated
to generate feature matrixes of genes. |#&gt; Specifically, we download the data of breast cancer
including mRNA expression, DNA methylation and
CNA from an open platform: |#&gt; In this study, we integrate
multi-omics data of breast cancer from TCGA database to
generate the feature matrix of genes, which include mRNA
expression, z scores for mRNAexpression, DNAmethylation
and two forms of CNAs. </t>
  </si>
  <si>
    <t>Multi-omics Data for Breast Cancer |#&gt; Specifically, we download the data of breast cancer
including mRNA expression, DNA methylation and
CNA from an open platform: The cBioPortal for Cancer
Genomics (http://cbioportal.org) [23], [24], which makes
large-scale raw data provided by TCGA more directly
and easily available to researchers.
The multi-omics data utilized in this study are derived from
TCGA project, which produces tremendous data of cancer
genomics. |#&gt; To extract known genes related to breast cancer, we resort to
a public platform named DisGeNET (http://www.disgenet.
org), which collects one of the largest amount of genes and
variants that related to human diseases based on scientific
literature, GWAS catalogues, expert curated repositories
and animal models [26], [27]. |#&gt; In this study, we integrate
multi-omics data of breast cancer from TCGA database to
generate the feature matrix of genes, which include mRNA
expression, z scores for mRNAexpression,DNAmethylation
and two forms of CNAs.</t>
  </si>
  <si>
    <t>We propose a deep learning method for the discovery of breast
cancer-related genes by using Capsule Network based Modeling of Multi-omics Data (CapsNetMMD). In CapsNetMMD, we make
use of known breast cancer-related genes to transform the issue of gene identification into the issue of supervised classification. |#&gt; Then known breast
cancer-related genes are incorporated to transform the issue
of gene identification into the issue of supervised classification.</t>
  </si>
  <si>
    <t>Capsule Network based Modeling of Multi-omics Data (CapsNetMMD)</t>
  </si>
  <si>
    <t>TCGA, cBioPortal, DisGeNET</t>
  </si>
  <si>
    <t>breast cancer related genes discovery</t>
  </si>
  <si>
    <t>In this study, we introduce
omicsGAN, a generative adversarial network model to integrate two omics data and their interaction network |#&gt; In this study, we propose a biologically motivated deep learningbased
model, omicsGAN, to predict disease phenotype by integrating
two omics data and the interaction between them (e.g. mRNA
expression, miRNA expression and miRNA–mRNA interaction network).
The proposed model introduces a generative adversarial
method to generate a new enriched feature set for each omics data
combining information from the other omics dataset and the interaction
network resulting in a better prediction.</t>
  </si>
  <si>
    <t xml:space="preserve">two omics data (e.g. mRNA and microRNA expression data)
and their interaction network (e.g. microRNA-mRNA interaction network) |#&gt; In this study, we propose a biologically motivated deep learningbased
model, omicsGAN, to predict disease phenotype by integrating
two omics data and the interaction between them (e.g. mRNA
expression, miRNA expression and miRNA–mRNA interaction network). |#&gt; In
this section, we used miRNA, mRNA and miRNA–mRNA interaction
network for illustrative purposes.
</t>
  </si>
  <si>
    <t>Large-scale experiments on The Cancer Genome Atlas breast cancer, lung cancer and ovarian cancer datasets |#&gt; The proposed framework, omicsGAN, was tested on TCGA breast
invasive carcinoma (BRCA), lung adenocarcinoma (LUAD) and
ovarian serous cystadenocarcinoma (OV) datasets (The Cancer
Genome Atlas Network et al., 2012, The Cancer Genome Atlas
Research Network et al., 2011, 2014). The RNA-seq mRNA expression
and miRNA expression datasets of each cancer type were downloaded
from UCSC Xena Hub (Goldman et al., 2020). For the
mRNA expression, the log 2ðx þ 1Þ transformed RSEM normalized
count with 20 531 genes was used and for the miRNA expression,
the log 2ðx þ 1Þ transformed RPM value with 2166 miRNAs was
used in this study. The clinical information of the three cancer studies
was downloaded from cBioPortal (Gao et al., 2013). In breast
cancer study, we classify the cancer patients based on estrogen receptor
(ERþ versus ER-) and triple negative (TNþ versus TN-) status.
Triple negative breast cancer patients test negative for all three
receptors that are commonly found in breast cancer: estrogen receptors,
progesterone receptors and excess HER2 protein. For lung cancer
and ovarian cancer studies, we classify the patients based on
their survival time.
The miRNA–mRNA interaction network was obtained from
TargetScanHuman (Agarwal et al., 2015). TargetScanHuman reports
effective miRNA–mRNA interactions with contextþþ model, thereby
providing valuable gene-regulatory networks with the miRNA
involved. miRNA can bind to mRNA to cause more rapid degradation
of the mRNA molecule, therefore reducing the amount of protein
translated from that mRNA.
validate that</t>
  </si>
  <si>
    <t>The synthetic omics data generated by the
proposed model has a better performance on cancer outcome classification and patients survival prediction compared
to original omics datasets. |#&gt; In this study, we propose a biologically motivated deep learning based
model, omicsGAN, to predict disease phenotype by integrating |#&gt; for generating synthetic omics data for disease outcome
prediction using multi-omics data |#&gt; We observed that the synthetic data generated
from omicsGAN has better discriminative power on cancer outcome
classification and cancer patients survival prediction compared to
the original omics datasets.</t>
  </si>
  <si>
    <t>omicsGAN, a generative adversial network</t>
  </si>
  <si>
    <t>two omics data (e.g. mRNA and microRNA expression data)
and their interaction network (e.g. microRNA-mRNA interaction network)</t>
  </si>
  <si>
    <t>The Cancer Genome Atlas breast cancer, lung cancer and ovarian cancer datasets; TargetScanHuman</t>
  </si>
  <si>
    <t xml:space="preserve">cancer outcome classification, patients survival prediction, generating syntetic omics data </t>
  </si>
  <si>
    <t>OmicsGAN</t>
  </si>
  <si>
    <t>patients survival prediction, generating syntetic omics data</t>
  </si>
  <si>
    <t>Cohens Kappa</t>
  </si>
  <si>
    <t>Criterion</t>
  </si>
  <si>
    <t>Question for Annotator</t>
  </si>
  <si>
    <t>Yes Means</t>
  </si>
  <si>
    <t>No Means</t>
  </si>
  <si>
    <t>Is the extracted information factually correct based only on the source document?</t>
  </si>
  <si>
    <t>Information matches what is stated in the source.</t>
  </si>
  <si>
    <t>Information contradicts or misrepresents the source.</t>
  </si>
  <si>
    <t>Does the extracted answer contain any information not present in or supported by the source document?</t>
  </si>
  <si>
    <t>Answer includes fabricated, inferred, or non-existent information (even if plausible).</t>
  </si>
  <si>
    <t>All content can be directly traced back to the source.</t>
  </si>
  <si>
    <t>Does the extracted answer capture all key information from the source that is relevant to the query?</t>
  </si>
  <si>
    <t>All important and relevant details are included.</t>
  </si>
  <si>
    <t>It is missing important relevant information mentioned in the source.</t>
  </si>
  <si>
    <t>Is the extracted information directly relevant to and focused on the query topic?</t>
  </si>
  <si>
    <t>Information directly and fully addresses the query.</t>
  </si>
  <si>
    <t>Information is off-topic, vague, or only tangentially related.</t>
  </si>
  <si>
    <t>Does the extracted answer contain unnecessary details, speculations, or information not requested by the query?</t>
  </si>
  <si>
    <t>Answer is bloated with irrelevant content.</t>
  </si>
  <si>
    <t>Answer is concise and strictly to-the-point.</t>
  </si>
  <si>
    <t>Can the extracted information be clearly traced back to specific parts of the source document?</t>
  </si>
  <si>
    <t>Information can be pinpointed to a specific location in the source.</t>
  </si>
  <si>
    <t>Source location is unclear or untraceable.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</si>
</sst>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0.0"/>
      <color theme="1"/>
      <name val="Arial"/>
      <scheme val="minor"/>
    </font>
    <font>
      <color theme="1"/>
      <name val="Arial"/>
      <scheme val="minor"/>
    </font>
    <font>
      <color theme="1"/>
      <name val="Arial"/>
    </font>
    <font>
      <b/>
      <color rgb="FF000000"/>
      <name val="Helvetica Neue"/>
    </font>
    <font>
      <color rgb="FF000000"/>
      <name val="Helvetica Neue"/>
    </font>
    <font/>
    <font>
      <sz val="11.0"/>
      <color theme="1"/>
      <name val="Calibri"/>
    </font>
    <font>
      <color theme="1"/>
      <name val="&quot;Google Sans Mono&quot;"/>
    </font>
    <font>
      <sz val="11.0"/>
      <color rgb="FF1F1F1F"/>
      <name val="&quot;Google Sans&quot;"/>
    </font>
  </fonts>
  <fills count="16">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
      <patternFill patternType="solid">
        <fgColor rgb="FFB0B3B2"/>
        <bgColor rgb="FFB0B3B2"/>
      </patternFill>
    </fill>
    <fill>
      <patternFill patternType="solid">
        <fgColor rgb="FFFF0000"/>
        <bgColor rgb="FFFF0000"/>
      </patternFill>
    </fill>
    <fill>
      <patternFill patternType="solid">
        <fgColor rgb="FFFF9900"/>
        <bgColor rgb="FFFF9900"/>
      </patternFill>
    </fill>
    <fill>
      <patternFill patternType="solid">
        <fgColor rgb="FF00FF00"/>
        <bgColor rgb="FF00FF00"/>
      </patternFill>
    </fill>
    <fill>
      <patternFill patternType="solid">
        <fgColor rgb="FF4A86E8"/>
        <bgColor rgb="FF4A86E8"/>
      </patternFill>
    </fill>
    <fill>
      <patternFill patternType="solid">
        <fgColor rgb="FFFF00FF"/>
        <bgColor rgb="FFFF00FF"/>
      </patternFill>
    </fill>
    <fill>
      <patternFill patternType="solid">
        <fgColor rgb="FFD4D4D4"/>
        <bgColor rgb="FFD4D4D4"/>
      </patternFill>
    </fill>
    <fill>
      <patternFill patternType="solid">
        <fgColor rgb="FFF4CCCC"/>
        <bgColor rgb="FFF4CCCC"/>
      </patternFill>
    </fill>
    <fill>
      <patternFill patternType="solid">
        <fgColor rgb="FFC9DAF8"/>
        <bgColor rgb="FFC9DAF8"/>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2" fontId="2" numFmtId="0" xfId="0" applyAlignment="1" applyFill="1" applyFont="1">
      <alignment horizontal="center" readingOrder="0" shrinkToFit="0" vertical="center" wrapText="1"/>
    </xf>
    <xf borderId="0" fillId="2" fontId="2" numFmtId="0" xfId="0" applyAlignment="1" applyFont="1">
      <alignment readingOrder="0" shrinkToFit="0"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3" fontId="2" numFmtId="0" xfId="0" applyAlignment="1" applyFill="1" applyFont="1">
      <alignment horizontal="center" readingOrder="0" shrinkToFit="0" vertical="center" wrapText="1"/>
    </xf>
    <xf borderId="0" fillId="3" fontId="2" numFmtId="0" xfId="0" applyAlignment="1" applyFont="1">
      <alignment readingOrder="0" shrinkToFit="0" wrapText="1"/>
    </xf>
    <xf borderId="0" fillId="3" fontId="2" numFmtId="0" xfId="0" applyAlignment="1" applyFont="1">
      <alignment readingOrder="0" shrinkToFit="0" vertical="center" wrapText="1"/>
    </xf>
    <xf borderId="0" fillId="3" fontId="2" numFmtId="0" xfId="0" applyFont="1"/>
    <xf borderId="0" fillId="0" fontId="2" numFmtId="0" xfId="0" applyAlignment="1" applyFont="1">
      <alignment readingOrder="0" shrinkToFit="0" vertical="center" wrapText="1"/>
    </xf>
    <xf borderId="0" fillId="0" fontId="2" numFmtId="0" xfId="0" applyAlignment="1" applyFont="1">
      <alignment readingOrder="0"/>
    </xf>
    <xf borderId="0" fillId="2"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3" fontId="3" numFmtId="0" xfId="0" applyAlignment="1" applyFont="1">
      <alignment horizontal="left" shrinkToFit="0" vertical="center" wrapText="1"/>
    </xf>
    <xf borderId="0" fillId="0" fontId="3" numFmtId="0" xfId="0" applyAlignment="1" applyFont="1">
      <alignment horizontal="left"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xf>
    <xf borderId="0" fillId="4" fontId="2" numFmtId="0" xfId="0" applyAlignment="1" applyFill="1" applyFont="1">
      <alignment horizontal="center" readingOrder="0" vertical="center"/>
    </xf>
    <xf borderId="0" fillId="4" fontId="2" numFmtId="0" xfId="0" applyAlignment="1" applyFont="1">
      <alignment readingOrder="0"/>
    </xf>
    <xf borderId="0" fillId="4" fontId="2" numFmtId="0" xfId="0" applyFont="1"/>
    <xf borderId="0" fillId="4" fontId="2" numFmtId="0" xfId="0" applyAlignment="1" applyFont="1">
      <alignment readingOrder="0" shrinkToFit="0" wrapText="1"/>
    </xf>
    <xf borderId="0" fillId="0" fontId="2" numFmtId="0" xfId="0" applyAlignment="1" applyFont="1">
      <alignment horizontal="center" readingOrder="0" shrinkToFit="0" vertical="center" wrapText="1"/>
    </xf>
    <xf borderId="0" fillId="4"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wrapText="0"/>
    </xf>
    <xf borderId="0" fillId="0" fontId="2" numFmtId="0" xfId="0" applyAlignment="1" applyFont="1">
      <alignment shrinkToFit="0" wrapText="0"/>
    </xf>
    <xf borderId="0" fillId="5" fontId="2" numFmtId="0" xfId="0" applyAlignment="1" applyFill="1" applyFont="1">
      <alignment readingOrder="0" shrinkToFit="0" vertical="center" wrapText="0"/>
    </xf>
    <xf borderId="0" fillId="5" fontId="2" numFmtId="0" xfId="0" applyAlignment="1" applyFont="1">
      <alignment readingOrder="0" shrinkToFit="0" wrapText="0"/>
    </xf>
    <xf borderId="0" fillId="5" fontId="2" numFmtId="0" xfId="0" applyAlignment="1" applyFont="1">
      <alignment shrinkToFit="0" wrapText="0"/>
    </xf>
    <xf borderId="1" fillId="6" fontId="4" numFmtId="0" xfId="0" applyAlignment="1" applyBorder="1" applyFill="1" applyFont="1">
      <alignment readingOrder="0" shrinkToFit="0" vertical="top" wrapText="1"/>
    </xf>
    <xf borderId="1" fillId="7" fontId="4" numFmtId="0" xfId="0" applyAlignment="1" applyBorder="1" applyFill="1" applyFont="1">
      <alignment readingOrder="0" shrinkToFit="0" vertical="top" wrapText="1"/>
    </xf>
    <xf borderId="1" fillId="8" fontId="4" numFmtId="0" xfId="0" applyAlignment="1" applyBorder="1" applyFill="1" applyFont="1">
      <alignment readingOrder="0" shrinkToFit="0" vertical="top" wrapText="1"/>
    </xf>
    <xf borderId="1" fillId="9" fontId="4" numFmtId="0" xfId="0" applyAlignment="1" applyBorder="1" applyFill="1" applyFont="1">
      <alignment readingOrder="0" shrinkToFit="0" vertical="top" wrapText="1"/>
    </xf>
    <xf borderId="1" fillId="10" fontId="4" numFmtId="0" xfId="0" applyAlignment="1" applyBorder="1" applyFill="1" applyFont="1">
      <alignment readingOrder="0" shrinkToFit="0" vertical="top" wrapText="1"/>
    </xf>
    <xf borderId="1" fillId="11" fontId="4" numFmtId="0" xfId="0" applyAlignment="1" applyBorder="1" applyFill="1" applyFont="1">
      <alignment readingOrder="0" shrinkToFit="0" vertical="top" wrapText="1"/>
    </xf>
    <xf borderId="1" fillId="12" fontId="4" numFmtId="0" xfId="0" applyAlignment="1" applyBorder="1" applyFill="1" applyFont="1">
      <alignment readingOrder="0" shrinkToFit="0" vertical="top" wrapText="1"/>
    </xf>
    <xf borderId="1" fillId="0" fontId="5" numFmtId="0" xfId="0" applyAlignment="1" applyBorder="1" applyFont="1">
      <alignment readingOrder="0" shrinkToFit="0" vertical="top" wrapText="1"/>
    </xf>
    <xf borderId="1" fillId="7" fontId="5" numFmtId="0" xfId="0" applyAlignment="1" applyBorder="1" applyFont="1">
      <alignment readingOrder="0" shrinkToFit="0" vertical="top" wrapText="1"/>
    </xf>
    <xf borderId="1" fillId="8" fontId="5" numFmtId="0" xfId="0" applyAlignment="1" applyBorder="1" applyFont="1">
      <alignment readingOrder="0" shrinkToFit="0" vertical="top" wrapText="1"/>
    </xf>
    <xf borderId="1" fillId="9" fontId="5" numFmtId="0" xfId="0" applyAlignment="1" applyBorder="1" applyFont="1">
      <alignment readingOrder="0" shrinkToFit="0" vertical="top" wrapText="1"/>
    </xf>
    <xf borderId="1" fillId="10" fontId="5" numFmtId="0" xfId="0" applyAlignment="1" applyBorder="1" applyFont="1">
      <alignment readingOrder="0" shrinkToFit="0" vertical="top" wrapText="1"/>
    </xf>
    <xf borderId="1" fillId="11" fontId="5" numFmtId="0" xfId="0" applyAlignment="1" applyBorder="1" applyFont="1">
      <alignment readingOrder="0" shrinkToFit="0" vertical="top" wrapText="1"/>
    </xf>
    <xf borderId="1" fillId="2" fontId="5" numFmtId="0" xfId="0" applyAlignment="1" applyBorder="1" applyFont="1">
      <alignment readingOrder="0" shrinkToFit="0" vertical="top" wrapText="1"/>
    </xf>
    <xf borderId="1" fillId="5" fontId="4" numFmtId="0" xfId="0" applyAlignment="1" applyBorder="1" applyFont="1">
      <alignment readingOrder="0" shrinkToFit="0" vertical="top" wrapText="1"/>
    </xf>
    <xf borderId="1" fillId="5" fontId="5" numFmtId="0" xfId="0" applyAlignment="1" applyBorder="1" applyFont="1">
      <alignment readingOrder="0" shrinkToFit="0" vertical="top" wrapText="1"/>
    </xf>
    <xf borderId="1" fillId="13" fontId="4" numFmtId="0" xfId="0" applyAlignment="1" applyBorder="1" applyFill="1" applyFont="1">
      <alignment readingOrder="0" shrinkToFit="0" vertical="top" wrapText="1"/>
    </xf>
    <xf borderId="1" fillId="13" fontId="5" numFmtId="0" xfId="0" applyAlignment="1" applyBorder="1" applyFont="1">
      <alignment readingOrder="0" shrinkToFit="0" vertical="top" wrapText="1"/>
    </xf>
    <xf borderId="0" fillId="9" fontId="2" numFmtId="0" xfId="0" applyAlignment="1" applyFont="1">
      <alignment readingOrder="0" shrinkToFit="0" vertical="center" wrapText="1"/>
    </xf>
    <xf borderId="0" fillId="7" fontId="2" numFmtId="0" xfId="0" applyAlignment="1" applyFont="1">
      <alignment readingOrder="0" shrinkToFit="0" vertical="center" wrapText="1"/>
    </xf>
    <xf borderId="0" fillId="11" fontId="2" numFmtId="0" xfId="0" applyAlignment="1" applyFont="1">
      <alignment readingOrder="0" shrinkToFit="0" vertical="center" wrapText="1"/>
    </xf>
    <xf borderId="0" fillId="8" fontId="2" numFmtId="0" xfId="0" applyAlignment="1" applyFont="1">
      <alignment readingOrder="0" shrinkToFit="0" vertical="center" wrapText="1"/>
    </xf>
    <xf borderId="0" fillId="10" fontId="2" numFmtId="0" xfId="0" applyAlignment="1" applyFont="1">
      <alignment readingOrder="0" shrinkToFit="0" vertical="center" wrapText="1"/>
    </xf>
    <xf borderId="2" fillId="5" fontId="2" numFmtId="0" xfId="0" applyAlignment="1" applyBorder="1" applyFont="1">
      <alignment readingOrder="0" shrinkToFit="0" wrapText="1"/>
    </xf>
    <xf borderId="3" fillId="0" fontId="6" numFmtId="0" xfId="0" applyBorder="1" applyFont="1"/>
    <xf borderId="0" fillId="5" fontId="2" numFmtId="0" xfId="0" applyAlignment="1" applyFont="1">
      <alignment readingOrder="0" shrinkToFit="0" wrapText="1"/>
    </xf>
    <xf borderId="2" fillId="14" fontId="2" numFmtId="0" xfId="0" applyAlignment="1" applyBorder="1" applyFill="1" applyFont="1">
      <alignment readingOrder="0" shrinkToFit="0" wrapText="1"/>
    </xf>
    <xf borderId="0" fillId="14" fontId="2" numFmtId="0" xfId="0" applyAlignment="1" applyFont="1">
      <alignment readingOrder="0" shrinkToFit="0" wrapText="1"/>
    </xf>
    <xf borderId="3" fillId="14" fontId="2" numFmtId="0" xfId="0" applyAlignment="1" applyBorder="1" applyFont="1">
      <alignment readingOrder="0" shrinkToFit="0" wrapText="1"/>
    </xf>
    <xf borderId="2" fillId="2" fontId="2" numFmtId="0" xfId="0" applyAlignment="1" applyBorder="1" applyFont="1">
      <alignment readingOrder="0" shrinkToFit="0" wrapText="1"/>
    </xf>
    <xf borderId="3" fillId="2" fontId="2" numFmtId="0" xfId="0" applyAlignment="1" applyBorder="1" applyFont="1">
      <alignment shrinkToFit="0" wrapText="1"/>
    </xf>
    <xf borderId="0" fillId="0" fontId="2" numFmtId="0" xfId="0" applyFont="1"/>
    <xf borderId="4" fillId="2" fontId="2" numFmtId="0" xfId="0" applyAlignment="1" applyBorder="1" applyFont="1">
      <alignment readingOrder="0" shrinkToFit="0" wrapText="1"/>
    </xf>
    <xf borderId="5" fillId="2" fontId="2" numFmtId="0" xfId="0" applyAlignment="1" applyBorder="1" applyFont="1">
      <alignment readingOrder="0" shrinkToFit="0" wrapText="1"/>
    </xf>
    <xf borderId="6" fillId="2" fontId="2" numFmtId="0" xfId="0" applyAlignment="1" applyBorder="1" applyFont="1">
      <alignment shrinkToFit="0" wrapText="1"/>
    </xf>
    <xf borderId="2" fillId="5" fontId="2" numFmtId="0" xfId="0" applyAlignment="1" applyBorder="1" applyFont="1">
      <alignment readingOrder="0" shrinkToFit="0" vertical="center" wrapText="1"/>
    </xf>
    <xf borderId="2" fillId="2" fontId="2" numFmtId="0" xfId="0" applyAlignment="1" applyBorder="1" applyFont="1">
      <alignment readingOrder="0"/>
    </xf>
    <xf borderId="0" fillId="2" fontId="2" numFmtId="0" xfId="0" applyAlignment="1" applyFont="1">
      <alignment readingOrder="0"/>
    </xf>
    <xf borderId="4" fillId="2" fontId="2" numFmtId="0" xfId="0" applyAlignment="1" applyBorder="1" applyFont="1">
      <alignment readingOrder="0"/>
    </xf>
    <xf borderId="5" fillId="2" fontId="2" numFmtId="0" xfId="0" applyAlignment="1" applyBorder="1" applyFont="1">
      <alignment readingOrder="0"/>
    </xf>
    <xf borderId="0" fillId="0" fontId="2" numFmtId="0" xfId="0" applyAlignment="1" applyFont="1">
      <alignment readingOrder="0" vertical="center"/>
    </xf>
    <xf borderId="0" fillId="0" fontId="2" numFmtId="0" xfId="0" applyAlignment="1" applyFont="1">
      <alignment horizontal="center" readingOrder="0" vertical="center"/>
    </xf>
    <xf borderId="2" fillId="5" fontId="2" numFmtId="0" xfId="0" applyAlignment="1" applyBorder="1" applyFont="1">
      <alignment readingOrder="0"/>
    </xf>
    <xf borderId="7" fillId="0" fontId="2" numFmtId="0" xfId="0" applyAlignment="1" applyBorder="1" applyFont="1">
      <alignment readingOrder="0"/>
    </xf>
    <xf borderId="8" fillId="0" fontId="6" numFmtId="0" xfId="0" applyBorder="1" applyFont="1"/>
    <xf borderId="9" fillId="0" fontId="6" numFmtId="0" xfId="0" applyBorder="1" applyFont="1"/>
    <xf borderId="2" fillId="14" fontId="2" numFmtId="0" xfId="0" applyAlignment="1" applyBorder="1" applyFont="1">
      <alignment readingOrder="0"/>
    </xf>
    <xf borderId="0" fillId="14" fontId="2" numFmtId="0" xfId="0" applyAlignment="1" applyFont="1">
      <alignment readingOrder="0"/>
    </xf>
    <xf borderId="3" fillId="14" fontId="2" numFmtId="0" xfId="0" applyAlignment="1" applyBorder="1" applyFont="1">
      <alignment readingOrder="0"/>
    </xf>
    <xf borderId="2" fillId="0" fontId="2" numFmtId="0" xfId="0" applyBorder="1" applyFont="1"/>
    <xf borderId="3" fillId="2" fontId="2" numFmtId="0" xfId="0" applyBorder="1" applyFont="1"/>
    <xf borderId="2" fillId="2" fontId="2" numFmtId="0" xfId="0" applyAlignment="1" applyBorder="1" applyFont="1">
      <alignment readingOrder="0" shrinkToFit="0" vertical="center" wrapText="1"/>
    </xf>
    <xf borderId="3" fillId="0" fontId="2" numFmtId="0" xfId="0" applyBorder="1" applyFont="1"/>
    <xf borderId="0" fillId="2" fontId="2" numFmtId="0" xfId="0" applyAlignment="1" applyFont="1">
      <alignment readingOrder="0" vertical="center"/>
    </xf>
    <xf borderId="6" fillId="2" fontId="2" numFmtId="0" xfId="0" applyBorder="1" applyFont="1"/>
    <xf borderId="4" fillId="2" fontId="2" numFmtId="0" xfId="0" applyAlignment="1" applyBorder="1" applyFont="1">
      <alignment readingOrder="0" shrinkToFit="0" vertical="center" wrapText="1"/>
    </xf>
    <xf borderId="5" fillId="0" fontId="2" numFmtId="0" xfId="0" applyBorder="1" applyFont="1"/>
    <xf borderId="6" fillId="0" fontId="2" numFmtId="0" xfId="0" applyBorder="1" applyFont="1"/>
    <xf borderId="2" fillId="5" fontId="2" numFmtId="0" xfId="0" applyAlignment="1" applyBorder="1" applyFont="1">
      <alignment readingOrder="0" shrinkToFit="0" wrapText="0"/>
    </xf>
    <xf borderId="3" fillId="2" fontId="2" numFmtId="0" xfId="0" applyAlignment="1" applyBorder="1" applyFont="1">
      <alignment readingOrder="0"/>
    </xf>
    <xf borderId="6" fillId="2" fontId="2" numFmtId="0" xfId="0" applyAlignment="1" applyBorder="1" applyFont="1">
      <alignment readingOrder="0"/>
    </xf>
    <xf borderId="0" fillId="0" fontId="7"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vertical="bottom"/>
    </xf>
    <xf borderId="0" fillId="5" fontId="2" numFmtId="0" xfId="0" applyAlignment="1" applyFont="1">
      <alignment shrinkToFit="0" wrapText="1"/>
    </xf>
    <xf borderId="0" fillId="5" fontId="2" numFmtId="0" xfId="0" applyAlignment="1" applyFont="1">
      <alignment readingOrder="0"/>
    </xf>
    <xf borderId="0" fillId="0" fontId="3" numFmtId="0" xfId="0" applyAlignment="1" applyFont="1">
      <alignment vertical="bottom"/>
    </xf>
    <xf borderId="0" fillId="5" fontId="3" numFmtId="0" xfId="0" applyAlignment="1" applyFont="1">
      <alignment vertical="bottom"/>
    </xf>
    <xf borderId="0" fillId="5" fontId="3" numFmtId="0" xfId="0" applyAlignment="1" applyFont="1">
      <alignment readingOrder="0" vertical="bottom"/>
    </xf>
    <xf borderId="0" fillId="5" fontId="3" numFmtId="0" xfId="0" applyAlignment="1" applyFont="1">
      <alignment vertical="bottom"/>
    </xf>
    <xf borderId="0" fillId="5" fontId="2" numFmtId="0" xfId="0" applyFont="1"/>
    <xf borderId="0" fillId="9" fontId="3" numFmtId="0" xfId="0" applyAlignment="1" applyFont="1">
      <alignment vertical="bottom"/>
    </xf>
    <xf borderId="0" fillId="15" fontId="3" numFmtId="0" xfId="0" applyAlignment="1" applyFill="1" applyFont="1">
      <alignment vertical="bottom"/>
    </xf>
    <xf borderId="0" fillId="0" fontId="3" numFmtId="0" xfId="0" applyAlignment="1" applyFont="1">
      <alignment readingOrder="0" vertical="bottom"/>
    </xf>
    <xf borderId="0" fillId="9" fontId="3" numFmtId="0" xfId="0" applyAlignment="1" applyFont="1">
      <alignment vertical="bottom"/>
    </xf>
    <xf borderId="0" fillId="5" fontId="3" numFmtId="0" xfId="0" applyAlignment="1" applyFont="1">
      <alignment horizontal="right" vertical="bottom"/>
    </xf>
    <xf borderId="0" fillId="5" fontId="3" numFmtId="0" xfId="0" applyAlignment="1" applyFont="1">
      <alignment horizontal="right" readingOrder="0" vertical="bottom"/>
    </xf>
    <xf borderId="0" fillId="0" fontId="8" numFmtId="0" xfId="0" applyFont="1"/>
    <xf borderId="0" fillId="3" fontId="9" numFmtId="0" xfId="0" applyFont="1"/>
    <xf borderId="0" fillId="0" fontId="5" numFmtId="0" xfId="0" applyAlignment="1" applyFont="1">
      <alignment readingOrder="0" vertical="top"/>
    </xf>
    <xf borderId="0" fillId="0" fontId="5"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34.88"/>
    <col customWidth="1" min="3" max="3" width="53.75"/>
    <col customWidth="1" min="4" max="4" width="59.88"/>
    <col customWidth="1" min="5" max="5" width="56.63"/>
    <col customWidth="1" min="6" max="6" width="65.5"/>
    <col customWidth="1" min="7" max="7" width="83.5"/>
  </cols>
  <sheetData>
    <row r="1">
      <c r="A1" s="1" t="s">
        <v>0</v>
      </c>
      <c r="B1" s="2"/>
      <c r="C1" s="3"/>
      <c r="D1" s="3"/>
      <c r="E1" s="3"/>
      <c r="F1" s="3"/>
      <c r="G1" s="3"/>
    </row>
    <row r="2" ht="17.25" customHeight="1">
      <c r="A2" s="4" t="s">
        <v>1</v>
      </c>
      <c r="B2" s="5" t="s">
        <v>0</v>
      </c>
      <c r="C2" s="3"/>
      <c r="D2" s="3"/>
      <c r="E2" s="3"/>
      <c r="F2" s="3"/>
      <c r="G2" s="3"/>
    </row>
    <row r="3">
      <c r="A3" s="6" t="s">
        <v>2</v>
      </c>
      <c r="B3" s="7" t="s">
        <v>3</v>
      </c>
      <c r="C3" s="8" t="s">
        <v>4</v>
      </c>
      <c r="D3" s="8" t="s">
        <v>5</v>
      </c>
      <c r="E3" s="8" t="s">
        <v>6</v>
      </c>
      <c r="F3" s="8" t="s">
        <v>7</v>
      </c>
      <c r="G3" s="8" t="s">
        <v>8</v>
      </c>
    </row>
    <row r="4" ht="378.75" customHeight="1">
      <c r="B4" s="7" t="s">
        <v>9</v>
      </c>
      <c r="C4" s="8" t="s">
        <v>10</v>
      </c>
      <c r="D4" s="8" t="s">
        <v>11</v>
      </c>
      <c r="E4" s="8" t="s">
        <v>12</v>
      </c>
      <c r="F4" s="8" t="s">
        <v>13</v>
      </c>
      <c r="G4" s="8" t="s">
        <v>14</v>
      </c>
    </row>
    <row r="5">
      <c r="B5" s="7" t="s">
        <v>15</v>
      </c>
      <c r="C5" s="8" t="s">
        <v>16</v>
      </c>
      <c r="D5" s="8" t="s">
        <v>17</v>
      </c>
      <c r="E5" s="8" t="s">
        <v>18</v>
      </c>
      <c r="F5" s="8" t="s">
        <v>19</v>
      </c>
      <c r="G5" s="8" t="s">
        <v>20</v>
      </c>
    </row>
    <row r="6">
      <c r="B6" s="7" t="s">
        <v>21</v>
      </c>
      <c r="C6" s="8" t="s">
        <v>22</v>
      </c>
      <c r="D6" s="8" t="s">
        <v>23</v>
      </c>
      <c r="E6" s="8" t="s">
        <v>24</v>
      </c>
      <c r="F6" s="8" t="s">
        <v>23</v>
      </c>
      <c r="G6" s="8" t="s">
        <v>25</v>
      </c>
    </row>
    <row r="7">
      <c r="B7" s="7" t="s">
        <v>26</v>
      </c>
      <c r="C7" s="8" t="s">
        <v>27</v>
      </c>
      <c r="D7" s="8" t="s">
        <v>23</v>
      </c>
      <c r="E7" s="8" t="s">
        <v>18</v>
      </c>
      <c r="F7" s="8" t="s">
        <v>23</v>
      </c>
      <c r="G7" s="9"/>
    </row>
    <row r="8">
      <c r="B8" s="7" t="s">
        <v>28</v>
      </c>
      <c r="C8" s="8" t="s">
        <v>29</v>
      </c>
      <c r="D8" s="8" t="s">
        <v>23</v>
      </c>
      <c r="E8" s="8" t="s">
        <v>23</v>
      </c>
      <c r="F8" s="8" t="s">
        <v>23</v>
      </c>
      <c r="G8" s="9"/>
    </row>
    <row r="9">
      <c r="A9" s="10" t="s">
        <v>30</v>
      </c>
      <c r="B9" s="11" t="s">
        <v>3</v>
      </c>
      <c r="C9" s="12" t="s">
        <v>4</v>
      </c>
      <c r="D9" s="12" t="s">
        <v>5</v>
      </c>
      <c r="E9" s="12" t="s">
        <v>6</v>
      </c>
      <c r="F9" s="12" t="s">
        <v>7</v>
      </c>
      <c r="G9" s="12" t="s">
        <v>8</v>
      </c>
      <c r="H9" s="13"/>
      <c r="I9" s="13"/>
      <c r="J9" s="13"/>
      <c r="K9" s="13"/>
      <c r="L9" s="13"/>
      <c r="M9" s="13"/>
      <c r="N9" s="13"/>
      <c r="O9" s="13"/>
      <c r="P9" s="13"/>
      <c r="Q9" s="13"/>
      <c r="R9" s="13"/>
      <c r="S9" s="13"/>
      <c r="T9" s="13"/>
      <c r="U9" s="13"/>
      <c r="V9" s="13"/>
      <c r="W9" s="13"/>
      <c r="X9" s="13"/>
      <c r="Y9" s="13"/>
      <c r="Z9" s="13"/>
      <c r="AA9" s="13"/>
    </row>
    <row r="10" ht="162.0" customHeight="1">
      <c r="B10" s="5" t="s">
        <v>9</v>
      </c>
      <c r="C10" s="14" t="s">
        <v>31</v>
      </c>
      <c r="D10" s="5" t="s">
        <v>32</v>
      </c>
      <c r="E10" s="14" t="s">
        <v>33</v>
      </c>
      <c r="F10" s="5" t="s">
        <v>34</v>
      </c>
      <c r="G10" s="5" t="s">
        <v>35</v>
      </c>
    </row>
    <row r="11">
      <c r="B11" s="5" t="s">
        <v>15</v>
      </c>
      <c r="C11" s="14" t="s">
        <v>36</v>
      </c>
      <c r="D11" s="14" t="s">
        <v>37</v>
      </c>
      <c r="E11" s="14" t="s">
        <v>38</v>
      </c>
      <c r="F11" s="14" t="s">
        <v>39</v>
      </c>
      <c r="G11" s="14" t="s">
        <v>40</v>
      </c>
    </row>
    <row r="12">
      <c r="B12" s="5" t="s">
        <v>21</v>
      </c>
      <c r="C12" s="14" t="s">
        <v>22</v>
      </c>
      <c r="D12" s="14" t="s">
        <v>23</v>
      </c>
      <c r="E12" s="14" t="s">
        <v>24</v>
      </c>
      <c r="F12" s="14" t="s">
        <v>23</v>
      </c>
      <c r="G12" s="3"/>
    </row>
    <row r="13">
      <c r="B13" s="5" t="s">
        <v>26</v>
      </c>
      <c r="C13" s="14" t="s">
        <v>36</v>
      </c>
      <c r="D13" s="14" t="s">
        <v>23</v>
      </c>
      <c r="E13" s="14" t="s">
        <v>38</v>
      </c>
      <c r="F13" s="14" t="s">
        <v>23</v>
      </c>
      <c r="G13" s="3"/>
    </row>
    <row r="14">
      <c r="B14" s="5" t="s">
        <v>28</v>
      </c>
      <c r="C14" s="14" t="s">
        <v>23</v>
      </c>
      <c r="D14" s="14" t="s">
        <v>23</v>
      </c>
      <c r="E14" s="14" t="s">
        <v>23</v>
      </c>
      <c r="F14" s="14" t="s">
        <v>23</v>
      </c>
      <c r="G14" s="3"/>
    </row>
    <row r="15">
      <c r="A15" s="6" t="s">
        <v>41</v>
      </c>
      <c r="B15" s="7" t="s">
        <v>3</v>
      </c>
      <c r="C15" s="8" t="s">
        <v>4</v>
      </c>
      <c r="D15" s="8" t="s">
        <v>5</v>
      </c>
      <c r="E15" s="8" t="s">
        <v>6</v>
      </c>
      <c r="F15" s="8" t="s">
        <v>7</v>
      </c>
      <c r="G15" s="8" t="s">
        <v>8</v>
      </c>
    </row>
    <row r="16">
      <c r="B16" s="7" t="s">
        <v>9</v>
      </c>
      <c r="C16" s="8" t="s">
        <v>42</v>
      </c>
      <c r="D16" s="8" t="s">
        <v>43</v>
      </c>
      <c r="E16" s="8" t="s">
        <v>44</v>
      </c>
      <c r="F16" s="8" t="s">
        <v>45</v>
      </c>
      <c r="G16" s="8" t="s">
        <v>46</v>
      </c>
    </row>
    <row r="17">
      <c r="B17" s="7" t="s">
        <v>15</v>
      </c>
      <c r="C17" s="8" t="s">
        <v>47</v>
      </c>
      <c r="D17" s="8" t="s">
        <v>48</v>
      </c>
      <c r="E17" s="8" t="s">
        <v>18</v>
      </c>
      <c r="F17" s="8" t="s">
        <v>49</v>
      </c>
      <c r="G17" s="8" t="s">
        <v>50</v>
      </c>
    </row>
    <row r="18">
      <c r="B18" s="7" t="s">
        <v>21</v>
      </c>
      <c r="C18" s="8" t="s">
        <v>22</v>
      </c>
      <c r="D18" s="8" t="s">
        <v>23</v>
      </c>
      <c r="E18" s="8" t="s">
        <v>24</v>
      </c>
      <c r="F18" s="8" t="s">
        <v>23</v>
      </c>
      <c r="G18" s="8" t="s">
        <v>23</v>
      </c>
    </row>
    <row r="19">
      <c r="B19" s="7" t="s">
        <v>26</v>
      </c>
      <c r="C19" s="8" t="s">
        <v>51</v>
      </c>
      <c r="D19" s="8" t="s">
        <v>23</v>
      </c>
      <c r="E19" s="8" t="s">
        <v>18</v>
      </c>
      <c r="F19" s="8" t="s">
        <v>23</v>
      </c>
      <c r="G19" s="8" t="s">
        <v>23</v>
      </c>
    </row>
    <row r="20">
      <c r="B20" s="7" t="s">
        <v>28</v>
      </c>
      <c r="C20" s="8" t="s">
        <v>23</v>
      </c>
      <c r="D20" s="8" t="s">
        <v>23</v>
      </c>
      <c r="E20" s="8" t="s">
        <v>23</v>
      </c>
      <c r="F20" s="8" t="s">
        <v>23</v>
      </c>
      <c r="G20" s="8" t="s">
        <v>23</v>
      </c>
    </row>
    <row r="21">
      <c r="A21" s="10" t="s">
        <v>52</v>
      </c>
      <c r="B21" s="11" t="s">
        <v>3</v>
      </c>
      <c r="C21" s="12" t="s">
        <v>4</v>
      </c>
      <c r="D21" s="12" t="s">
        <v>5</v>
      </c>
      <c r="E21" s="12" t="s">
        <v>6</v>
      </c>
      <c r="F21" s="12" t="s">
        <v>7</v>
      </c>
      <c r="G21" s="12" t="s">
        <v>8</v>
      </c>
    </row>
    <row r="22" ht="140.25" customHeight="1">
      <c r="B22" s="5" t="s">
        <v>9</v>
      </c>
      <c r="C22" s="5" t="s">
        <v>53</v>
      </c>
      <c r="D22" s="5" t="s">
        <v>54</v>
      </c>
      <c r="E22" s="14" t="s">
        <v>55</v>
      </c>
      <c r="F22" s="5" t="s">
        <v>56</v>
      </c>
      <c r="G22" s="5" t="s">
        <v>57</v>
      </c>
    </row>
    <row r="23" ht="44.25" customHeight="1">
      <c r="B23" s="5" t="s">
        <v>15</v>
      </c>
      <c r="C23" s="15" t="s">
        <v>58</v>
      </c>
      <c r="D23" s="14" t="s">
        <v>59</v>
      </c>
      <c r="E23" s="14" t="s">
        <v>18</v>
      </c>
      <c r="F23" s="5" t="s">
        <v>60</v>
      </c>
      <c r="G23" s="5" t="s">
        <v>61</v>
      </c>
    </row>
    <row r="24">
      <c r="B24" s="5" t="s">
        <v>21</v>
      </c>
      <c r="C24" s="14" t="s">
        <v>22</v>
      </c>
      <c r="D24" s="14" t="s">
        <v>23</v>
      </c>
      <c r="E24" s="14" t="s">
        <v>24</v>
      </c>
      <c r="F24" s="14" t="s">
        <v>23</v>
      </c>
      <c r="G24" s="14" t="s">
        <v>23</v>
      </c>
    </row>
    <row r="25">
      <c r="B25" s="5" t="s">
        <v>26</v>
      </c>
      <c r="C25" s="15" t="s">
        <v>62</v>
      </c>
      <c r="D25" s="14" t="s">
        <v>23</v>
      </c>
      <c r="E25" s="14" t="s">
        <v>18</v>
      </c>
      <c r="F25" s="14" t="s">
        <v>23</v>
      </c>
      <c r="G25" s="14" t="s">
        <v>23</v>
      </c>
    </row>
    <row r="26">
      <c r="B26" s="5" t="s">
        <v>28</v>
      </c>
      <c r="C26" s="14" t="s">
        <v>23</v>
      </c>
      <c r="D26" s="14" t="s">
        <v>23</v>
      </c>
      <c r="E26" s="14" t="s">
        <v>23</v>
      </c>
      <c r="F26" s="14" t="s">
        <v>23</v>
      </c>
      <c r="G26" s="14" t="s">
        <v>23</v>
      </c>
    </row>
    <row r="27">
      <c r="A27" s="6" t="s">
        <v>63</v>
      </c>
      <c r="B27" s="7" t="s">
        <v>3</v>
      </c>
      <c r="C27" s="8" t="s">
        <v>4</v>
      </c>
      <c r="D27" s="8" t="s">
        <v>5</v>
      </c>
      <c r="E27" s="8" t="s">
        <v>6</v>
      </c>
      <c r="F27" s="8" t="s">
        <v>7</v>
      </c>
      <c r="G27" s="8" t="s">
        <v>8</v>
      </c>
    </row>
    <row r="28" ht="157.5" customHeight="1">
      <c r="B28" s="7" t="s">
        <v>9</v>
      </c>
      <c r="C28" s="8" t="s">
        <v>64</v>
      </c>
      <c r="D28" s="8" t="s">
        <v>65</v>
      </c>
      <c r="E28" s="8" t="s">
        <v>66</v>
      </c>
      <c r="F28" s="8" t="s">
        <v>67</v>
      </c>
      <c r="G28" s="8" t="s">
        <v>68</v>
      </c>
    </row>
    <row r="29">
      <c r="B29" s="7" t="s">
        <v>15</v>
      </c>
      <c r="C29" s="8" t="s">
        <v>69</v>
      </c>
      <c r="D29" s="8" t="s">
        <v>70</v>
      </c>
      <c r="E29" s="8" t="s">
        <v>71</v>
      </c>
      <c r="F29" s="8" t="s">
        <v>72</v>
      </c>
      <c r="G29" s="8" t="s">
        <v>73</v>
      </c>
    </row>
    <row r="30">
      <c r="B30" s="7" t="s">
        <v>21</v>
      </c>
      <c r="C30" s="8" t="s">
        <v>22</v>
      </c>
      <c r="D30" s="8" t="s">
        <v>23</v>
      </c>
      <c r="E30" s="8" t="s">
        <v>24</v>
      </c>
      <c r="F30" s="8" t="s">
        <v>23</v>
      </c>
      <c r="G30" s="8" t="s">
        <v>23</v>
      </c>
    </row>
    <row r="31">
      <c r="B31" s="7" t="s">
        <v>26</v>
      </c>
      <c r="C31" s="8" t="s">
        <v>74</v>
      </c>
      <c r="D31" s="8" t="s">
        <v>23</v>
      </c>
      <c r="E31" s="8" t="s">
        <v>71</v>
      </c>
      <c r="F31" s="8" t="s">
        <v>23</v>
      </c>
      <c r="G31" s="8" t="s">
        <v>23</v>
      </c>
    </row>
    <row r="32">
      <c r="B32" s="7" t="s">
        <v>28</v>
      </c>
      <c r="C32" s="8" t="s">
        <v>75</v>
      </c>
      <c r="D32" s="8" t="s">
        <v>23</v>
      </c>
      <c r="E32" s="8" t="s">
        <v>23</v>
      </c>
      <c r="F32" s="8" t="s">
        <v>23</v>
      </c>
      <c r="G32" s="8" t="s">
        <v>23</v>
      </c>
    </row>
    <row r="33">
      <c r="A33" s="10" t="s">
        <v>76</v>
      </c>
      <c r="B33" s="11" t="s">
        <v>3</v>
      </c>
      <c r="C33" s="12" t="s">
        <v>4</v>
      </c>
      <c r="D33" s="12" t="s">
        <v>5</v>
      </c>
      <c r="E33" s="12" t="s">
        <v>6</v>
      </c>
      <c r="F33" s="12" t="s">
        <v>7</v>
      </c>
      <c r="G33" s="12" t="s">
        <v>8</v>
      </c>
    </row>
    <row r="34" ht="99.0" customHeight="1">
      <c r="B34" s="5" t="s">
        <v>9</v>
      </c>
      <c r="C34" s="5" t="s">
        <v>77</v>
      </c>
      <c r="D34" s="5" t="s">
        <v>78</v>
      </c>
      <c r="E34" s="14" t="s">
        <v>79</v>
      </c>
      <c r="F34" s="14" t="s">
        <v>80</v>
      </c>
      <c r="G34" s="5" t="s">
        <v>81</v>
      </c>
    </row>
    <row r="35">
      <c r="B35" s="5" t="s">
        <v>15</v>
      </c>
      <c r="C35" s="14" t="s">
        <v>82</v>
      </c>
      <c r="D35" s="5" t="s">
        <v>83</v>
      </c>
      <c r="E35" s="14" t="s">
        <v>18</v>
      </c>
      <c r="F35" s="14" t="s">
        <v>84</v>
      </c>
      <c r="G35" s="15" t="s">
        <v>85</v>
      </c>
    </row>
    <row r="36">
      <c r="B36" s="5" t="s">
        <v>21</v>
      </c>
      <c r="C36" s="14" t="s">
        <v>22</v>
      </c>
      <c r="D36" s="14" t="s">
        <v>23</v>
      </c>
      <c r="E36" s="14" t="s">
        <v>24</v>
      </c>
      <c r="F36" s="14" t="s">
        <v>23</v>
      </c>
      <c r="G36" s="14" t="s">
        <v>23</v>
      </c>
    </row>
    <row r="37">
      <c r="B37" s="5" t="s">
        <v>26</v>
      </c>
      <c r="C37" s="14" t="s">
        <v>86</v>
      </c>
      <c r="D37" s="14" t="s">
        <v>23</v>
      </c>
      <c r="E37" s="14" t="s">
        <v>18</v>
      </c>
      <c r="F37" s="14" t="s">
        <v>23</v>
      </c>
      <c r="G37" s="14" t="s">
        <v>23</v>
      </c>
    </row>
    <row r="38">
      <c r="B38" s="5" t="s">
        <v>28</v>
      </c>
      <c r="C38" s="14" t="s">
        <v>23</v>
      </c>
      <c r="D38" s="14" t="s">
        <v>23</v>
      </c>
      <c r="E38" s="14" t="s">
        <v>23</v>
      </c>
      <c r="F38" s="14" t="s">
        <v>23</v>
      </c>
      <c r="G38" s="14" t="s">
        <v>23</v>
      </c>
    </row>
    <row r="39">
      <c r="A39" s="6" t="s">
        <v>87</v>
      </c>
      <c r="B39" s="7" t="s">
        <v>3</v>
      </c>
      <c r="C39" s="8" t="s">
        <v>4</v>
      </c>
      <c r="D39" s="8" t="s">
        <v>5</v>
      </c>
      <c r="E39" s="8" t="s">
        <v>6</v>
      </c>
      <c r="F39" s="8" t="s">
        <v>7</v>
      </c>
      <c r="G39" s="8" t="s">
        <v>8</v>
      </c>
    </row>
    <row r="40">
      <c r="B40" s="7" t="s">
        <v>9</v>
      </c>
      <c r="C40" s="8" t="s">
        <v>88</v>
      </c>
      <c r="D40" s="8" t="s">
        <v>89</v>
      </c>
      <c r="E40" s="8" t="s">
        <v>90</v>
      </c>
      <c r="F40" s="8" t="s">
        <v>91</v>
      </c>
      <c r="G40" s="8" t="s">
        <v>92</v>
      </c>
    </row>
    <row r="41">
      <c r="B41" s="7" t="s">
        <v>15</v>
      </c>
      <c r="C41" s="8" t="s">
        <v>93</v>
      </c>
      <c r="D41" s="8" t="s">
        <v>94</v>
      </c>
      <c r="E41" s="8" t="s">
        <v>18</v>
      </c>
      <c r="F41" s="8" t="s">
        <v>95</v>
      </c>
      <c r="G41" s="8" t="s">
        <v>96</v>
      </c>
    </row>
    <row r="42">
      <c r="B42" s="7" t="s">
        <v>21</v>
      </c>
      <c r="C42" s="8" t="s">
        <v>22</v>
      </c>
      <c r="D42" s="8" t="s">
        <v>23</v>
      </c>
      <c r="E42" s="8" t="s">
        <v>24</v>
      </c>
      <c r="F42" s="8" t="s">
        <v>23</v>
      </c>
      <c r="G42" s="8" t="s">
        <v>23</v>
      </c>
    </row>
    <row r="43">
      <c r="B43" s="7" t="s">
        <v>26</v>
      </c>
      <c r="C43" s="8" t="s">
        <v>97</v>
      </c>
      <c r="D43" s="8" t="s">
        <v>23</v>
      </c>
      <c r="E43" s="8" t="s">
        <v>18</v>
      </c>
      <c r="F43" s="8" t="s">
        <v>23</v>
      </c>
      <c r="G43" s="8" t="s">
        <v>23</v>
      </c>
    </row>
    <row r="44">
      <c r="B44" s="7" t="s">
        <v>28</v>
      </c>
      <c r="C44" s="8" t="s">
        <v>23</v>
      </c>
      <c r="D44" s="8" t="s">
        <v>23</v>
      </c>
      <c r="E44" s="8" t="s">
        <v>23</v>
      </c>
      <c r="F44" s="8" t="s">
        <v>23</v>
      </c>
      <c r="G44" s="8" t="s">
        <v>23</v>
      </c>
    </row>
    <row r="45">
      <c r="A45" s="10" t="s">
        <v>98</v>
      </c>
      <c r="B45" s="11" t="s">
        <v>3</v>
      </c>
      <c r="C45" s="12" t="s">
        <v>4</v>
      </c>
      <c r="D45" s="12" t="s">
        <v>5</v>
      </c>
      <c r="E45" s="12" t="s">
        <v>6</v>
      </c>
      <c r="F45" s="12" t="s">
        <v>7</v>
      </c>
      <c r="G45" s="12" t="s">
        <v>8</v>
      </c>
    </row>
    <row r="46">
      <c r="B46" s="5" t="s">
        <v>9</v>
      </c>
      <c r="C46" s="14" t="s">
        <v>99</v>
      </c>
      <c r="D46" s="14" t="s">
        <v>100</v>
      </c>
      <c r="E46" s="14" t="s">
        <v>101</v>
      </c>
      <c r="F46" s="14" t="s">
        <v>102</v>
      </c>
      <c r="G46" s="14" t="s">
        <v>103</v>
      </c>
    </row>
    <row r="47">
      <c r="B47" s="5" t="s">
        <v>15</v>
      </c>
      <c r="C47" s="15" t="s">
        <v>104</v>
      </c>
      <c r="D47" s="5" t="s">
        <v>105</v>
      </c>
      <c r="E47" s="14" t="s">
        <v>18</v>
      </c>
      <c r="F47" s="5" t="s">
        <v>106</v>
      </c>
      <c r="G47" s="5" t="s">
        <v>107</v>
      </c>
    </row>
    <row r="48">
      <c r="B48" s="5" t="s">
        <v>21</v>
      </c>
      <c r="C48" s="14" t="s">
        <v>22</v>
      </c>
      <c r="D48" s="14" t="s">
        <v>23</v>
      </c>
      <c r="E48" s="14" t="s">
        <v>24</v>
      </c>
      <c r="F48" s="14" t="s">
        <v>23</v>
      </c>
      <c r="G48" s="14" t="s">
        <v>23</v>
      </c>
    </row>
    <row r="49">
      <c r="B49" s="5" t="s">
        <v>26</v>
      </c>
      <c r="C49" s="14" t="s">
        <v>108</v>
      </c>
      <c r="D49" s="14" t="s">
        <v>23</v>
      </c>
      <c r="E49" s="14" t="s">
        <v>18</v>
      </c>
      <c r="F49" s="14" t="s">
        <v>23</v>
      </c>
      <c r="G49" s="14" t="s">
        <v>23</v>
      </c>
    </row>
    <row r="50">
      <c r="B50" s="5" t="s">
        <v>28</v>
      </c>
      <c r="C50" s="14" t="s">
        <v>23</v>
      </c>
      <c r="D50" s="14" t="s">
        <v>23</v>
      </c>
      <c r="E50" s="14" t="s">
        <v>23</v>
      </c>
      <c r="F50" s="14" t="s">
        <v>23</v>
      </c>
      <c r="G50" s="14" t="s">
        <v>23</v>
      </c>
    </row>
    <row r="51">
      <c r="A51" s="6" t="s">
        <v>109</v>
      </c>
      <c r="B51" s="7" t="s">
        <v>3</v>
      </c>
      <c r="C51" s="8" t="s">
        <v>4</v>
      </c>
      <c r="D51" s="8" t="s">
        <v>5</v>
      </c>
      <c r="E51" s="8" t="s">
        <v>6</v>
      </c>
      <c r="F51" s="8" t="s">
        <v>7</v>
      </c>
      <c r="G51" s="8" t="s">
        <v>8</v>
      </c>
    </row>
    <row r="52">
      <c r="B52" s="7" t="s">
        <v>9</v>
      </c>
      <c r="C52" s="8" t="s">
        <v>110</v>
      </c>
      <c r="D52" s="8" t="s">
        <v>111</v>
      </c>
      <c r="E52" s="8" t="s">
        <v>112</v>
      </c>
      <c r="F52" s="8" t="s">
        <v>113</v>
      </c>
      <c r="G52" s="8" t="s">
        <v>114</v>
      </c>
    </row>
    <row r="53">
      <c r="B53" s="7" t="s">
        <v>15</v>
      </c>
      <c r="C53" s="8" t="s">
        <v>115</v>
      </c>
      <c r="D53" s="8" t="s">
        <v>116</v>
      </c>
      <c r="E53" s="8" t="s">
        <v>18</v>
      </c>
      <c r="F53" s="8" t="s">
        <v>117</v>
      </c>
      <c r="G53" s="8" t="s">
        <v>118</v>
      </c>
    </row>
    <row r="54">
      <c r="B54" s="7" t="s">
        <v>21</v>
      </c>
      <c r="C54" s="8" t="s">
        <v>22</v>
      </c>
      <c r="D54" s="8" t="s">
        <v>23</v>
      </c>
      <c r="E54" s="8" t="s">
        <v>24</v>
      </c>
      <c r="F54" s="8" t="s">
        <v>23</v>
      </c>
      <c r="G54" s="8" t="s">
        <v>23</v>
      </c>
    </row>
    <row r="55">
      <c r="B55" s="7" t="s">
        <v>26</v>
      </c>
      <c r="C55" s="8" t="s">
        <v>119</v>
      </c>
      <c r="D55" s="8" t="s">
        <v>23</v>
      </c>
      <c r="E55" s="8" t="s">
        <v>18</v>
      </c>
      <c r="F55" s="8" t="s">
        <v>23</v>
      </c>
      <c r="G55" s="8" t="s">
        <v>23</v>
      </c>
    </row>
    <row r="56">
      <c r="B56" s="7" t="s">
        <v>28</v>
      </c>
      <c r="C56" s="8" t="s">
        <v>23</v>
      </c>
      <c r="D56" s="8" t="s">
        <v>23</v>
      </c>
      <c r="E56" s="8" t="s">
        <v>23</v>
      </c>
      <c r="F56" s="8" t="s">
        <v>23</v>
      </c>
      <c r="G56" s="8" t="s">
        <v>23</v>
      </c>
    </row>
    <row r="57">
      <c r="A57" s="10" t="s">
        <v>120</v>
      </c>
      <c r="B57" s="11" t="s">
        <v>3</v>
      </c>
      <c r="C57" s="12" t="s">
        <v>4</v>
      </c>
      <c r="D57" s="12" t="s">
        <v>5</v>
      </c>
      <c r="E57" s="12" t="s">
        <v>6</v>
      </c>
      <c r="F57" s="12" t="s">
        <v>7</v>
      </c>
      <c r="G57" s="12" t="s">
        <v>8</v>
      </c>
    </row>
    <row r="58">
      <c r="B58" s="5" t="s">
        <v>9</v>
      </c>
      <c r="C58" s="14" t="s">
        <v>121</v>
      </c>
      <c r="D58" s="14" t="s">
        <v>122</v>
      </c>
      <c r="E58" s="14" t="s">
        <v>123</v>
      </c>
      <c r="F58" s="14" t="s">
        <v>124</v>
      </c>
      <c r="G58" s="5" t="s">
        <v>125</v>
      </c>
    </row>
    <row r="59">
      <c r="B59" s="5" t="s">
        <v>15</v>
      </c>
      <c r="C59" s="5" t="s">
        <v>126</v>
      </c>
      <c r="D59" s="14" t="s">
        <v>127</v>
      </c>
      <c r="E59" s="15" t="s">
        <v>128</v>
      </c>
      <c r="F59" s="15" t="s">
        <v>129</v>
      </c>
      <c r="G59" s="5" t="s">
        <v>130</v>
      </c>
    </row>
    <row r="60">
      <c r="B60" s="5" t="s">
        <v>21</v>
      </c>
      <c r="C60" s="14" t="s">
        <v>22</v>
      </c>
      <c r="D60" s="14" t="s">
        <v>23</v>
      </c>
      <c r="E60" s="14" t="s">
        <v>24</v>
      </c>
      <c r="F60" s="14" t="s">
        <v>23</v>
      </c>
      <c r="G60" s="14" t="s">
        <v>23</v>
      </c>
    </row>
    <row r="61">
      <c r="B61" s="5" t="s">
        <v>26</v>
      </c>
      <c r="C61" s="14" t="s">
        <v>131</v>
      </c>
      <c r="D61" s="14" t="s">
        <v>23</v>
      </c>
      <c r="E61" s="15" t="s">
        <v>128</v>
      </c>
      <c r="F61" s="14" t="s">
        <v>23</v>
      </c>
      <c r="G61" s="14" t="s">
        <v>23</v>
      </c>
    </row>
    <row r="62">
      <c r="B62" s="5" t="s">
        <v>28</v>
      </c>
      <c r="C62" s="14" t="s">
        <v>23</v>
      </c>
      <c r="D62" s="14" t="s">
        <v>23</v>
      </c>
      <c r="E62" s="14" t="s">
        <v>23</v>
      </c>
      <c r="F62" s="14" t="s">
        <v>23</v>
      </c>
      <c r="G62" s="14" t="s">
        <v>23</v>
      </c>
    </row>
    <row r="63">
      <c r="A63" s="6" t="s">
        <v>132</v>
      </c>
      <c r="B63" s="16" t="s">
        <v>3</v>
      </c>
      <c r="C63" s="16" t="s">
        <v>4</v>
      </c>
      <c r="D63" s="16" t="s">
        <v>5</v>
      </c>
      <c r="E63" s="16" t="s">
        <v>6</v>
      </c>
      <c r="F63" s="16" t="s">
        <v>7</v>
      </c>
      <c r="G63" s="16" t="s">
        <v>8</v>
      </c>
    </row>
    <row r="64">
      <c r="B64" s="16" t="s">
        <v>9</v>
      </c>
      <c r="C64" s="16" t="s">
        <v>133</v>
      </c>
      <c r="D64" s="16" t="s">
        <v>134</v>
      </c>
      <c r="E64" s="16" t="s">
        <v>135</v>
      </c>
      <c r="F64" s="16" t="s">
        <v>136</v>
      </c>
      <c r="G64" s="16" t="s">
        <v>137</v>
      </c>
    </row>
    <row r="65">
      <c r="B65" s="16" t="s">
        <v>15</v>
      </c>
      <c r="C65" s="16" t="s">
        <v>138</v>
      </c>
      <c r="D65" s="16" t="s">
        <v>139</v>
      </c>
      <c r="E65" s="16" t="s">
        <v>18</v>
      </c>
      <c r="F65" s="16" t="s">
        <v>140</v>
      </c>
      <c r="G65" s="16" t="s">
        <v>141</v>
      </c>
    </row>
    <row r="66">
      <c r="B66" s="16" t="s">
        <v>21</v>
      </c>
      <c r="C66" s="16" t="s">
        <v>22</v>
      </c>
      <c r="D66" s="16" t="s">
        <v>23</v>
      </c>
      <c r="E66" s="16" t="s">
        <v>24</v>
      </c>
      <c r="F66" s="16" t="s">
        <v>23</v>
      </c>
      <c r="G66" s="16" t="s">
        <v>23</v>
      </c>
    </row>
    <row r="67">
      <c r="B67" s="16" t="s">
        <v>26</v>
      </c>
      <c r="C67" s="16" t="s">
        <v>138</v>
      </c>
      <c r="D67" s="16" t="s">
        <v>142</v>
      </c>
      <c r="E67" s="16" t="s">
        <v>18</v>
      </c>
      <c r="F67" s="16" t="s">
        <v>23</v>
      </c>
      <c r="G67" s="16" t="s">
        <v>23</v>
      </c>
    </row>
    <row r="68">
      <c r="B68" s="16" t="s">
        <v>28</v>
      </c>
      <c r="C68" s="16" t="s">
        <v>23</v>
      </c>
      <c r="D68" s="16" t="s">
        <v>23</v>
      </c>
      <c r="E68" s="16" t="s">
        <v>23</v>
      </c>
      <c r="F68" s="16" t="s">
        <v>23</v>
      </c>
      <c r="G68" s="16" t="s">
        <v>23</v>
      </c>
    </row>
    <row r="69">
      <c r="A69" s="17" t="s">
        <v>143</v>
      </c>
      <c r="B69" s="18" t="s">
        <v>3</v>
      </c>
      <c r="C69" s="18" t="s">
        <v>4</v>
      </c>
      <c r="D69" s="18" t="s">
        <v>5</v>
      </c>
      <c r="E69" s="18" t="s">
        <v>6</v>
      </c>
      <c r="F69" s="18" t="s">
        <v>7</v>
      </c>
      <c r="G69" s="18" t="s">
        <v>8</v>
      </c>
    </row>
    <row r="70">
      <c r="B70" s="19" t="s">
        <v>9</v>
      </c>
      <c r="C70" s="20" t="s">
        <v>144</v>
      </c>
      <c r="D70" s="20" t="s">
        <v>145</v>
      </c>
      <c r="E70" s="20" t="s">
        <v>146</v>
      </c>
      <c r="F70" s="20" t="s">
        <v>147</v>
      </c>
      <c r="G70" s="20" t="s">
        <v>148</v>
      </c>
    </row>
    <row r="71">
      <c r="B71" s="19" t="s">
        <v>15</v>
      </c>
      <c r="C71" s="20" t="s">
        <v>149</v>
      </c>
      <c r="D71" s="20" t="s">
        <v>150</v>
      </c>
      <c r="E71" s="20" t="s">
        <v>151</v>
      </c>
      <c r="F71" s="5" t="s">
        <v>152</v>
      </c>
      <c r="G71" s="20" t="s">
        <v>153</v>
      </c>
    </row>
    <row r="72">
      <c r="B72" s="19" t="s">
        <v>21</v>
      </c>
      <c r="C72" s="19" t="s">
        <v>22</v>
      </c>
      <c r="D72" s="19" t="s">
        <v>23</v>
      </c>
      <c r="E72" s="19" t="s">
        <v>24</v>
      </c>
      <c r="F72" s="19" t="s">
        <v>23</v>
      </c>
      <c r="G72" s="19" t="s">
        <v>23</v>
      </c>
    </row>
    <row r="73">
      <c r="B73" s="19" t="s">
        <v>26</v>
      </c>
      <c r="C73" s="20" t="s">
        <v>154</v>
      </c>
      <c r="D73" s="20" t="s">
        <v>155</v>
      </c>
      <c r="E73" s="20" t="s">
        <v>156</v>
      </c>
      <c r="F73" s="20" t="s">
        <v>23</v>
      </c>
      <c r="G73" s="20" t="s">
        <v>23</v>
      </c>
    </row>
    <row r="74">
      <c r="B74" s="19" t="s">
        <v>28</v>
      </c>
      <c r="C74" s="20" t="s">
        <v>23</v>
      </c>
      <c r="D74" s="20" t="s">
        <v>23</v>
      </c>
      <c r="E74" s="20" t="s">
        <v>157</v>
      </c>
      <c r="F74" s="20" t="s">
        <v>23</v>
      </c>
      <c r="G74" s="20" t="s">
        <v>23</v>
      </c>
    </row>
    <row r="75">
      <c r="A75" s="6" t="s">
        <v>158</v>
      </c>
      <c r="B75" s="16" t="s">
        <v>3</v>
      </c>
      <c r="C75" s="16" t="s">
        <v>4</v>
      </c>
      <c r="D75" s="16" t="s">
        <v>5</v>
      </c>
      <c r="E75" s="16" t="s">
        <v>6</v>
      </c>
      <c r="F75" s="16" t="s">
        <v>7</v>
      </c>
      <c r="G75" s="16" t="s">
        <v>8</v>
      </c>
    </row>
    <row r="76">
      <c r="B76" s="16" t="s">
        <v>9</v>
      </c>
      <c r="C76" s="16" t="s">
        <v>159</v>
      </c>
      <c r="D76" s="16" t="s">
        <v>160</v>
      </c>
      <c r="E76" s="16" t="s">
        <v>161</v>
      </c>
      <c r="F76" s="16" t="s">
        <v>162</v>
      </c>
      <c r="G76" s="16" t="s">
        <v>163</v>
      </c>
    </row>
    <row r="77">
      <c r="B77" s="16" t="s">
        <v>15</v>
      </c>
      <c r="C77" s="16" t="s">
        <v>164</v>
      </c>
      <c r="D77" s="16" t="s">
        <v>165</v>
      </c>
      <c r="E77" s="16" t="s">
        <v>166</v>
      </c>
      <c r="F77" s="16" t="s">
        <v>167</v>
      </c>
      <c r="G77" s="16" t="s">
        <v>168</v>
      </c>
    </row>
    <row r="78">
      <c r="B78" s="16" t="s">
        <v>21</v>
      </c>
      <c r="C78" s="16" t="s">
        <v>22</v>
      </c>
      <c r="D78" s="16" t="s">
        <v>23</v>
      </c>
      <c r="E78" s="16" t="s">
        <v>24</v>
      </c>
      <c r="F78" s="16" t="s">
        <v>23</v>
      </c>
      <c r="G78" s="16" t="s">
        <v>23</v>
      </c>
    </row>
    <row r="79">
      <c r="B79" s="16" t="s">
        <v>26</v>
      </c>
      <c r="C79" s="16" t="s">
        <v>169</v>
      </c>
      <c r="D79" s="16" t="s">
        <v>23</v>
      </c>
      <c r="E79" s="16" t="s">
        <v>166</v>
      </c>
      <c r="F79" s="16" t="s">
        <v>23</v>
      </c>
      <c r="G79" s="16" t="s">
        <v>23</v>
      </c>
    </row>
    <row r="80">
      <c r="B80" s="16" t="s">
        <v>28</v>
      </c>
      <c r="C80" s="16" t="s">
        <v>170</v>
      </c>
      <c r="D80" s="16" t="s">
        <v>23</v>
      </c>
      <c r="E80" s="16" t="s">
        <v>23</v>
      </c>
      <c r="F80" s="16" t="s">
        <v>23</v>
      </c>
      <c r="G80" s="16" t="s">
        <v>23</v>
      </c>
    </row>
    <row r="81">
      <c r="A81" s="17" t="s">
        <v>171</v>
      </c>
      <c r="B81" s="18" t="s">
        <v>3</v>
      </c>
      <c r="C81" s="18" t="s">
        <v>4</v>
      </c>
      <c r="D81" s="18" t="s">
        <v>5</v>
      </c>
      <c r="E81" s="18" t="s">
        <v>6</v>
      </c>
      <c r="F81" s="18" t="s">
        <v>7</v>
      </c>
      <c r="G81" s="18" t="s">
        <v>8</v>
      </c>
    </row>
    <row r="82">
      <c r="B82" s="19" t="s">
        <v>9</v>
      </c>
      <c r="C82" s="20" t="s">
        <v>172</v>
      </c>
      <c r="D82" s="20" t="s">
        <v>173</v>
      </c>
      <c r="E82" s="20" t="s">
        <v>174</v>
      </c>
      <c r="F82" s="20" t="s">
        <v>175</v>
      </c>
      <c r="G82" s="20" t="s">
        <v>23</v>
      </c>
    </row>
    <row r="83">
      <c r="B83" s="19" t="s">
        <v>15</v>
      </c>
      <c r="C83" s="20" t="s">
        <v>176</v>
      </c>
      <c r="D83" s="20" t="s">
        <v>177</v>
      </c>
      <c r="E83" s="20" t="s">
        <v>18</v>
      </c>
      <c r="F83" s="20" t="s">
        <v>178</v>
      </c>
      <c r="G83" s="20" t="s">
        <v>23</v>
      </c>
    </row>
    <row r="84">
      <c r="B84" s="19" t="s">
        <v>21</v>
      </c>
      <c r="C84" s="19" t="s">
        <v>22</v>
      </c>
      <c r="D84" s="19" t="s">
        <v>23</v>
      </c>
      <c r="E84" s="19" t="s">
        <v>24</v>
      </c>
      <c r="F84" s="19" t="s">
        <v>23</v>
      </c>
      <c r="G84" s="19" t="s">
        <v>23</v>
      </c>
    </row>
    <row r="85">
      <c r="B85" s="19" t="s">
        <v>26</v>
      </c>
      <c r="C85" s="20" t="s">
        <v>179</v>
      </c>
      <c r="D85" s="20" t="s">
        <v>23</v>
      </c>
      <c r="E85" s="20" t="s">
        <v>18</v>
      </c>
      <c r="F85" s="20" t="s">
        <v>23</v>
      </c>
      <c r="G85" s="20" t="s">
        <v>23</v>
      </c>
    </row>
    <row r="86">
      <c r="B86" s="19" t="s">
        <v>28</v>
      </c>
      <c r="C86" s="20" t="s">
        <v>23</v>
      </c>
      <c r="D86" s="20" t="s">
        <v>23</v>
      </c>
      <c r="E86" s="20" t="s">
        <v>23</v>
      </c>
      <c r="F86" s="20" t="s">
        <v>23</v>
      </c>
      <c r="G86" s="20" t="s">
        <v>23</v>
      </c>
    </row>
    <row r="87">
      <c r="A87" s="6" t="s">
        <v>180</v>
      </c>
      <c r="B87" s="16" t="s">
        <v>3</v>
      </c>
      <c r="C87" s="16" t="s">
        <v>4</v>
      </c>
      <c r="D87" s="16" t="s">
        <v>5</v>
      </c>
      <c r="E87" s="16" t="s">
        <v>6</v>
      </c>
      <c r="F87" s="16" t="s">
        <v>7</v>
      </c>
      <c r="G87" s="16" t="s">
        <v>8</v>
      </c>
    </row>
    <row r="88">
      <c r="B88" s="16" t="s">
        <v>9</v>
      </c>
      <c r="C88" s="16" t="s">
        <v>181</v>
      </c>
      <c r="D88" s="16" t="s">
        <v>23</v>
      </c>
      <c r="E88" s="16" t="s">
        <v>182</v>
      </c>
      <c r="F88" s="16" t="s">
        <v>183</v>
      </c>
      <c r="G88" s="16" t="s">
        <v>184</v>
      </c>
    </row>
    <row r="89">
      <c r="B89" s="16" t="s">
        <v>15</v>
      </c>
      <c r="C89" s="16" t="s">
        <v>185</v>
      </c>
      <c r="D89" s="16" t="s">
        <v>23</v>
      </c>
      <c r="E89" s="16" t="s">
        <v>18</v>
      </c>
      <c r="F89" s="16" t="s">
        <v>186</v>
      </c>
      <c r="G89" s="16" t="s">
        <v>187</v>
      </c>
    </row>
    <row r="90">
      <c r="B90" s="16" t="s">
        <v>21</v>
      </c>
      <c r="C90" s="16" t="s">
        <v>22</v>
      </c>
      <c r="D90" s="16" t="s">
        <v>23</v>
      </c>
      <c r="E90" s="16" t="s">
        <v>24</v>
      </c>
      <c r="F90" s="16" t="s">
        <v>23</v>
      </c>
      <c r="G90" s="16" t="s">
        <v>23</v>
      </c>
    </row>
    <row r="91">
      <c r="B91" s="16" t="s">
        <v>26</v>
      </c>
      <c r="C91" s="16" t="s">
        <v>185</v>
      </c>
      <c r="D91" s="16" t="s">
        <v>23</v>
      </c>
      <c r="E91" s="16" t="s">
        <v>18</v>
      </c>
      <c r="F91" s="16" t="s">
        <v>23</v>
      </c>
      <c r="G91" s="16" t="s">
        <v>23</v>
      </c>
    </row>
    <row r="92">
      <c r="B92" s="16" t="s">
        <v>28</v>
      </c>
      <c r="C92" s="16" t="s">
        <v>188</v>
      </c>
      <c r="D92" s="16" t="s">
        <v>23</v>
      </c>
      <c r="E92" s="16" t="s">
        <v>23</v>
      </c>
      <c r="F92" s="16" t="s">
        <v>23</v>
      </c>
      <c r="G92" s="16" t="s">
        <v>23</v>
      </c>
    </row>
    <row r="93">
      <c r="A93" s="17" t="s">
        <v>189</v>
      </c>
      <c r="B93" s="18" t="s">
        <v>3</v>
      </c>
      <c r="C93" s="18" t="s">
        <v>4</v>
      </c>
      <c r="D93" s="18" t="s">
        <v>5</v>
      </c>
      <c r="E93" s="18" t="s">
        <v>6</v>
      </c>
      <c r="F93" s="18" t="s">
        <v>7</v>
      </c>
      <c r="G93" s="18" t="s">
        <v>8</v>
      </c>
    </row>
    <row r="94">
      <c r="B94" s="19" t="s">
        <v>9</v>
      </c>
      <c r="C94" s="20" t="s">
        <v>190</v>
      </c>
      <c r="D94" s="20" t="s">
        <v>191</v>
      </c>
      <c r="E94" s="20" t="s">
        <v>192</v>
      </c>
      <c r="F94" s="20" t="s">
        <v>193</v>
      </c>
      <c r="G94" s="20" t="s">
        <v>194</v>
      </c>
    </row>
    <row r="95">
      <c r="B95" s="19" t="s">
        <v>15</v>
      </c>
      <c r="C95" s="20" t="s">
        <v>195</v>
      </c>
      <c r="D95" s="20" t="s">
        <v>196</v>
      </c>
      <c r="E95" s="15" t="s">
        <v>18</v>
      </c>
      <c r="F95" s="20" t="s">
        <v>197</v>
      </c>
      <c r="G95" s="20" t="s">
        <v>198</v>
      </c>
    </row>
    <row r="96">
      <c r="B96" s="19" t="s">
        <v>21</v>
      </c>
      <c r="C96" s="19" t="s">
        <v>22</v>
      </c>
      <c r="D96" s="19" t="s">
        <v>23</v>
      </c>
      <c r="E96" s="19" t="s">
        <v>24</v>
      </c>
      <c r="F96" s="19" t="s">
        <v>23</v>
      </c>
      <c r="G96" s="19" t="s">
        <v>23</v>
      </c>
    </row>
    <row r="97">
      <c r="B97" s="19" t="s">
        <v>26</v>
      </c>
      <c r="C97" s="20" t="s">
        <v>195</v>
      </c>
      <c r="D97" s="20" t="s">
        <v>23</v>
      </c>
      <c r="E97" s="15" t="s">
        <v>18</v>
      </c>
      <c r="F97" s="20" t="s">
        <v>23</v>
      </c>
      <c r="G97" s="20" t="s">
        <v>23</v>
      </c>
    </row>
    <row r="98">
      <c r="B98" s="19" t="s">
        <v>28</v>
      </c>
      <c r="C98" s="20" t="s">
        <v>23</v>
      </c>
      <c r="D98" s="20" t="s">
        <v>23</v>
      </c>
      <c r="E98" s="20" t="s">
        <v>23</v>
      </c>
      <c r="F98" s="20" t="s">
        <v>23</v>
      </c>
      <c r="G98" s="20" t="s">
        <v>23</v>
      </c>
    </row>
    <row r="99">
      <c r="A99" s="6" t="s">
        <v>199</v>
      </c>
      <c r="B99" s="16" t="s">
        <v>3</v>
      </c>
      <c r="C99" s="16" t="s">
        <v>4</v>
      </c>
      <c r="D99" s="16" t="s">
        <v>5</v>
      </c>
      <c r="E99" s="16" t="s">
        <v>6</v>
      </c>
      <c r="F99" s="16" t="s">
        <v>7</v>
      </c>
      <c r="G99" s="16" t="s">
        <v>8</v>
      </c>
    </row>
    <row r="100">
      <c r="B100" s="16" t="s">
        <v>9</v>
      </c>
      <c r="C100" s="16" t="s">
        <v>200</v>
      </c>
      <c r="D100" s="16" t="s">
        <v>201</v>
      </c>
      <c r="E100" s="16" t="s">
        <v>202</v>
      </c>
      <c r="F100" s="16" t="s">
        <v>203</v>
      </c>
      <c r="G100" s="16" t="s">
        <v>204</v>
      </c>
    </row>
    <row r="101">
      <c r="B101" s="16" t="s">
        <v>15</v>
      </c>
      <c r="C101" s="16" t="s">
        <v>205</v>
      </c>
      <c r="D101" s="16" t="s">
        <v>206</v>
      </c>
      <c r="E101" s="16" t="s">
        <v>207</v>
      </c>
      <c r="F101" s="16" t="s">
        <v>208</v>
      </c>
      <c r="G101" s="16" t="s">
        <v>209</v>
      </c>
    </row>
    <row r="102">
      <c r="B102" s="16" t="s">
        <v>21</v>
      </c>
      <c r="C102" s="16" t="s">
        <v>22</v>
      </c>
      <c r="D102" s="16" t="s">
        <v>23</v>
      </c>
      <c r="E102" s="16" t="s">
        <v>24</v>
      </c>
      <c r="F102" s="16" t="s">
        <v>23</v>
      </c>
      <c r="G102" s="16" t="s">
        <v>23</v>
      </c>
    </row>
    <row r="103">
      <c r="B103" s="16" t="s">
        <v>26</v>
      </c>
      <c r="C103" s="16" t="s">
        <v>210</v>
      </c>
      <c r="D103" s="16" t="s">
        <v>23</v>
      </c>
      <c r="E103" s="16" t="s">
        <v>207</v>
      </c>
      <c r="F103" s="16" t="s">
        <v>23</v>
      </c>
      <c r="G103" s="16" t="s">
        <v>23</v>
      </c>
    </row>
    <row r="104">
      <c r="B104" s="16" t="s">
        <v>28</v>
      </c>
      <c r="C104" s="16" t="s">
        <v>23</v>
      </c>
      <c r="D104" s="16" t="s">
        <v>23</v>
      </c>
      <c r="E104" s="16" t="s">
        <v>23</v>
      </c>
      <c r="F104" s="16" t="s">
        <v>23</v>
      </c>
      <c r="G104" s="16" t="s">
        <v>23</v>
      </c>
    </row>
    <row r="105">
      <c r="A105" s="17" t="s">
        <v>211</v>
      </c>
      <c r="B105" s="18" t="s">
        <v>3</v>
      </c>
      <c r="C105" s="18" t="s">
        <v>4</v>
      </c>
      <c r="D105" s="18" t="s">
        <v>5</v>
      </c>
      <c r="E105" s="18" t="s">
        <v>6</v>
      </c>
      <c r="F105" s="18" t="s">
        <v>7</v>
      </c>
      <c r="G105" s="18" t="s">
        <v>8</v>
      </c>
    </row>
    <row r="106">
      <c r="B106" s="19" t="s">
        <v>9</v>
      </c>
      <c r="C106" s="20" t="s">
        <v>212</v>
      </c>
      <c r="D106" s="20" t="s">
        <v>213</v>
      </c>
      <c r="E106" s="20" t="s">
        <v>214</v>
      </c>
      <c r="F106" s="20" t="s">
        <v>215</v>
      </c>
      <c r="G106" s="20" t="s">
        <v>216</v>
      </c>
    </row>
    <row r="107">
      <c r="B107" s="19" t="s">
        <v>15</v>
      </c>
      <c r="C107" s="20" t="s">
        <v>217</v>
      </c>
      <c r="D107" s="20" t="s">
        <v>218</v>
      </c>
      <c r="E107" s="20" t="s">
        <v>18</v>
      </c>
      <c r="F107" s="20" t="s">
        <v>219</v>
      </c>
      <c r="G107" s="20" t="s">
        <v>220</v>
      </c>
    </row>
    <row r="108">
      <c r="B108" s="19" t="s">
        <v>21</v>
      </c>
      <c r="C108" s="19" t="s">
        <v>22</v>
      </c>
      <c r="D108" s="19" t="s">
        <v>23</v>
      </c>
      <c r="E108" s="19" t="s">
        <v>24</v>
      </c>
      <c r="F108" s="19" t="s">
        <v>23</v>
      </c>
      <c r="G108" s="19" t="s">
        <v>23</v>
      </c>
    </row>
    <row r="109">
      <c r="B109" s="19" t="s">
        <v>26</v>
      </c>
      <c r="C109" s="20" t="s">
        <v>221</v>
      </c>
      <c r="D109" s="20" t="s">
        <v>23</v>
      </c>
      <c r="E109" s="20" t="s">
        <v>18</v>
      </c>
      <c r="F109" s="20" t="s">
        <v>23</v>
      </c>
      <c r="G109" s="20" t="s">
        <v>23</v>
      </c>
    </row>
    <row r="110">
      <c r="B110" s="19" t="s">
        <v>28</v>
      </c>
      <c r="C110" s="20" t="s">
        <v>222</v>
      </c>
      <c r="D110" s="20" t="s">
        <v>23</v>
      </c>
      <c r="E110" s="20" t="s">
        <v>23</v>
      </c>
      <c r="F110" s="20" t="s">
        <v>23</v>
      </c>
      <c r="G110" s="20" t="s">
        <v>23</v>
      </c>
    </row>
    <row r="111">
      <c r="A111" s="6" t="s">
        <v>223</v>
      </c>
      <c r="B111" s="16" t="s">
        <v>3</v>
      </c>
      <c r="C111" s="16" t="s">
        <v>4</v>
      </c>
      <c r="D111" s="16" t="s">
        <v>5</v>
      </c>
      <c r="E111" s="16" t="s">
        <v>6</v>
      </c>
      <c r="F111" s="16" t="s">
        <v>7</v>
      </c>
      <c r="G111" s="16" t="s">
        <v>8</v>
      </c>
    </row>
    <row r="112">
      <c r="B112" s="16" t="s">
        <v>9</v>
      </c>
      <c r="C112" s="16" t="s">
        <v>224</v>
      </c>
      <c r="D112" s="16" t="s">
        <v>225</v>
      </c>
      <c r="E112" s="16" t="s">
        <v>226</v>
      </c>
      <c r="F112" s="16" t="s">
        <v>227</v>
      </c>
      <c r="G112" s="16" t="s">
        <v>228</v>
      </c>
    </row>
    <row r="113">
      <c r="B113" s="16" t="s">
        <v>15</v>
      </c>
      <c r="C113" s="16" t="s">
        <v>229</v>
      </c>
      <c r="D113" s="16" t="s">
        <v>230</v>
      </c>
      <c r="E113" s="16" t="s">
        <v>18</v>
      </c>
      <c r="F113" s="16" t="s">
        <v>231</v>
      </c>
      <c r="G113" s="16" t="s">
        <v>232</v>
      </c>
    </row>
    <row r="114">
      <c r="B114" s="16" t="s">
        <v>21</v>
      </c>
      <c r="C114" s="16" t="s">
        <v>22</v>
      </c>
      <c r="D114" s="16" t="s">
        <v>23</v>
      </c>
      <c r="E114" s="16" t="s">
        <v>24</v>
      </c>
      <c r="F114" s="16" t="s">
        <v>23</v>
      </c>
      <c r="G114" s="16" t="s">
        <v>23</v>
      </c>
    </row>
    <row r="115">
      <c r="B115" s="16" t="s">
        <v>26</v>
      </c>
      <c r="C115" s="16" t="s">
        <v>233</v>
      </c>
      <c r="D115" s="16" t="s">
        <v>23</v>
      </c>
      <c r="E115" s="16" t="s">
        <v>18</v>
      </c>
      <c r="F115" s="16" t="s">
        <v>23</v>
      </c>
      <c r="G115" s="16" t="s">
        <v>23</v>
      </c>
    </row>
    <row r="116">
      <c r="B116" s="16" t="s">
        <v>28</v>
      </c>
      <c r="C116" s="16" t="s">
        <v>23</v>
      </c>
      <c r="D116" s="16" t="s">
        <v>23</v>
      </c>
      <c r="E116" s="16" t="s">
        <v>23</v>
      </c>
      <c r="F116" s="16" t="s">
        <v>23</v>
      </c>
      <c r="G116" s="16" t="s">
        <v>23</v>
      </c>
    </row>
    <row r="117">
      <c r="A117" s="17" t="s">
        <v>234</v>
      </c>
      <c r="B117" s="18" t="s">
        <v>3</v>
      </c>
      <c r="C117" s="18" t="s">
        <v>4</v>
      </c>
      <c r="D117" s="18" t="s">
        <v>5</v>
      </c>
      <c r="E117" s="18" t="s">
        <v>6</v>
      </c>
      <c r="F117" s="18" t="s">
        <v>7</v>
      </c>
      <c r="G117" s="18" t="s">
        <v>8</v>
      </c>
    </row>
    <row r="118">
      <c r="B118" s="19" t="s">
        <v>9</v>
      </c>
      <c r="C118" s="20" t="s">
        <v>235</v>
      </c>
      <c r="D118" s="20" t="s">
        <v>236</v>
      </c>
      <c r="E118" s="20" t="s">
        <v>237</v>
      </c>
      <c r="F118" s="20" t="s">
        <v>23</v>
      </c>
      <c r="G118" s="20" t="s">
        <v>23</v>
      </c>
    </row>
    <row r="119">
      <c r="B119" s="19" t="s">
        <v>15</v>
      </c>
      <c r="C119" s="20" t="s">
        <v>238</v>
      </c>
      <c r="D119" s="15" t="s">
        <v>239</v>
      </c>
      <c r="E119" s="20" t="s">
        <v>240</v>
      </c>
      <c r="F119" s="20" t="s">
        <v>23</v>
      </c>
      <c r="G119" s="20" t="s">
        <v>23</v>
      </c>
    </row>
    <row r="120">
      <c r="B120" s="19" t="s">
        <v>21</v>
      </c>
      <c r="C120" s="19" t="s">
        <v>22</v>
      </c>
      <c r="D120" s="19" t="s">
        <v>23</v>
      </c>
      <c r="E120" s="19" t="s">
        <v>24</v>
      </c>
      <c r="F120" s="19" t="s">
        <v>23</v>
      </c>
      <c r="G120" s="19" t="s">
        <v>23</v>
      </c>
    </row>
    <row r="121">
      <c r="B121" s="19" t="s">
        <v>26</v>
      </c>
      <c r="C121" s="20" t="s">
        <v>238</v>
      </c>
      <c r="D121" s="20" t="s">
        <v>23</v>
      </c>
      <c r="E121" s="20" t="s">
        <v>240</v>
      </c>
      <c r="F121" s="20" t="s">
        <v>23</v>
      </c>
      <c r="G121" s="20" t="s">
        <v>23</v>
      </c>
    </row>
    <row r="122">
      <c r="B122" s="19" t="s">
        <v>28</v>
      </c>
      <c r="C122" s="20" t="s">
        <v>23</v>
      </c>
      <c r="D122" s="20" t="s">
        <v>23</v>
      </c>
      <c r="E122" s="20" t="s">
        <v>23</v>
      </c>
      <c r="F122" s="19"/>
      <c r="G122" s="19"/>
    </row>
    <row r="123">
      <c r="A123" s="21"/>
      <c r="C123" s="3"/>
      <c r="D123" s="3"/>
      <c r="E123" s="3"/>
      <c r="F123" s="3"/>
      <c r="G123" s="3"/>
    </row>
    <row r="124">
      <c r="A124" s="21"/>
      <c r="C124" s="3"/>
      <c r="D124" s="3"/>
      <c r="E124" s="3"/>
      <c r="F124" s="3"/>
      <c r="G124" s="3"/>
    </row>
    <row r="125">
      <c r="A125" s="21"/>
      <c r="C125" s="3"/>
      <c r="D125" s="3"/>
      <c r="E125" s="3"/>
      <c r="F125" s="3"/>
      <c r="G125" s="3"/>
    </row>
    <row r="126">
      <c r="A126" s="21"/>
      <c r="C126" s="3"/>
      <c r="D126" s="3"/>
      <c r="E126" s="3"/>
      <c r="F126" s="3"/>
      <c r="G126" s="3"/>
    </row>
    <row r="127">
      <c r="A127" s="21"/>
      <c r="C127" s="3"/>
      <c r="D127" s="3"/>
      <c r="E127" s="3"/>
      <c r="F127" s="3"/>
      <c r="G127" s="3"/>
    </row>
    <row r="128">
      <c r="A128" s="21"/>
      <c r="C128" s="3"/>
      <c r="D128" s="3"/>
      <c r="E128" s="3"/>
      <c r="F128" s="3"/>
      <c r="G128" s="3"/>
    </row>
    <row r="129">
      <c r="A129" s="21"/>
      <c r="C129" s="3"/>
      <c r="D129" s="3"/>
      <c r="E129" s="3"/>
      <c r="F129" s="3"/>
      <c r="G129" s="3"/>
    </row>
    <row r="130">
      <c r="A130" s="21"/>
      <c r="C130" s="3"/>
      <c r="D130" s="3"/>
      <c r="E130" s="3"/>
      <c r="F130" s="3"/>
      <c r="G130" s="3"/>
    </row>
    <row r="131">
      <c r="A131" s="21"/>
      <c r="C131" s="3"/>
      <c r="D131" s="3"/>
      <c r="E131" s="3"/>
      <c r="F131" s="3"/>
      <c r="G131" s="3"/>
    </row>
    <row r="132">
      <c r="A132" s="21"/>
      <c r="C132" s="3"/>
      <c r="D132" s="3"/>
      <c r="E132" s="3"/>
      <c r="F132" s="3"/>
      <c r="G132" s="3"/>
    </row>
    <row r="133">
      <c r="A133" s="21"/>
      <c r="C133" s="3"/>
      <c r="D133" s="3"/>
      <c r="E133" s="3"/>
      <c r="F133" s="3"/>
      <c r="G133" s="3"/>
    </row>
    <row r="134">
      <c r="A134" s="21"/>
      <c r="C134" s="3"/>
      <c r="D134" s="3"/>
      <c r="E134" s="3"/>
      <c r="F134" s="3"/>
      <c r="G134" s="3"/>
    </row>
    <row r="135">
      <c r="A135" s="21"/>
      <c r="C135" s="3"/>
      <c r="D135" s="3"/>
      <c r="E135" s="3"/>
      <c r="F135" s="3"/>
      <c r="G135" s="3"/>
    </row>
    <row r="136">
      <c r="A136" s="21"/>
      <c r="C136" s="3"/>
      <c r="D136" s="3"/>
      <c r="E136" s="3"/>
      <c r="F136" s="3"/>
      <c r="G136" s="3"/>
    </row>
    <row r="137">
      <c r="A137" s="21"/>
      <c r="C137" s="3"/>
      <c r="D137" s="3"/>
      <c r="E137" s="3"/>
      <c r="F137" s="3"/>
      <c r="G137" s="3"/>
    </row>
    <row r="138">
      <c r="A138" s="21"/>
      <c r="C138" s="3"/>
      <c r="D138" s="3"/>
      <c r="E138" s="3"/>
      <c r="F138" s="3"/>
      <c r="G138" s="3"/>
    </row>
    <row r="139">
      <c r="A139" s="21"/>
      <c r="C139" s="3"/>
      <c r="D139" s="3"/>
      <c r="E139" s="3"/>
      <c r="F139" s="3"/>
      <c r="G139" s="3"/>
    </row>
    <row r="140">
      <c r="A140" s="21"/>
      <c r="C140" s="3"/>
      <c r="D140" s="3"/>
      <c r="E140" s="3"/>
      <c r="F140" s="3"/>
      <c r="G140" s="3"/>
    </row>
    <row r="141">
      <c r="A141" s="21"/>
      <c r="C141" s="3"/>
      <c r="D141" s="3"/>
      <c r="E141" s="3"/>
      <c r="F141" s="3"/>
      <c r="G141" s="3"/>
    </row>
    <row r="142">
      <c r="A142" s="21"/>
      <c r="C142" s="3"/>
      <c r="D142" s="3"/>
      <c r="E142" s="3"/>
      <c r="F142" s="3"/>
      <c r="G142" s="3"/>
    </row>
    <row r="143">
      <c r="A143" s="21"/>
      <c r="C143" s="3"/>
      <c r="D143" s="3"/>
      <c r="E143" s="3"/>
      <c r="F143" s="3"/>
      <c r="G143" s="3"/>
    </row>
    <row r="144">
      <c r="A144" s="21"/>
      <c r="C144" s="3"/>
      <c r="D144" s="3"/>
      <c r="E144" s="3"/>
      <c r="F144" s="3"/>
      <c r="G144" s="3"/>
    </row>
    <row r="145">
      <c r="A145" s="21"/>
      <c r="C145" s="3"/>
      <c r="D145" s="3"/>
      <c r="E145" s="3"/>
      <c r="F145" s="3"/>
      <c r="G145" s="3"/>
    </row>
    <row r="146">
      <c r="A146" s="21"/>
      <c r="C146" s="3"/>
      <c r="D146" s="3"/>
      <c r="E146" s="3"/>
      <c r="F146" s="3"/>
      <c r="G146" s="3"/>
    </row>
    <row r="147">
      <c r="A147" s="21"/>
      <c r="C147" s="3"/>
      <c r="D147" s="3"/>
      <c r="E147" s="3"/>
      <c r="F147" s="3"/>
      <c r="G147" s="3"/>
    </row>
    <row r="148">
      <c r="A148" s="21"/>
      <c r="C148" s="3"/>
      <c r="D148" s="3"/>
      <c r="E148" s="3"/>
      <c r="F148" s="3"/>
      <c r="G148" s="3"/>
    </row>
    <row r="149">
      <c r="A149" s="21"/>
      <c r="C149" s="3"/>
      <c r="D149" s="3"/>
      <c r="E149" s="3"/>
      <c r="F149" s="3"/>
      <c r="G149" s="3"/>
    </row>
    <row r="150">
      <c r="A150" s="21"/>
      <c r="C150" s="3"/>
      <c r="D150" s="3"/>
      <c r="E150" s="3"/>
      <c r="F150" s="3"/>
      <c r="G150" s="3"/>
    </row>
    <row r="151">
      <c r="A151" s="21"/>
      <c r="C151" s="3"/>
      <c r="D151" s="3"/>
      <c r="E151" s="3"/>
      <c r="F151" s="3"/>
      <c r="G151" s="3"/>
    </row>
    <row r="152">
      <c r="A152" s="21"/>
      <c r="C152" s="3"/>
      <c r="D152" s="3"/>
      <c r="E152" s="3"/>
      <c r="F152" s="3"/>
      <c r="G152" s="3"/>
    </row>
    <row r="153">
      <c r="A153" s="21"/>
      <c r="C153" s="3"/>
      <c r="D153" s="3"/>
      <c r="E153" s="3"/>
      <c r="F153" s="3"/>
      <c r="G153" s="3"/>
    </row>
    <row r="154">
      <c r="A154" s="21"/>
      <c r="C154" s="3"/>
      <c r="D154" s="3"/>
      <c r="E154" s="3"/>
      <c r="F154" s="3"/>
      <c r="G154" s="3"/>
    </row>
    <row r="155">
      <c r="A155" s="21"/>
      <c r="C155" s="3"/>
      <c r="D155" s="3"/>
      <c r="E155" s="3"/>
      <c r="F155" s="3"/>
      <c r="G155" s="3"/>
    </row>
    <row r="156">
      <c r="A156" s="21"/>
      <c r="C156" s="3"/>
      <c r="D156" s="3"/>
      <c r="E156" s="3"/>
      <c r="F156" s="3"/>
      <c r="G156" s="3"/>
    </row>
    <row r="157">
      <c r="A157" s="21"/>
      <c r="C157" s="3"/>
      <c r="D157" s="3"/>
      <c r="E157" s="3"/>
      <c r="F157" s="3"/>
      <c r="G157" s="3"/>
    </row>
    <row r="158">
      <c r="A158" s="21"/>
      <c r="C158" s="3"/>
      <c r="D158" s="3"/>
      <c r="E158" s="3"/>
      <c r="F158" s="3"/>
      <c r="G158" s="3"/>
    </row>
    <row r="159">
      <c r="A159" s="21"/>
      <c r="C159" s="3"/>
      <c r="D159" s="3"/>
      <c r="E159" s="3"/>
      <c r="F159" s="3"/>
      <c r="G159" s="3"/>
    </row>
    <row r="160">
      <c r="A160" s="21"/>
      <c r="C160" s="3"/>
      <c r="D160" s="3"/>
      <c r="E160" s="3"/>
      <c r="F160" s="3"/>
      <c r="G160" s="3"/>
    </row>
    <row r="161">
      <c r="A161" s="21"/>
      <c r="C161" s="3"/>
      <c r="D161" s="3"/>
      <c r="E161" s="3"/>
      <c r="F161" s="3"/>
      <c r="G161" s="3"/>
    </row>
    <row r="162">
      <c r="A162" s="21"/>
      <c r="C162" s="3"/>
      <c r="D162" s="3"/>
      <c r="E162" s="3"/>
      <c r="F162" s="3"/>
      <c r="G162" s="3"/>
    </row>
    <row r="163">
      <c r="A163" s="21"/>
      <c r="C163" s="3"/>
      <c r="D163" s="3"/>
      <c r="E163" s="3"/>
      <c r="F163" s="3"/>
      <c r="G163" s="3"/>
    </row>
    <row r="164">
      <c r="A164" s="21"/>
      <c r="C164" s="3"/>
      <c r="D164" s="3"/>
      <c r="E164" s="3"/>
      <c r="F164" s="3"/>
      <c r="G164" s="3"/>
    </row>
    <row r="165">
      <c r="A165" s="21"/>
      <c r="C165" s="3"/>
      <c r="D165" s="3"/>
      <c r="E165" s="3"/>
      <c r="F165" s="3"/>
      <c r="G165" s="3"/>
    </row>
    <row r="166">
      <c r="A166" s="21"/>
      <c r="C166" s="3"/>
      <c r="D166" s="3"/>
      <c r="E166" s="3"/>
      <c r="F166" s="3"/>
      <c r="G166" s="3"/>
    </row>
    <row r="167">
      <c r="A167" s="21"/>
      <c r="C167" s="3"/>
      <c r="D167" s="3"/>
      <c r="E167" s="3"/>
      <c r="F167" s="3"/>
      <c r="G167" s="3"/>
    </row>
    <row r="168">
      <c r="A168" s="21"/>
      <c r="C168" s="3"/>
      <c r="D168" s="3"/>
      <c r="E168" s="3"/>
      <c r="F168" s="3"/>
      <c r="G168" s="3"/>
    </row>
    <row r="169">
      <c r="A169" s="21"/>
      <c r="C169" s="3"/>
      <c r="D169" s="3"/>
      <c r="E169" s="3"/>
      <c r="F169" s="3"/>
      <c r="G169" s="3"/>
    </row>
    <row r="170">
      <c r="A170" s="21"/>
      <c r="C170" s="3"/>
      <c r="D170" s="3"/>
      <c r="E170" s="3"/>
      <c r="F170" s="3"/>
      <c r="G170" s="3"/>
    </row>
    <row r="171">
      <c r="A171" s="21"/>
      <c r="C171" s="3"/>
      <c r="D171" s="3"/>
      <c r="E171" s="3"/>
      <c r="F171" s="3"/>
      <c r="G171" s="3"/>
    </row>
    <row r="172">
      <c r="A172" s="21"/>
      <c r="C172" s="3"/>
      <c r="D172" s="3"/>
      <c r="E172" s="3"/>
      <c r="F172" s="3"/>
      <c r="G172" s="3"/>
    </row>
    <row r="173">
      <c r="A173" s="21"/>
      <c r="C173" s="3"/>
      <c r="D173" s="3"/>
      <c r="E173" s="3"/>
      <c r="F173" s="3"/>
      <c r="G173" s="3"/>
    </row>
    <row r="174">
      <c r="A174" s="21"/>
      <c r="C174" s="3"/>
      <c r="D174" s="3"/>
      <c r="E174" s="3"/>
      <c r="F174" s="3"/>
      <c r="G174" s="3"/>
    </row>
    <row r="175">
      <c r="A175" s="21"/>
      <c r="C175" s="3"/>
      <c r="D175" s="3"/>
      <c r="E175" s="3"/>
      <c r="F175" s="3"/>
      <c r="G175" s="3"/>
    </row>
    <row r="176">
      <c r="A176" s="21"/>
      <c r="C176" s="3"/>
      <c r="D176" s="3"/>
      <c r="E176" s="3"/>
      <c r="F176" s="3"/>
      <c r="G176" s="3"/>
    </row>
    <row r="177">
      <c r="A177" s="21"/>
      <c r="C177" s="3"/>
      <c r="D177" s="3"/>
      <c r="E177" s="3"/>
      <c r="F177" s="3"/>
      <c r="G177" s="3"/>
    </row>
    <row r="178">
      <c r="A178" s="21"/>
      <c r="C178" s="3"/>
      <c r="D178" s="3"/>
      <c r="E178" s="3"/>
      <c r="F178" s="3"/>
      <c r="G178" s="3"/>
    </row>
    <row r="179">
      <c r="A179" s="21"/>
      <c r="C179" s="3"/>
      <c r="D179" s="3"/>
      <c r="E179" s="3"/>
      <c r="F179" s="3"/>
      <c r="G179" s="3"/>
    </row>
    <row r="180">
      <c r="A180" s="21"/>
      <c r="C180" s="3"/>
      <c r="D180" s="3"/>
      <c r="E180" s="3"/>
      <c r="F180" s="3"/>
      <c r="G180" s="3"/>
    </row>
    <row r="181">
      <c r="A181" s="21"/>
      <c r="C181" s="3"/>
      <c r="D181" s="3"/>
      <c r="E181" s="3"/>
      <c r="F181" s="3"/>
      <c r="G181" s="3"/>
    </row>
    <row r="182">
      <c r="A182" s="21"/>
      <c r="C182" s="3"/>
      <c r="D182" s="3"/>
      <c r="E182" s="3"/>
      <c r="F182" s="3"/>
      <c r="G182" s="3"/>
    </row>
    <row r="183">
      <c r="A183" s="21"/>
      <c r="C183" s="3"/>
      <c r="D183" s="3"/>
      <c r="E183" s="3"/>
      <c r="F183" s="3"/>
      <c r="G183" s="3"/>
    </row>
    <row r="184">
      <c r="A184" s="21"/>
      <c r="C184" s="3"/>
      <c r="D184" s="3"/>
      <c r="E184" s="3"/>
      <c r="F184" s="3"/>
      <c r="G184" s="3"/>
    </row>
    <row r="185">
      <c r="A185" s="21"/>
      <c r="C185" s="3"/>
      <c r="D185" s="3"/>
      <c r="E185" s="3"/>
      <c r="F185" s="3"/>
      <c r="G185" s="3"/>
    </row>
    <row r="186">
      <c r="A186" s="21"/>
      <c r="C186" s="3"/>
      <c r="D186" s="3"/>
      <c r="E186" s="3"/>
      <c r="F186" s="3"/>
      <c r="G186" s="3"/>
    </row>
    <row r="187">
      <c r="A187" s="21"/>
      <c r="C187" s="3"/>
      <c r="D187" s="3"/>
      <c r="E187" s="3"/>
      <c r="F187" s="3"/>
      <c r="G187" s="3"/>
    </row>
    <row r="188">
      <c r="A188" s="21"/>
      <c r="C188" s="3"/>
      <c r="D188" s="3"/>
      <c r="E188" s="3"/>
      <c r="F188" s="3"/>
      <c r="G188" s="3"/>
    </row>
    <row r="189">
      <c r="A189" s="21"/>
      <c r="C189" s="3"/>
      <c r="D189" s="3"/>
      <c r="E189" s="3"/>
      <c r="F189" s="3"/>
      <c r="G189" s="3"/>
    </row>
    <row r="190">
      <c r="A190" s="21"/>
      <c r="C190" s="3"/>
      <c r="D190" s="3"/>
      <c r="E190" s="3"/>
      <c r="F190" s="3"/>
      <c r="G190" s="3"/>
    </row>
    <row r="191">
      <c r="A191" s="21"/>
      <c r="C191" s="3"/>
      <c r="D191" s="3"/>
      <c r="E191" s="3"/>
      <c r="F191" s="3"/>
      <c r="G191" s="3"/>
    </row>
    <row r="192">
      <c r="A192" s="21"/>
      <c r="C192" s="3"/>
      <c r="D192" s="3"/>
      <c r="E192" s="3"/>
      <c r="F192" s="3"/>
      <c r="G192" s="3"/>
    </row>
    <row r="193">
      <c r="A193" s="21"/>
      <c r="C193" s="3"/>
      <c r="D193" s="3"/>
      <c r="E193" s="3"/>
      <c r="F193" s="3"/>
      <c r="G193" s="3"/>
    </row>
    <row r="194">
      <c r="A194" s="21"/>
      <c r="C194" s="3"/>
      <c r="D194" s="3"/>
      <c r="E194" s="3"/>
      <c r="F194" s="3"/>
      <c r="G194" s="3"/>
    </row>
    <row r="195">
      <c r="A195" s="21"/>
      <c r="C195" s="3"/>
      <c r="D195" s="3"/>
      <c r="E195" s="3"/>
      <c r="F195" s="3"/>
      <c r="G195" s="3"/>
    </row>
    <row r="196">
      <c r="A196" s="21"/>
      <c r="C196" s="3"/>
      <c r="D196" s="3"/>
      <c r="E196" s="3"/>
      <c r="F196" s="3"/>
      <c r="G196" s="3"/>
    </row>
    <row r="197">
      <c r="A197" s="21"/>
      <c r="C197" s="3"/>
      <c r="D197" s="3"/>
      <c r="E197" s="3"/>
      <c r="F197" s="3"/>
      <c r="G197" s="3"/>
    </row>
    <row r="198">
      <c r="A198" s="21"/>
      <c r="C198" s="3"/>
      <c r="D198" s="3"/>
      <c r="E198" s="3"/>
      <c r="F198" s="3"/>
      <c r="G198" s="3"/>
    </row>
    <row r="199">
      <c r="A199" s="21"/>
      <c r="C199" s="3"/>
      <c r="D199" s="3"/>
      <c r="E199" s="3"/>
      <c r="F199" s="3"/>
      <c r="G199" s="3"/>
    </row>
    <row r="200">
      <c r="A200" s="21"/>
      <c r="C200" s="3"/>
      <c r="D200" s="3"/>
      <c r="E200" s="3"/>
      <c r="F200" s="3"/>
      <c r="G200" s="3"/>
    </row>
    <row r="201">
      <c r="A201" s="21"/>
      <c r="C201" s="3"/>
      <c r="D201" s="3"/>
      <c r="E201" s="3"/>
      <c r="F201" s="3"/>
      <c r="G201" s="3"/>
    </row>
    <row r="202">
      <c r="A202" s="21"/>
      <c r="C202" s="3"/>
      <c r="D202" s="3"/>
      <c r="E202" s="3"/>
      <c r="F202" s="3"/>
      <c r="G202" s="3"/>
    </row>
    <row r="203">
      <c r="A203" s="21"/>
      <c r="C203" s="3"/>
      <c r="D203" s="3"/>
      <c r="E203" s="3"/>
      <c r="F203" s="3"/>
      <c r="G203" s="3"/>
    </row>
    <row r="204">
      <c r="A204" s="21"/>
      <c r="C204" s="3"/>
      <c r="D204" s="3"/>
      <c r="E204" s="3"/>
      <c r="F204" s="3"/>
      <c r="G204" s="3"/>
    </row>
    <row r="205">
      <c r="A205" s="21"/>
      <c r="C205" s="3"/>
      <c r="D205" s="3"/>
      <c r="E205" s="3"/>
      <c r="F205" s="3"/>
      <c r="G205" s="3"/>
    </row>
    <row r="206">
      <c r="A206" s="21"/>
      <c r="C206" s="3"/>
      <c r="D206" s="3"/>
      <c r="E206" s="3"/>
      <c r="F206" s="3"/>
      <c r="G206" s="3"/>
    </row>
    <row r="207">
      <c r="A207" s="21"/>
      <c r="C207" s="3"/>
      <c r="D207" s="3"/>
      <c r="E207" s="3"/>
      <c r="F207" s="3"/>
      <c r="G207" s="3"/>
    </row>
    <row r="208">
      <c r="A208" s="21"/>
      <c r="C208" s="3"/>
      <c r="D208" s="3"/>
      <c r="E208" s="3"/>
      <c r="F208" s="3"/>
      <c r="G208" s="3"/>
    </row>
    <row r="209">
      <c r="A209" s="21"/>
      <c r="C209" s="3"/>
      <c r="D209" s="3"/>
      <c r="E209" s="3"/>
      <c r="F209" s="3"/>
      <c r="G209" s="3"/>
    </row>
    <row r="210">
      <c r="A210" s="21"/>
      <c r="C210" s="3"/>
      <c r="D210" s="3"/>
      <c r="E210" s="3"/>
      <c r="F210" s="3"/>
      <c r="G210" s="3"/>
    </row>
    <row r="211">
      <c r="A211" s="21"/>
      <c r="C211" s="3"/>
      <c r="D211" s="3"/>
      <c r="E211" s="3"/>
      <c r="F211" s="3"/>
      <c r="G211" s="3"/>
    </row>
    <row r="212">
      <c r="A212" s="21"/>
      <c r="C212" s="3"/>
      <c r="D212" s="3"/>
      <c r="E212" s="3"/>
      <c r="F212" s="3"/>
      <c r="G212" s="3"/>
    </row>
    <row r="213">
      <c r="A213" s="21"/>
      <c r="C213" s="3"/>
      <c r="D213" s="3"/>
      <c r="E213" s="3"/>
      <c r="F213" s="3"/>
      <c r="G213" s="3"/>
    </row>
    <row r="214">
      <c r="A214" s="21"/>
      <c r="C214" s="3"/>
      <c r="D214" s="3"/>
      <c r="E214" s="3"/>
      <c r="F214" s="3"/>
      <c r="G214" s="3"/>
    </row>
    <row r="215">
      <c r="A215" s="21"/>
      <c r="C215" s="3"/>
      <c r="D215" s="3"/>
      <c r="E215" s="3"/>
      <c r="F215" s="3"/>
      <c r="G215" s="3"/>
    </row>
    <row r="216">
      <c r="A216" s="21"/>
      <c r="C216" s="3"/>
      <c r="D216" s="3"/>
      <c r="E216" s="3"/>
      <c r="F216" s="3"/>
      <c r="G216" s="3"/>
    </row>
    <row r="217">
      <c r="A217" s="21"/>
      <c r="C217" s="3"/>
      <c r="D217" s="3"/>
      <c r="E217" s="3"/>
      <c r="F217" s="3"/>
      <c r="G217" s="3"/>
    </row>
    <row r="218">
      <c r="A218" s="21"/>
      <c r="C218" s="3"/>
      <c r="D218" s="3"/>
      <c r="E218" s="3"/>
      <c r="F218" s="3"/>
      <c r="G218" s="3"/>
    </row>
    <row r="219">
      <c r="A219" s="21"/>
      <c r="C219" s="3"/>
      <c r="D219" s="3"/>
      <c r="E219" s="3"/>
      <c r="F219" s="3"/>
      <c r="G219" s="3"/>
    </row>
    <row r="220">
      <c r="A220" s="21"/>
      <c r="C220" s="3"/>
      <c r="D220" s="3"/>
      <c r="E220" s="3"/>
      <c r="F220" s="3"/>
      <c r="G220" s="3"/>
    </row>
    <row r="221">
      <c r="A221" s="21"/>
      <c r="C221" s="3"/>
      <c r="D221" s="3"/>
      <c r="E221" s="3"/>
      <c r="F221" s="3"/>
      <c r="G221" s="3"/>
    </row>
    <row r="222">
      <c r="A222" s="21"/>
      <c r="C222" s="3"/>
      <c r="D222" s="3"/>
      <c r="E222" s="3"/>
      <c r="F222" s="3"/>
      <c r="G222" s="3"/>
    </row>
    <row r="223">
      <c r="A223" s="21"/>
      <c r="C223" s="3"/>
      <c r="D223" s="3"/>
      <c r="E223" s="3"/>
      <c r="F223" s="3"/>
      <c r="G223" s="3"/>
    </row>
    <row r="224">
      <c r="A224" s="21"/>
      <c r="C224" s="3"/>
      <c r="D224" s="3"/>
      <c r="E224" s="3"/>
      <c r="F224" s="3"/>
      <c r="G224" s="3"/>
    </row>
    <row r="225">
      <c r="A225" s="21"/>
      <c r="C225" s="3"/>
      <c r="D225" s="3"/>
      <c r="E225" s="3"/>
      <c r="F225" s="3"/>
      <c r="G225" s="3"/>
    </row>
    <row r="226">
      <c r="A226" s="21"/>
      <c r="C226" s="3"/>
      <c r="D226" s="3"/>
      <c r="E226" s="3"/>
      <c r="F226" s="3"/>
      <c r="G226" s="3"/>
    </row>
    <row r="227">
      <c r="A227" s="21"/>
      <c r="C227" s="3"/>
      <c r="D227" s="3"/>
      <c r="E227" s="3"/>
      <c r="F227" s="3"/>
      <c r="G227" s="3"/>
    </row>
    <row r="228">
      <c r="A228" s="21"/>
      <c r="C228" s="3"/>
      <c r="D228" s="3"/>
      <c r="E228" s="3"/>
      <c r="F228" s="3"/>
      <c r="G228" s="3"/>
    </row>
    <row r="229">
      <c r="A229" s="21"/>
      <c r="C229" s="3"/>
      <c r="D229" s="3"/>
      <c r="E229" s="3"/>
      <c r="F229" s="3"/>
      <c r="G229" s="3"/>
    </row>
    <row r="230">
      <c r="A230" s="21"/>
      <c r="C230" s="3"/>
      <c r="D230" s="3"/>
      <c r="E230" s="3"/>
      <c r="F230" s="3"/>
      <c r="G230" s="3"/>
    </row>
    <row r="231">
      <c r="A231" s="21"/>
      <c r="C231" s="3"/>
      <c r="D231" s="3"/>
      <c r="E231" s="3"/>
      <c r="F231" s="3"/>
      <c r="G231" s="3"/>
    </row>
    <row r="232">
      <c r="A232" s="21"/>
      <c r="C232" s="3"/>
      <c r="D232" s="3"/>
      <c r="E232" s="3"/>
      <c r="F232" s="3"/>
      <c r="G232" s="3"/>
    </row>
    <row r="233">
      <c r="A233" s="21"/>
      <c r="C233" s="3"/>
      <c r="D233" s="3"/>
      <c r="E233" s="3"/>
      <c r="F233" s="3"/>
      <c r="G233" s="3"/>
    </row>
    <row r="234">
      <c r="A234" s="21"/>
      <c r="C234" s="3"/>
      <c r="D234" s="3"/>
      <c r="E234" s="3"/>
      <c r="F234" s="3"/>
      <c r="G234" s="3"/>
    </row>
    <row r="235">
      <c r="A235" s="21"/>
      <c r="C235" s="3"/>
      <c r="D235" s="3"/>
      <c r="E235" s="3"/>
      <c r="F235" s="3"/>
      <c r="G235" s="3"/>
    </row>
    <row r="236">
      <c r="A236" s="21"/>
      <c r="C236" s="3"/>
      <c r="D236" s="3"/>
      <c r="E236" s="3"/>
      <c r="F236" s="3"/>
      <c r="G236" s="3"/>
    </row>
    <row r="237">
      <c r="A237" s="21"/>
      <c r="C237" s="3"/>
      <c r="D237" s="3"/>
      <c r="E237" s="3"/>
      <c r="F237" s="3"/>
      <c r="G237" s="3"/>
    </row>
    <row r="238">
      <c r="A238" s="21"/>
      <c r="C238" s="3"/>
      <c r="D238" s="3"/>
      <c r="E238" s="3"/>
      <c r="F238" s="3"/>
      <c r="G238" s="3"/>
    </row>
    <row r="239">
      <c r="A239" s="21"/>
      <c r="C239" s="3"/>
      <c r="D239" s="3"/>
      <c r="E239" s="3"/>
      <c r="F239" s="3"/>
      <c r="G239" s="3"/>
    </row>
    <row r="240">
      <c r="A240" s="21"/>
      <c r="C240" s="3"/>
      <c r="D240" s="3"/>
      <c r="E240" s="3"/>
      <c r="F240" s="3"/>
      <c r="G240" s="3"/>
    </row>
    <row r="241">
      <c r="A241" s="21"/>
      <c r="C241" s="3"/>
      <c r="D241" s="3"/>
      <c r="E241" s="3"/>
      <c r="F241" s="3"/>
      <c r="G241" s="3"/>
    </row>
    <row r="242">
      <c r="A242" s="21"/>
      <c r="C242" s="3"/>
      <c r="D242" s="3"/>
      <c r="E242" s="3"/>
      <c r="F242" s="3"/>
      <c r="G242" s="3"/>
    </row>
    <row r="243">
      <c r="A243" s="21"/>
      <c r="C243" s="3"/>
      <c r="D243" s="3"/>
      <c r="E243" s="3"/>
      <c r="F243" s="3"/>
      <c r="G243" s="3"/>
    </row>
    <row r="244">
      <c r="A244" s="21"/>
      <c r="C244" s="3"/>
      <c r="D244" s="3"/>
      <c r="E244" s="3"/>
      <c r="F244" s="3"/>
      <c r="G244" s="3"/>
    </row>
    <row r="245">
      <c r="A245" s="21"/>
      <c r="C245" s="3"/>
      <c r="D245" s="3"/>
      <c r="E245" s="3"/>
      <c r="F245" s="3"/>
      <c r="G245" s="3"/>
    </row>
    <row r="246">
      <c r="A246" s="21"/>
      <c r="C246" s="3"/>
      <c r="D246" s="3"/>
      <c r="E246" s="3"/>
      <c r="F246" s="3"/>
      <c r="G246" s="3"/>
    </row>
    <row r="247">
      <c r="A247" s="21"/>
      <c r="C247" s="3"/>
      <c r="D247" s="3"/>
      <c r="E247" s="3"/>
      <c r="F247" s="3"/>
      <c r="G247" s="3"/>
    </row>
    <row r="248">
      <c r="A248" s="21"/>
      <c r="C248" s="3"/>
      <c r="D248" s="3"/>
      <c r="E248" s="3"/>
      <c r="F248" s="3"/>
      <c r="G248" s="3"/>
    </row>
    <row r="249">
      <c r="A249" s="21"/>
      <c r="C249" s="3"/>
      <c r="D249" s="3"/>
      <c r="E249" s="3"/>
      <c r="F249" s="3"/>
      <c r="G249" s="3"/>
    </row>
    <row r="250">
      <c r="A250" s="21"/>
      <c r="C250" s="3"/>
      <c r="D250" s="3"/>
      <c r="E250" s="3"/>
      <c r="F250" s="3"/>
      <c r="G250" s="3"/>
    </row>
    <row r="251">
      <c r="A251" s="21"/>
      <c r="C251" s="3"/>
      <c r="D251" s="3"/>
      <c r="E251" s="3"/>
      <c r="F251" s="3"/>
      <c r="G251" s="3"/>
    </row>
    <row r="252">
      <c r="A252" s="21"/>
      <c r="C252" s="3"/>
      <c r="D252" s="3"/>
      <c r="E252" s="3"/>
      <c r="F252" s="3"/>
      <c r="G252" s="3"/>
    </row>
    <row r="253">
      <c r="A253" s="21"/>
      <c r="C253" s="3"/>
      <c r="D253" s="3"/>
      <c r="E253" s="3"/>
      <c r="F253" s="3"/>
      <c r="G253" s="3"/>
    </row>
    <row r="254">
      <c r="A254" s="21"/>
      <c r="C254" s="3"/>
      <c r="D254" s="3"/>
      <c r="E254" s="3"/>
      <c r="F254" s="3"/>
      <c r="G254" s="3"/>
    </row>
    <row r="255">
      <c r="A255" s="21"/>
      <c r="C255" s="3"/>
      <c r="D255" s="3"/>
      <c r="E255" s="3"/>
      <c r="F255" s="3"/>
      <c r="G255" s="3"/>
    </row>
    <row r="256">
      <c r="A256" s="21"/>
      <c r="C256" s="3"/>
      <c r="D256" s="3"/>
      <c r="E256" s="3"/>
      <c r="F256" s="3"/>
      <c r="G256" s="3"/>
    </row>
    <row r="257">
      <c r="A257" s="21"/>
      <c r="C257" s="3"/>
      <c r="D257" s="3"/>
      <c r="E257" s="3"/>
      <c r="F257" s="3"/>
      <c r="G257" s="3"/>
    </row>
    <row r="258">
      <c r="A258" s="21"/>
      <c r="C258" s="3"/>
      <c r="D258" s="3"/>
      <c r="E258" s="3"/>
      <c r="F258" s="3"/>
      <c r="G258" s="3"/>
    </row>
    <row r="259">
      <c r="A259" s="21"/>
      <c r="C259" s="3"/>
      <c r="D259" s="3"/>
      <c r="E259" s="3"/>
      <c r="F259" s="3"/>
      <c r="G259" s="3"/>
    </row>
    <row r="260">
      <c r="A260" s="21"/>
      <c r="C260" s="3"/>
      <c r="D260" s="3"/>
      <c r="E260" s="3"/>
      <c r="F260" s="3"/>
      <c r="G260" s="3"/>
    </row>
    <row r="261">
      <c r="A261" s="21"/>
      <c r="C261" s="3"/>
      <c r="D261" s="3"/>
      <c r="E261" s="3"/>
      <c r="F261" s="3"/>
      <c r="G261" s="3"/>
    </row>
    <row r="262">
      <c r="A262" s="21"/>
      <c r="C262" s="3"/>
      <c r="D262" s="3"/>
      <c r="E262" s="3"/>
      <c r="F262" s="3"/>
      <c r="G262" s="3"/>
    </row>
    <row r="263">
      <c r="A263" s="21"/>
      <c r="C263" s="3"/>
      <c r="D263" s="3"/>
      <c r="E263" s="3"/>
      <c r="F263" s="3"/>
      <c r="G263" s="3"/>
    </row>
    <row r="264">
      <c r="A264" s="21"/>
      <c r="C264" s="3"/>
      <c r="D264" s="3"/>
      <c r="E264" s="3"/>
      <c r="F264" s="3"/>
      <c r="G264" s="3"/>
    </row>
    <row r="265">
      <c r="A265" s="21"/>
      <c r="C265" s="3"/>
      <c r="D265" s="3"/>
      <c r="E265" s="3"/>
      <c r="F265" s="3"/>
      <c r="G265" s="3"/>
    </row>
    <row r="266">
      <c r="A266" s="21"/>
      <c r="C266" s="3"/>
      <c r="D266" s="3"/>
      <c r="E266" s="3"/>
      <c r="F266" s="3"/>
      <c r="G266" s="3"/>
    </row>
    <row r="267">
      <c r="A267" s="21"/>
      <c r="C267" s="3"/>
      <c r="D267" s="3"/>
      <c r="E267" s="3"/>
      <c r="F267" s="3"/>
      <c r="G267" s="3"/>
    </row>
    <row r="268">
      <c r="A268" s="21"/>
      <c r="C268" s="3"/>
      <c r="D268" s="3"/>
      <c r="E268" s="3"/>
      <c r="F268" s="3"/>
      <c r="G268" s="3"/>
    </row>
    <row r="269">
      <c r="A269" s="21"/>
      <c r="C269" s="3"/>
      <c r="D269" s="3"/>
      <c r="E269" s="3"/>
      <c r="F269" s="3"/>
      <c r="G269" s="3"/>
    </row>
    <row r="270">
      <c r="A270" s="21"/>
      <c r="C270" s="3"/>
      <c r="D270" s="3"/>
      <c r="E270" s="3"/>
      <c r="F270" s="3"/>
      <c r="G270" s="3"/>
    </row>
    <row r="271">
      <c r="A271" s="21"/>
      <c r="C271" s="3"/>
      <c r="D271" s="3"/>
      <c r="E271" s="3"/>
      <c r="F271" s="3"/>
      <c r="G271" s="3"/>
    </row>
    <row r="272">
      <c r="A272" s="21"/>
      <c r="C272" s="3"/>
      <c r="D272" s="3"/>
      <c r="E272" s="3"/>
      <c r="F272" s="3"/>
      <c r="G272" s="3"/>
    </row>
    <row r="273">
      <c r="A273" s="21"/>
      <c r="C273" s="3"/>
      <c r="D273" s="3"/>
      <c r="E273" s="3"/>
      <c r="F273" s="3"/>
      <c r="G273" s="3"/>
    </row>
    <row r="274">
      <c r="A274" s="21"/>
      <c r="C274" s="3"/>
      <c r="D274" s="3"/>
      <c r="E274" s="3"/>
      <c r="F274" s="3"/>
      <c r="G274" s="3"/>
    </row>
    <row r="275">
      <c r="A275" s="21"/>
      <c r="C275" s="3"/>
      <c r="D275" s="3"/>
      <c r="E275" s="3"/>
      <c r="F275" s="3"/>
      <c r="G275" s="3"/>
    </row>
    <row r="276">
      <c r="A276" s="21"/>
      <c r="C276" s="3"/>
      <c r="D276" s="3"/>
      <c r="E276" s="3"/>
      <c r="F276" s="3"/>
      <c r="G276" s="3"/>
    </row>
    <row r="277">
      <c r="A277" s="21"/>
      <c r="C277" s="3"/>
      <c r="D277" s="3"/>
      <c r="E277" s="3"/>
      <c r="F277" s="3"/>
      <c r="G277" s="3"/>
    </row>
    <row r="278">
      <c r="A278" s="21"/>
      <c r="C278" s="3"/>
      <c r="D278" s="3"/>
      <c r="E278" s="3"/>
      <c r="F278" s="3"/>
      <c r="G278" s="3"/>
    </row>
    <row r="279">
      <c r="A279" s="21"/>
      <c r="C279" s="3"/>
      <c r="D279" s="3"/>
      <c r="E279" s="3"/>
      <c r="F279" s="3"/>
      <c r="G279" s="3"/>
    </row>
    <row r="280">
      <c r="A280" s="21"/>
      <c r="C280" s="3"/>
      <c r="D280" s="3"/>
      <c r="E280" s="3"/>
      <c r="F280" s="3"/>
      <c r="G280" s="3"/>
    </row>
    <row r="281">
      <c r="A281" s="21"/>
      <c r="C281" s="3"/>
      <c r="D281" s="3"/>
      <c r="E281" s="3"/>
      <c r="F281" s="3"/>
      <c r="G281" s="3"/>
    </row>
    <row r="282">
      <c r="A282" s="21"/>
      <c r="C282" s="3"/>
      <c r="D282" s="3"/>
      <c r="E282" s="3"/>
      <c r="F282" s="3"/>
      <c r="G282" s="3"/>
    </row>
    <row r="283">
      <c r="A283" s="21"/>
      <c r="C283" s="3"/>
      <c r="D283" s="3"/>
      <c r="E283" s="3"/>
      <c r="F283" s="3"/>
      <c r="G283" s="3"/>
    </row>
    <row r="284">
      <c r="A284" s="21"/>
      <c r="C284" s="3"/>
      <c r="D284" s="3"/>
      <c r="E284" s="3"/>
      <c r="F284" s="3"/>
      <c r="G284" s="3"/>
    </row>
    <row r="285">
      <c r="A285" s="21"/>
      <c r="C285" s="3"/>
      <c r="D285" s="3"/>
      <c r="E285" s="3"/>
      <c r="F285" s="3"/>
      <c r="G285" s="3"/>
    </row>
    <row r="286">
      <c r="A286" s="21"/>
      <c r="C286" s="3"/>
      <c r="D286" s="3"/>
      <c r="E286" s="3"/>
      <c r="F286" s="3"/>
      <c r="G286" s="3"/>
    </row>
    <row r="287">
      <c r="A287" s="21"/>
      <c r="C287" s="3"/>
      <c r="D287" s="3"/>
      <c r="E287" s="3"/>
      <c r="F287" s="3"/>
      <c r="G287" s="3"/>
    </row>
    <row r="288">
      <c r="A288" s="21"/>
      <c r="C288" s="3"/>
      <c r="D288" s="3"/>
      <c r="E288" s="3"/>
      <c r="F288" s="3"/>
      <c r="G288" s="3"/>
    </row>
    <row r="289">
      <c r="A289" s="21"/>
      <c r="C289" s="3"/>
      <c r="D289" s="3"/>
      <c r="E289" s="3"/>
      <c r="F289" s="3"/>
      <c r="G289" s="3"/>
    </row>
    <row r="290">
      <c r="A290" s="21"/>
      <c r="C290" s="3"/>
      <c r="D290" s="3"/>
      <c r="E290" s="3"/>
      <c r="F290" s="3"/>
      <c r="G290" s="3"/>
    </row>
    <row r="291">
      <c r="A291" s="21"/>
      <c r="C291" s="3"/>
      <c r="D291" s="3"/>
      <c r="E291" s="3"/>
      <c r="F291" s="3"/>
      <c r="G291" s="3"/>
    </row>
    <row r="292">
      <c r="A292" s="21"/>
      <c r="C292" s="3"/>
      <c r="D292" s="3"/>
      <c r="E292" s="3"/>
      <c r="F292" s="3"/>
      <c r="G292" s="3"/>
    </row>
    <row r="293">
      <c r="A293" s="21"/>
      <c r="C293" s="3"/>
      <c r="D293" s="3"/>
      <c r="E293" s="3"/>
      <c r="F293" s="3"/>
      <c r="G293" s="3"/>
    </row>
    <row r="294">
      <c r="A294" s="21"/>
      <c r="C294" s="3"/>
      <c r="D294" s="3"/>
      <c r="E294" s="3"/>
      <c r="F294" s="3"/>
      <c r="G294" s="3"/>
    </row>
    <row r="295">
      <c r="A295" s="21"/>
      <c r="C295" s="3"/>
      <c r="D295" s="3"/>
      <c r="E295" s="3"/>
      <c r="F295" s="3"/>
      <c r="G295" s="3"/>
    </row>
    <row r="296">
      <c r="A296" s="21"/>
      <c r="C296" s="3"/>
      <c r="D296" s="3"/>
      <c r="E296" s="3"/>
      <c r="F296" s="3"/>
      <c r="G296" s="3"/>
    </row>
    <row r="297">
      <c r="A297" s="21"/>
      <c r="C297" s="3"/>
      <c r="D297" s="3"/>
      <c r="E297" s="3"/>
      <c r="F297" s="3"/>
      <c r="G297" s="3"/>
    </row>
    <row r="298">
      <c r="A298" s="21"/>
      <c r="C298" s="3"/>
      <c r="D298" s="3"/>
      <c r="E298" s="3"/>
      <c r="F298" s="3"/>
      <c r="G298" s="3"/>
    </row>
    <row r="299">
      <c r="A299" s="21"/>
      <c r="C299" s="3"/>
      <c r="D299" s="3"/>
      <c r="E299" s="3"/>
      <c r="F299" s="3"/>
      <c r="G299" s="3"/>
    </row>
    <row r="300">
      <c r="A300" s="21"/>
      <c r="C300" s="3"/>
      <c r="D300" s="3"/>
      <c r="E300" s="3"/>
      <c r="F300" s="3"/>
      <c r="G300" s="3"/>
    </row>
    <row r="301">
      <c r="A301" s="21"/>
      <c r="C301" s="3"/>
      <c r="D301" s="3"/>
      <c r="E301" s="3"/>
      <c r="F301" s="3"/>
      <c r="G301" s="3"/>
    </row>
    <row r="302">
      <c r="A302" s="21"/>
      <c r="C302" s="3"/>
      <c r="D302" s="3"/>
      <c r="E302" s="3"/>
      <c r="F302" s="3"/>
      <c r="G302" s="3"/>
    </row>
    <row r="303">
      <c r="A303" s="21"/>
      <c r="C303" s="3"/>
      <c r="D303" s="3"/>
      <c r="E303" s="3"/>
      <c r="F303" s="3"/>
      <c r="G303" s="3"/>
    </row>
    <row r="304">
      <c r="A304" s="21"/>
      <c r="C304" s="3"/>
      <c r="D304" s="3"/>
      <c r="E304" s="3"/>
      <c r="F304" s="3"/>
      <c r="G304" s="3"/>
    </row>
    <row r="305">
      <c r="A305" s="21"/>
      <c r="C305" s="3"/>
      <c r="D305" s="3"/>
      <c r="E305" s="3"/>
      <c r="F305" s="3"/>
      <c r="G305" s="3"/>
    </row>
    <row r="306">
      <c r="A306" s="21"/>
      <c r="C306" s="3"/>
      <c r="D306" s="3"/>
      <c r="E306" s="3"/>
      <c r="F306" s="3"/>
      <c r="G306" s="3"/>
    </row>
    <row r="307">
      <c r="A307" s="21"/>
      <c r="C307" s="3"/>
      <c r="D307" s="3"/>
      <c r="E307" s="3"/>
      <c r="F307" s="3"/>
      <c r="G307" s="3"/>
    </row>
    <row r="308">
      <c r="A308" s="21"/>
      <c r="C308" s="3"/>
      <c r="D308" s="3"/>
      <c r="E308" s="3"/>
      <c r="F308" s="3"/>
      <c r="G308" s="3"/>
    </row>
    <row r="309">
      <c r="A309" s="21"/>
      <c r="C309" s="3"/>
      <c r="D309" s="3"/>
      <c r="E309" s="3"/>
      <c r="F309" s="3"/>
      <c r="G309" s="3"/>
    </row>
    <row r="310">
      <c r="A310" s="21"/>
      <c r="C310" s="3"/>
      <c r="D310" s="3"/>
      <c r="E310" s="3"/>
      <c r="F310" s="3"/>
      <c r="G310" s="3"/>
    </row>
    <row r="311">
      <c r="A311" s="21"/>
      <c r="C311" s="3"/>
      <c r="D311" s="3"/>
      <c r="E311" s="3"/>
      <c r="F311" s="3"/>
      <c r="G311" s="3"/>
    </row>
    <row r="312">
      <c r="A312" s="21"/>
      <c r="C312" s="3"/>
      <c r="D312" s="3"/>
      <c r="E312" s="3"/>
      <c r="F312" s="3"/>
      <c r="G312" s="3"/>
    </row>
    <row r="313">
      <c r="A313" s="21"/>
      <c r="C313" s="3"/>
      <c r="D313" s="3"/>
      <c r="E313" s="3"/>
      <c r="F313" s="3"/>
      <c r="G313" s="3"/>
    </row>
    <row r="314">
      <c r="A314" s="21"/>
      <c r="C314" s="3"/>
      <c r="D314" s="3"/>
      <c r="E314" s="3"/>
      <c r="F314" s="3"/>
      <c r="G314" s="3"/>
    </row>
    <row r="315">
      <c r="A315" s="21"/>
      <c r="C315" s="3"/>
      <c r="D315" s="3"/>
      <c r="E315" s="3"/>
      <c r="F315" s="3"/>
      <c r="G315" s="3"/>
    </row>
    <row r="316">
      <c r="A316" s="21"/>
      <c r="C316" s="3"/>
      <c r="D316" s="3"/>
      <c r="E316" s="3"/>
      <c r="F316" s="3"/>
      <c r="G316" s="3"/>
    </row>
    <row r="317">
      <c r="A317" s="21"/>
      <c r="C317" s="3"/>
      <c r="D317" s="3"/>
      <c r="E317" s="3"/>
      <c r="F317" s="3"/>
      <c r="G317" s="3"/>
    </row>
    <row r="318">
      <c r="A318" s="21"/>
      <c r="C318" s="3"/>
      <c r="D318" s="3"/>
      <c r="E318" s="3"/>
      <c r="F318" s="3"/>
      <c r="G318" s="3"/>
    </row>
    <row r="319">
      <c r="A319" s="21"/>
      <c r="C319" s="3"/>
      <c r="D319" s="3"/>
      <c r="E319" s="3"/>
      <c r="F319" s="3"/>
      <c r="G319" s="3"/>
    </row>
    <row r="320">
      <c r="A320" s="21"/>
      <c r="C320" s="3"/>
      <c r="D320" s="3"/>
      <c r="E320" s="3"/>
      <c r="F320" s="3"/>
      <c r="G320" s="3"/>
    </row>
    <row r="321">
      <c r="A321" s="21"/>
      <c r="C321" s="3"/>
      <c r="D321" s="3"/>
      <c r="E321" s="3"/>
      <c r="F321" s="3"/>
      <c r="G321" s="3"/>
    </row>
    <row r="322">
      <c r="A322" s="21"/>
      <c r="C322" s="3"/>
      <c r="D322" s="3"/>
      <c r="E322" s="3"/>
      <c r="F322" s="3"/>
      <c r="G322" s="3"/>
    </row>
    <row r="323">
      <c r="A323" s="21"/>
      <c r="C323" s="3"/>
      <c r="D323" s="3"/>
      <c r="E323" s="3"/>
      <c r="F323" s="3"/>
      <c r="G323" s="3"/>
    </row>
    <row r="324">
      <c r="A324" s="21"/>
      <c r="C324" s="3"/>
      <c r="D324" s="3"/>
      <c r="E324" s="3"/>
      <c r="F324" s="3"/>
      <c r="G324" s="3"/>
    </row>
    <row r="325">
      <c r="A325" s="21"/>
      <c r="C325" s="3"/>
      <c r="D325" s="3"/>
      <c r="E325" s="3"/>
      <c r="F325" s="3"/>
      <c r="G325" s="3"/>
    </row>
    <row r="326">
      <c r="A326" s="21"/>
      <c r="C326" s="3"/>
      <c r="D326" s="3"/>
      <c r="E326" s="3"/>
      <c r="F326" s="3"/>
      <c r="G326" s="3"/>
    </row>
    <row r="327">
      <c r="A327" s="21"/>
      <c r="C327" s="3"/>
      <c r="D327" s="3"/>
      <c r="E327" s="3"/>
      <c r="F327" s="3"/>
      <c r="G327" s="3"/>
    </row>
    <row r="328">
      <c r="A328" s="21"/>
      <c r="C328" s="3"/>
      <c r="D328" s="3"/>
      <c r="E328" s="3"/>
      <c r="F328" s="3"/>
      <c r="G328" s="3"/>
    </row>
    <row r="329">
      <c r="A329" s="21"/>
      <c r="C329" s="3"/>
      <c r="D329" s="3"/>
      <c r="E329" s="3"/>
      <c r="F329" s="3"/>
      <c r="G329" s="3"/>
    </row>
    <row r="330">
      <c r="A330" s="21"/>
      <c r="C330" s="3"/>
      <c r="D330" s="3"/>
      <c r="E330" s="3"/>
      <c r="F330" s="3"/>
      <c r="G330" s="3"/>
    </row>
    <row r="331">
      <c r="A331" s="21"/>
      <c r="C331" s="3"/>
      <c r="D331" s="3"/>
      <c r="E331" s="3"/>
      <c r="F331" s="3"/>
      <c r="G331" s="3"/>
    </row>
    <row r="332">
      <c r="A332" s="21"/>
      <c r="C332" s="3"/>
      <c r="D332" s="3"/>
      <c r="E332" s="3"/>
      <c r="F332" s="3"/>
      <c r="G332" s="3"/>
    </row>
    <row r="333">
      <c r="A333" s="21"/>
      <c r="C333" s="3"/>
      <c r="D333" s="3"/>
      <c r="E333" s="3"/>
      <c r="F333" s="3"/>
      <c r="G333" s="3"/>
    </row>
    <row r="334">
      <c r="A334" s="21"/>
      <c r="C334" s="3"/>
      <c r="D334" s="3"/>
      <c r="E334" s="3"/>
      <c r="F334" s="3"/>
      <c r="G334" s="3"/>
    </row>
    <row r="335">
      <c r="A335" s="21"/>
      <c r="C335" s="3"/>
      <c r="D335" s="3"/>
      <c r="E335" s="3"/>
      <c r="F335" s="3"/>
      <c r="G335" s="3"/>
    </row>
    <row r="336">
      <c r="A336" s="21"/>
      <c r="C336" s="3"/>
      <c r="D336" s="3"/>
      <c r="E336" s="3"/>
      <c r="F336" s="3"/>
      <c r="G336" s="3"/>
    </row>
    <row r="337">
      <c r="A337" s="21"/>
      <c r="C337" s="3"/>
      <c r="D337" s="3"/>
      <c r="E337" s="3"/>
      <c r="F337" s="3"/>
      <c r="G337" s="3"/>
    </row>
    <row r="338">
      <c r="A338" s="21"/>
      <c r="C338" s="3"/>
      <c r="D338" s="3"/>
      <c r="E338" s="3"/>
      <c r="F338" s="3"/>
      <c r="G338" s="3"/>
    </row>
    <row r="339">
      <c r="A339" s="21"/>
      <c r="C339" s="3"/>
      <c r="D339" s="3"/>
      <c r="E339" s="3"/>
      <c r="F339" s="3"/>
      <c r="G339" s="3"/>
    </row>
    <row r="340">
      <c r="A340" s="21"/>
      <c r="C340" s="3"/>
      <c r="D340" s="3"/>
      <c r="E340" s="3"/>
      <c r="F340" s="3"/>
      <c r="G340" s="3"/>
    </row>
    <row r="341">
      <c r="A341" s="21"/>
      <c r="C341" s="3"/>
      <c r="D341" s="3"/>
      <c r="E341" s="3"/>
      <c r="F341" s="3"/>
      <c r="G341" s="3"/>
    </row>
    <row r="342">
      <c r="A342" s="21"/>
      <c r="C342" s="3"/>
      <c r="D342" s="3"/>
      <c r="E342" s="3"/>
      <c r="F342" s="3"/>
      <c r="G342" s="3"/>
    </row>
    <row r="343">
      <c r="A343" s="21"/>
      <c r="C343" s="3"/>
      <c r="D343" s="3"/>
      <c r="E343" s="3"/>
      <c r="F343" s="3"/>
      <c r="G343" s="3"/>
    </row>
    <row r="344">
      <c r="A344" s="21"/>
      <c r="C344" s="3"/>
      <c r="D344" s="3"/>
      <c r="E344" s="3"/>
      <c r="F344" s="3"/>
      <c r="G344" s="3"/>
    </row>
    <row r="345">
      <c r="A345" s="21"/>
      <c r="C345" s="3"/>
      <c r="D345" s="3"/>
      <c r="E345" s="3"/>
      <c r="F345" s="3"/>
      <c r="G345" s="3"/>
    </row>
    <row r="346">
      <c r="A346" s="21"/>
      <c r="C346" s="3"/>
      <c r="D346" s="3"/>
      <c r="E346" s="3"/>
      <c r="F346" s="3"/>
      <c r="G346" s="3"/>
    </row>
    <row r="347">
      <c r="A347" s="21"/>
      <c r="C347" s="3"/>
      <c r="D347" s="3"/>
      <c r="E347" s="3"/>
      <c r="F347" s="3"/>
      <c r="G347" s="3"/>
    </row>
    <row r="348">
      <c r="A348" s="21"/>
      <c r="C348" s="3"/>
      <c r="D348" s="3"/>
      <c r="E348" s="3"/>
      <c r="F348" s="3"/>
      <c r="G348" s="3"/>
    </row>
    <row r="349">
      <c r="A349" s="21"/>
      <c r="C349" s="3"/>
      <c r="D349" s="3"/>
      <c r="E349" s="3"/>
      <c r="F349" s="3"/>
      <c r="G349" s="3"/>
    </row>
    <row r="350">
      <c r="A350" s="21"/>
      <c r="C350" s="3"/>
      <c r="D350" s="3"/>
      <c r="E350" s="3"/>
      <c r="F350" s="3"/>
      <c r="G350" s="3"/>
    </row>
    <row r="351">
      <c r="A351" s="21"/>
      <c r="C351" s="3"/>
      <c r="D351" s="3"/>
      <c r="E351" s="3"/>
      <c r="F351" s="3"/>
      <c r="G351" s="3"/>
    </row>
    <row r="352">
      <c r="A352" s="21"/>
      <c r="C352" s="3"/>
      <c r="D352" s="3"/>
      <c r="E352" s="3"/>
      <c r="F352" s="3"/>
      <c r="G352" s="3"/>
    </row>
    <row r="353">
      <c r="A353" s="21"/>
      <c r="C353" s="3"/>
      <c r="D353" s="3"/>
      <c r="E353" s="3"/>
      <c r="F353" s="3"/>
      <c r="G353" s="3"/>
    </row>
    <row r="354">
      <c r="A354" s="21"/>
      <c r="C354" s="3"/>
      <c r="D354" s="3"/>
      <c r="E354" s="3"/>
      <c r="F354" s="3"/>
      <c r="G354" s="3"/>
    </row>
    <row r="355">
      <c r="A355" s="21"/>
      <c r="C355" s="3"/>
      <c r="D355" s="3"/>
      <c r="E355" s="3"/>
      <c r="F355" s="3"/>
      <c r="G355" s="3"/>
    </row>
    <row r="356">
      <c r="A356" s="21"/>
      <c r="C356" s="3"/>
      <c r="D356" s="3"/>
      <c r="E356" s="3"/>
      <c r="F356" s="3"/>
      <c r="G356" s="3"/>
    </row>
    <row r="357">
      <c r="A357" s="21"/>
      <c r="C357" s="3"/>
      <c r="D357" s="3"/>
      <c r="E357" s="3"/>
      <c r="F357" s="3"/>
      <c r="G357" s="3"/>
    </row>
    <row r="358">
      <c r="A358" s="21"/>
      <c r="C358" s="3"/>
      <c r="D358" s="3"/>
      <c r="E358" s="3"/>
      <c r="F358" s="3"/>
      <c r="G358" s="3"/>
    </row>
    <row r="359">
      <c r="A359" s="21"/>
      <c r="C359" s="3"/>
      <c r="D359" s="3"/>
      <c r="E359" s="3"/>
      <c r="F359" s="3"/>
      <c r="G359" s="3"/>
    </row>
    <row r="360">
      <c r="A360" s="21"/>
      <c r="C360" s="3"/>
      <c r="D360" s="3"/>
      <c r="E360" s="3"/>
      <c r="F360" s="3"/>
      <c r="G360" s="3"/>
    </row>
    <row r="361">
      <c r="A361" s="21"/>
      <c r="C361" s="3"/>
      <c r="D361" s="3"/>
      <c r="E361" s="3"/>
      <c r="F361" s="3"/>
      <c r="G361" s="3"/>
    </row>
    <row r="362">
      <c r="A362" s="21"/>
      <c r="C362" s="3"/>
      <c r="D362" s="3"/>
      <c r="E362" s="3"/>
      <c r="F362" s="3"/>
      <c r="G362" s="3"/>
    </row>
    <row r="363">
      <c r="A363" s="21"/>
      <c r="C363" s="3"/>
      <c r="D363" s="3"/>
      <c r="E363" s="3"/>
      <c r="F363" s="3"/>
      <c r="G363" s="3"/>
    </row>
    <row r="364">
      <c r="A364" s="21"/>
      <c r="C364" s="3"/>
      <c r="D364" s="3"/>
      <c r="E364" s="3"/>
      <c r="F364" s="3"/>
      <c r="G364" s="3"/>
    </row>
    <row r="365">
      <c r="A365" s="21"/>
      <c r="C365" s="3"/>
      <c r="D365" s="3"/>
      <c r="E365" s="3"/>
      <c r="F365" s="3"/>
      <c r="G365" s="3"/>
    </row>
    <row r="366">
      <c r="A366" s="21"/>
      <c r="C366" s="3"/>
      <c r="D366" s="3"/>
      <c r="E366" s="3"/>
      <c r="F366" s="3"/>
      <c r="G366" s="3"/>
    </row>
    <row r="367">
      <c r="A367" s="21"/>
      <c r="C367" s="3"/>
      <c r="D367" s="3"/>
      <c r="E367" s="3"/>
      <c r="F367" s="3"/>
      <c r="G367" s="3"/>
    </row>
    <row r="368">
      <c r="A368" s="21"/>
      <c r="C368" s="3"/>
      <c r="D368" s="3"/>
      <c r="E368" s="3"/>
      <c r="F368" s="3"/>
      <c r="G368" s="3"/>
    </row>
    <row r="369">
      <c r="A369" s="21"/>
      <c r="C369" s="3"/>
      <c r="D369" s="3"/>
      <c r="E369" s="3"/>
      <c r="F369" s="3"/>
      <c r="G369" s="3"/>
    </row>
    <row r="370">
      <c r="A370" s="21"/>
      <c r="C370" s="3"/>
      <c r="D370" s="3"/>
      <c r="E370" s="3"/>
      <c r="F370" s="3"/>
      <c r="G370" s="3"/>
    </row>
    <row r="371">
      <c r="A371" s="21"/>
      <c r="C371" s="3"/>
      <c r="D371" s="3"/>
      <c r="E371" s="3"/>
      <c r="F371" s="3"/>
      <c r="G371" s="3"/>
    </row>
    <row r="372">
      <c r="A372" s="21"/>
      <c r="C372" s="3"/>
      <c r="D372" s="3"/>
      <c r="E372" s="3"/>
      <c r="F372" s="3"/>
      <c r="G372" s="3"/>
    </row>
    <row r="373">
      <c r="A373" s="21"/>
      <c r="C373" s="3"/>
      <c r="D373" s="3"/>
      <c r="E373" s="3"/>
      <c r="F373" s="3"/>
      <c r="G373" s="3"/>
    </row>
    <row r="374">
      <c r="A374" s="21"/>
      <c r="C374" s="3"/>
      <c r="D374" s="3"/>
      <c r="E374" s="3"/>
      <c r="F374" s="3"/>
      <c r="G374" s="3"/>
    </row>
    <row r="375">
      <c r="A375" s="21"/>
      <c r="C375" s="3"/>
      <c r="D375" s="3"/>
      <c r="E375" s="3"/>
      <c r="F375" s="3"/>
      <c r="G375" s="3"/>
    </row>
    <row r="376">
      <c r="A376" s="21"/>
      <c r="C376" s="3"/>
      <c r="D376" s="3"/>
      <c r="E376" s="3"/>
      <c r="F376" s="3"/>
      <c r="G376" s="3"/>
    </row>
    <row r="377">
      <c r="A377" s="21"/>
      <c r="C377" s="3"/>
      <c r="D377" s="3"/>
      <c r="E377" s="3"/>
      <c r="F377" s="3"/>
      <c r="G377" s="3"/>
    </row>
    <row r="378">
      <c r="A378" s="21"/>
      <c r="C378" s="3"/>
      <c r="D378" s="3"/>
      <c r="E378" s="3"/>
      <c r="F378" s="3"/>
      <c r="G378" s="3"/>
    </row>
    <row r="379">
      <c r="A379" s="21"/>
      <c r="C379" s="3"/>
      <c r="D379" s="3"/>
      <c r="E379" s="3"/>
      <c r="F379" s="3"/>
      <c r="G379" s="3"/>
    </row>
    <row r="380">
      <c r="A380" s="21"/>
      <c r="C380" s="3"/>
      <c r="D380" s="3"/>
      <c r="E380" s="3"/>
      <c r="F380" s="3"/>
      <c r="G380" s="3"/>
    </row>
    <row r="381">
      <c r="A381" s="21"/>
      <c r="C381" s="3"/>
      <c r="D381" s="3"/>
      <c r="E381" s="3"/>
      <c r="F381" s="3"/>
      <c r="G381" s="3"/>
    </row>
    <row r="382">
      <c r="A382" s="21"/>
      <c r="C382" s="3"/>
      <c r="D382" s="3"/>
      <c r="E382" s="3"/>
      <c r="F382" s="3"/>
      <c r="G382" s="3"/>
    </row>
    <row r="383">
      <c r="A383" s="21"/>
      <c r="C383" s="3"/>
      <c r="D383" s="3"/>
      <c r="E383" s="3"/>
      <c r="F383" s="3"/>
      <c r="G383" s="3"/>
    </row>
    <row r="384">
      <c r="A384" s="21"/>
      <c r="C384" s="3"/>
      <c r="D384" s="3"/>
      <c r="E384" s="3"/>
      <c r="F384" s="3"/>
      <c r="G384" s="3"/>
    </row>
    <row r="385">
      <c r="A385" s="21"/>
      <c r="C385" s="3"/>
      <c r="D385" s="3"/>
      <c r="E385" s="3"/>
      <c r="F385" s="3"/>
      <c r="G385" s="3"/>
    </row>
    <row r="386">
      <c r="A386" s="21"/>
      <c r="C386" s="3"/>
      <c r="D386" s="3"/>
      <c r="E386" s="3"/>
      <c r="F386" s="3"/>
      <c r="G386" s="3"/>
    </row>
    <row r="387">
      <c r="A387" s="21"/>
      <c r="C387" s="3"/>
      <c r="D387" s="3"/>
      <c r="E387" s="3"/>
      <c r="F387" s="3"/>
      <c r="G387" s="3"/>
    </row>
    <row r="388">
      <c r="A388" s="21"/>
      <c r="C388" s="3"/>
      <c r="D388" s="3"/>
      <c r="E388" s="3"/>
      <c r="F388" s="3"/>
      <c r="G388" s="3"/>
    </row>
    <row r="389">
      <c r="A389" s="21"/>
      <c r="C389" s="3"/>
      <c r="D389" s="3"/>
      <c r="E389" s="3"/>
      <c r="F389" s="3"/>
      <c r="G389" s="3"/>
    </row>
    <row r="390">
      <c r="A390" s="21"/>
      <c r="C390" s="3"/>
      <c r="D390" s="3"/>
      <c r="E390" s="3"/>
      <c r="F390" s="3"/>
      <c r="G390" s="3"/>
    </row>
    <row r="391">
      <c r="A391" s="21"/>
      <c r="C391" s="3"/>
      <c r="D391" s="3"/>
      <c r="E391" s="3"/>
      <c r="F391" s="3"/>
      <c r="G391" s="3"/>
    </row>
    <row r="392">
      <c r="A392" s="21"/>
      <c r="C392" s="3"/>
      <c r="D392" s="3"/>
      <c r="E392" s="3"/>
      <c r="F392" s="3"/>
      <c r="G392" s="3"/>
    </row>
    <row r="393">
      <c r="A393" s="21"/>
      <c r="C393" s="3"/>
      <c r="D393" s="3"/>
      <c r="E393" s="3"/>
      <c r="F393" s="3"/>
      <c r="G393" s="3"/>
    </row>
    <row r="394">
      <c r="A394" s="21"/>
      <c r="C394" s="3"/>
      <c r="D394" s="3"/>
      <c r="E394" s="3"/>
      <c r="F394" s="3"/>
      <c r="G394" s="3"/>
    </row>
    <row r="395">
      <c r="A395" s="21"/>
      <c r="C395" s="3"/>
      <c r="D395" s="3"/>
      <c r="E395" s="3"/>
      <c r="F395" s="3"/>
      <c r="G395" s="3"/>
    </row>
    <row r="396">
      <c r="A396" s="21"/>
      <c r="C396" s="3"/>
      <c r="D396" s="3"/>
      <c r="E396" s="3"/>
      <c r="F396" s="3"/>
      <c r="G396" s="3"/>
    </row>
    <row r="397">
      <c r="A397" s="21"/>
      <c r="C397" s="3"/>
      <c r="D397" s="3"/>
      <c r="E397" s="3"/>
      <c r="F397" s="3"/>
      <c r="G397" s="3"/>
    </row>
    <row r="398">
      <c r="A398" s="21"/>
      <c r="C398" s="3"/>
      <c r="D398" s="3"/>
      <c r="E398" s="3"/>
      <c r="F398" s="3"/>
      <c r="G398" s="3"/>
    </row>
    <row r="399">
      <c r="A399" s="21"/>
      <c r="C399" s="3"/>
      <c r="D399" s="3"/>
      <c r="E399" s="3"/>
      <c r="F399" s="3"/>
      <c r="G399" s="3"/>
    </row>
    <row r="400">
      <c r="A400" s="21"/>
      <c r="C400" s="3"/>
      <c r="D400" s="3"/>
      <c r="E400" s="3"/>
      <c r="F400" s="3"/>
      <c r="G400" s="3"/>
    </row>
    <row r="401">
      <c r="A401" s="21"/>
      <c r="C401" s="3"/>
      <c r="D401" s="3"/>
      <c r="E401" s="3"/>
      <c r="F401" s="3"/>
      <c r="G401" s="3"/>
    </row>
    <row r="402">
      <c r="A402" s="21"/>
      <c r="C402" s="3"/>
      <c r="D402" s="3"/>
      <c r="E402" s="3"/>
      <c r="F402" s="3"/>
      <c r="G402" s="3"/>
    </row>
    <row r="403">
      <c r="A403" s="21"/>
      <c r="C403" s="3"/>
      <c r="D403" s="3"/>
      <c r="E403" s="3"/>
      <c r="F403" s="3"/>
      <c r="G403" s="3"/>
    </row>
    <row r="404">
      <c r="A404" s="21"/>
      <c r="C404" s="3"/>
      <c r="D404" s="3"/>
      <c r="E404" s="3"/>
      <c r="F404" s="3"/>
      <c r="G404" s="3"/>
    </row>
    <row r="405">
      <c r="A405" s="21"/>
      <c r="C405" s="3"/>
      <c r="D405" s="3"/>
      <c r="E405" s="3"/>
      <c r="F405" s="3"/>
      <c r="G405" s="3"/>
    </row>
    <row r="406">
      <c r="A406" s="21"/>
      <c r="C406" s="3"/>
      <c r="D406" s="3"/>
      <c r="E406" s="3"/>
      <c r="F406" s="3"/>
      <c r="G406" s="3"/>
    </row>
    <row r="407">
      <c r="A407" s="21"/>
      <c r="C407" s="3"/>
      <c r="D407" s="3"/>
      <c r="E407" s="3"/>
      <c r="F407" s="3"/>
      <c r="G407" s="3"/>
    </row>
    <row r="408">
      <c r="A408" s="21"/>
      <c r="C408" s="3"/>
      <c r="D408" s="3"/>
      <c r="E408" s="3"/>
      <c r="F408" s="3"/>
      <c r="G408" s="3"/>
    </row>
    <row r="409">
      <c r="A409" s="21"/>
      <c r="C409" s="3"/>
      <c r="D409" s="3"/>
      <c r="E409" s="3"/>
      <c r="F409" s="3"/>
      <c r="G409" s="3"/>
    </row>
    <row r="410">
      <c r="A410" s="21"/>
      <c r="C410" s="3"/>
      <c r="D410" s="3"/>
      <c r="E410" s="3"/>
      <c r="F410" s="3"/>
      <c r="G410" s="3"/>
    </row>
    <row r="411">
      <c r="A411" s="21"/>
      <c r="C411" s="3"/>
      <c r="D411" s="3"/>
      <c r="E411" s="3"/>
      <c r="F411" s="3"/>
      <c r="G411" s="3"/>
    </row>
    <row r="412">
      <c r="A412" s="21"/>
      <c r="C412" s="3"/>
      <c r="D412" s="3"/>
      <c r="E412" s="3"/>
      <c r="F412" s="3"/>
      <c r="G412" s="3"/>
    </row>
    <row r="413">
      <c r="A413" s="21"/>
      <c r="C413" s="3"/>
      <c r="D413" s="3"/>
      <c r="E413" s="3"/>
      <c r="F413" s="3"/>
      <c r="G413" s="3"/>
    </row>
    <row r="414">
      <c r="A414" s="21"/>
      <c r="C414" s="3"/>
      <c r="D414" s="3"/>
      <c r="E414" s="3"/>
      <c r="F414" s="3"/>
      <c r="G414" s="3"/>
    </row>
    <row r="415">
      <c r="A415" s="21"/>
      <c r="C415" s="3"/>
      <c r="D415" s="3"/>
      <c r="E415" s="3"/>
      <c r="F415" s="3"/>
      <c r="G415" s="3"/>
    </row>
    <row r="416">
      <c r="A416" s="21"/>
      <c r="C416" s="3"/>
      <c r="D416" s="3"/>
      <c r="E416" s="3"/>
      <c r="F416" s="3"/>
      <c r="G416" s="3"/>
    </row>
    <row r="417">
      <c r="A417" s="21"/>
      <c r="C417" s="3"/>
      <c r="D417" s="3"/>
      <c r="E417" s="3"/>
      <c r="F417" s="3"/>
      <c r="G417" s="3"/>
    </row>
    <row r="418">
      <c r="A418" s="21"/>
      <c r="C418" s="3"/>
      <c r="D418" s="3"/>
      <c r="E418" s="3"/>
      <c r="F418" s="3"/>
      <c r="G418" s="3"/>
    </row>
    <row r="419">
      <c r="A419" s="21"/>
      <c r="C419" s="3"/>
      <c r="D419" s="3"/>
      <c r="E419" s="3"/>
      <c r="F419" s="3"/>
      <c r="G419" s="3"/>
    </row>
    <row r="420">
      <c r="A420" s="21"/>
      <c r="C420" s="3"/>
      <c r="D420" s="3"/>
      <c r="E420" s="3"/>
      <c r="F420" s="3"/>
      <c r="G420" s="3"/>
    </row>
    <row r="421">
      <c r="A421" s="21"/>
      <c r="C421" s="3"/>
      <c r="D421" s="3"/>
      <c r="E421" s="3"/>
      <c r="F421" s="3"/>
      <c r="G421" s="3"/>
    </row>
    <row r="422">
      <c r="A422" s="21"/>
      <c r="C422" s="3"/>
      <c r="D422" s="3"/>
      <c r="E422" s="3"/>
      <c r="F422" s="3"/>
      <c r="G422" s="3"/>
    </row>
    <row r="423">
      <c r="A423" s="21"/>
      <c r="C423" s="3"/>
      <c r="D423" s="3"/>
      <c r="E423" s="3"/>
      <c r="F423" s="3"/>
      <c r="G423" s="3"/>
    </row>
    <row r="424">
      <c r="A424" s="21"/>
      <c r="C424" s="3"/>
      <c r="D424" s="3"/>
      <c r="E424" s="3"/>
      <c r="F424" s="3"/>
      <c r="G424" s="3"/>
    </row>
    <row r="425">
      <c r="A425" s="21"/>
      <c r="C425" s="3"/>
      <c r="D425" s="3"/>
      <c r="E425" s="3"/>
      <c r="F425" s="3"/>
      <c r="G425" s="3"/>
    </row>
    <row r="426">
      <c r="A426" s="21"/>
      <c r="C426" s="3"/>
      <c r="D426" s="3"/>
      <c r="E426" s="3"/>
      <c r="F426" s="3"/>
      <c r="G426" s="3"/>
    </row>
    <row r="427">
      <c r="A427" s="21"/>
      <c r="C427" s="3"/>
      <c r="D427" s="3"/>
      <c r="E427" s="3"/>
      <c r="F427" s="3"/>
      <c r="G427" s="3"/>
    </row>
    <row r="428">
      <c r="A428" s="21"/>
      <c r="C428" s="3"/>
      <c r="D428" s="3"/>
      <c r="E428" s="3"/>
      <c r="F428" s="3"/>
      <c r="G428" s="3"/>
    </row>
    <row r="429">
      <c r="A429" s="21"/>
      <c r="C429" s="3"/>
      <c r="D429" s="3"/>
      <c r="E429" s="3"/>
      <c r="F429" s="3"/>
      <c r="G429" s="3"/>
    </row>
    <row r="430">
      <c r="A430" s="21"/>
      <c r="C430" s="3"/>
      <c r="D430" s="3"/>
      <c r="E430" s="3"/>
      <c r="F430" s="3"/>
      <c r="G430" s="3"/>
    </row>
    <row r="431">
      <c r="A431" s="21"/>
      <c r="C431" s="3"/>
      <c r="D431" s="3"/>
      <c r="E431" s="3"/>
      <c r="F431" s="3"/>
      <c r="G431" s="3"/>
    </row>
    <row r="432">
      <c r="A432" s="21"/>
      <c r="C432" s="3"/>
      <c r="D432" s="3"/>
      <c r="E432" s="3"/>
      <c r="F432" s="3"/>
      <c r="G432" s="3"/>
    </row>
    <row r="433">
      <c r="A433" s="21"/>
      <c r="C433" s="3"/>
      <c r="D433" s="3"/>
      <c r="E433" s="3"/>
      <c r="F433" s="3"/>
      <c r="G433" s="3"/>
    </row>
    <row r="434">
      <c r="A434" s="21"/>
      <c r="C434" s="3"/>
      <c r="D434" s="3"/>
      <c r="E434" s="3"/>
      <c r="F434" s="3"/>
      <c r="G434" s="3"/>
    </row>
    <row r="435">
      <c r="A435" s="21"/>
      <c r="C435" s="3"/>
      <c r="D435" s="3"/>
      <c r="E435" s="3"/>
      <c r="F435" s="3"/>
      <c r="G435" s="3"/>
    </row>
    <row r="436">
      <c r="A436" s="21"/>
      <c r="C436" s="3"/>
      <c r="D436" s="3"/>
      <c r="E436" s="3"/>
      <c r="F436" s="3"/>
      <c r="G436" s="3"/>
    </row>
    <row r="437">
      <c r="A437" s="21"/>
      <c r="C437" s="3"/>
      <c r="D437" s="3"/>
      <c r="E437" s="3"/>
      <c r="F437" s="3"/>
      <c r="G437" s="3"/>
    </row>
    <row r="438">
      <c r="A438" s="21"/>
      <c r="C438" s="3"/>
      <c r="D438" s="3"/>
      <c r="E438" s="3"/>
      <c r="F438" s="3"/>
      <c r="G438" s="3"/>
    </row>
    <row r="439">
      <c r="A439" s="21"/>
      <c r="C439" s="3"/>
      <c r="D439" s="3"/>
      <c r="E439" s="3"/>
      <c r="F439" s="3"/>
      <c r="G439" s="3"/>
    </row>
    <row r="440">
      <c r="A440" s="21"/>
      <c r="C440" s="3"/>
      <c r="D440" s="3"/>
      <c r="E440" s="3"/>
      <c r="F440" s="3"/>
      <c r="G440" s="3"/>
    </row>
    <row r="441">
      <c r="A441" s="21"/>
      <c r="C441" s="3"/>
      <c r="D441" s="3"/>
      <c r="E441" s="3"/>
      <c r="F441" s="3"/>
      <c r="G441" s="3"/>
    </row>
    <row r="442">
      <c r="A442" s="21"/>
      <c r="C442" s="3"/>
      <c r="D442" s="3"/>
      <c r="E442" s="3"/>
      <c r="F442" s="3"/>
      <c r="G442" s="3"/>
    </row>
    <row r="443">
      <c r="A443" s="21"/>
      <c r="C443" s="3"/>
      <c r="D443" s="3"/>
      <c r="E443" s="3"/>
      <c r="F443" s="3"/>
      <c r="G443" s="3"/>
    </row>
    <row r="444">
      <c r="A444" s="21"/>
      <c r="C444" s="3"/>
      <c r="D444" s="3"/>
      <c r="E444" s="3"/>
      <c r="F444" s="3"/>
      <c r="G444" s="3"/>
    </row>
    <row r="445">
      <c r="A445" s="21"/>
      <c r="C445" s="3"/>
      <c r="D445" s="3"/>
      <c r="E445" s="3"/>
      <c r="F445" s="3"/>
      <c r="G445" s="3"/>
    </row>
    <row r="446">
      <c r="A446" s="21"/>
      <c r="C446" s="3"/>
      <c r="D446" s="3"/>
      <c r="E446" s="3"/>
      <c r="F446" s="3"/>
      <c r="G446" s="3"/>
    </row>
    <row r="447">
      <c r="A447" s="21"/>
      <c r="C447" s="3"/>
      <c r="D447" s="3"/>
      <c r="E447" s="3"/>
      <c r="F447" s="3"/>
      <c r="G447" s="3"/>
    </row>
    <row r="448">
      <c r="A448" s="21"/>
      <c r="C448" s="3"/>
      <c r="D448" s="3"/>
      <c r="E448" s="3"/>
      <c r="F448" s="3"/>
      <c r="G448" s="3"/>
    </row>
    <row r="449">
      <c r="A449" s="21"/>
      <c r="C449" s="3"/>
      <c r="D449" s="3"/>
      <c r="E449" s="3"/>
      <c r="F449" s="3"/>
      <c r="G449" s="3"/>
    </row>
    <row r="450">
      <c r="A450" s="21"/>
      <c r="C450" s="3"/>
      <c r="D450" s="3"/>
      <c r="E450" s="3"/>
      <c r="F450" s="3"/>
      <c r="G450" s="3"/>
    </row>
    <row r="451">
      <c r="A451" s="21"/>
      <c r="C451" s="3"/>
      <c r="D451" s="3"/>
      <c r="E451" s="3"/>
      <c r="F451" s="3"/>
      <c r="G451" s="3"/>
    </row>
    <row r="452">
      <c r="A452" s="21"/>
      <c r="C452" s="3"/>
      <c r="D452" s="3"/>
      <c r="E452" s="3"/>
      <c r="F452" s="3"/>
      <c r="G452" s="3"/>
    </row>
    <row r="453">
      <c r="A453" s="21"/>
      <c r="C453" s="3"/>
      <c r="D453" s="3"/>
      <c r="E453" s="3"/>
      <c r="F453" s="3"/>
      <c r="G453" s="3"/>
    </row>
    <row r="454">
      <c r="A454" s="21"/>
      <c r="C454" s="3"/>
      <c r="D454" s="3"/>
      <c r="E454" s="3"/>
      <c r="F454" s="3"/>
      <c r="G454" s="3"/>
    </row>
    <row r="455">
      <c r="A455" s="21"/>
      <c r="C455" s="3"/>
      <c r="D455" s="3"/>
      <c r="E455" s="3"/>
      <c r="F455" s="3"/>
      <c r="G455" s="3"/>
    </row>
    <row r="456">
      <c r="A456" s="21"/>
      <c r="C456" s="3"/>
      <c r="D456" s="3"/>
      <c r="E456" s="3"/>
      <c r="F456" s="3"/>
      <c r="G456" s="3"/>
    </row>
    <row r="457">
      <c r="A457" s="21"/>
      <c r="C457" s="3"/>
      <c r="D457" s="3"/>
      <c r="E457" s="3"/>
      <c r="F457" s="3"/>
      <c r="G457" s="3"/>
    </row>
    <row r="458">
      <c r="A458" s="21"/>
      <c r="C458" s="3"/>
      <c r="D458" s="3"/>
      <c r="E458" s="3"/>
      <c r="F458" s="3"/>
      <c r="G458" s="3"/>
    </row>
    <row r="459">
      <c r="A459" s="21"/>
      <c r="C459" s="3"/>
      <c r="D459" s="3"/>
      <c r="E459" s="3"/>
      <c r="F459" s="3"/>
      <c r="G459" s="3"/>
    </row>
    <row r="460">
      <c r="A460" s="21"/>
      <c r="C460" s="3"/>
      <c r="D460" s="3"/>
      <c r="E460" s="3"/>
      <c r="F460" s="3"/>
      <c r="G460" s="3"/>
    </row>
    <row r="461">
      <c r="A461" s="21"/>
      <c r="C461" s="3"/>
      <c r="D461" s="3"/>
      <c r="E461" s="3"/>
      <c r="F461" s="3"/>
      <c r="G461" s="3"/>
    </row>
    <row r="462">
      <c r="A462" s="21"/>
      <c r="C462" s="3"/>
      <c r="D462" s="3"/>
      <c r="E462" s="3"/>
      <c r="F462" s="3"/>
      <c r="G462" s="3"/>
    </row>
    <row r="463">
      <c r="A463" s="21"/>
      <c r="C463" s="3"/>
      <c r="D463" s="3"/>
      <c r="E463" s="3"/>
      <c r="F463" s="3"/>
      <c r="G463" s="3"/>
    </row>
    <row r="464">
      <c r="A464" s="21"/>
      <c r="C464" s="3"/>
      <c r="D464" s="3"/>
      <c r="E464" s="3"/>
      <c r="F464" s="3"/>
      <c r="G464" s="3"/>
    </row>
    <row r="465">
      <c r="A465" s="21"/>
      <c r="C465" s="3"/>
      <c r="D465" s="3"/>
      <c r="E465" s="3"/>
      <c r="F465" s="3"/>
      <c r="G465" s="3"/>
    </row>
    <row r="466">
      <c r="A466" s="21"/>
      <c r="C466" s="3"/>
      <c r="D466" s="3"/>
      <c r="E466" s="3"/>
      <c r="F466" s="3"/>
      <c r="G466" s="3"/>
    </row>
    <row r="467">
      <c r="A467" s="21"/>
      <c r="C467" s="3"/>
      <c r="D467" s="3"/>
      <c r="E467" s="3"/>
      <c r="F467" s="3"/>
      <c r="G467" s="3"/>
    </row>
    <row r="468">
      <c r="A468" s="21"/>
      <c r="C468" s="3"/>
      <c r="D468" s="3"/>
      <c r="E468" s="3"/>
      <c r="F468" s="3"/>
      <c r="G468" s="3"/>
    </row>
    <row r="469">
      <c r="A469" s="21"/>
      <c r="C469" s="3"/>
      <c r="D469" s="3"/>
      <c r="E469" s="3"/>
      <c r="F469" s="3"/>
      <c r="G469" s="3"/>
    </row>
    <row r="470">
      <c r="A470" s="21"/>
      <c r="C470" s="3"/>
      <c r="D470" s="3"/>
      <c r="E470" s="3"/>
      <c r="F470" s="3"/>
      <c r="G470" s="3"/>
    </row>
    <row r="471">
      <c r="A471" s="21"/>
      <c r="C471" s="3"/>
      <c r="D471" s="3"/>
      <c r="E471" s="3"/>
      <c r="F471" s="3"/>
      <c r="G471" s="3"/>
    </row>
    <row r="472">
      <c r="A472" s="21"/>
      <c r="C472" s="3"/>
      <c r="D472" s="3"/>
      <c r="E472" s="3"/>
      <c r="F472" s="3"/>
      <c r="G472" s="3"/>
    </row>
    <row r="473">
      <c r="A473" s="21"/>
      <c r="C473" s="3"/>
      <c r="D473" s="3"/>
      <c r="E473" s="3"/>
      <c r="F473" s="3"/>
      <c r="G473" s="3"/>
    </row>
    <row r="474">
      <c r="A474" s="21"/>
      <c r="C474" s="3"/>
      <c r="D474" s="3"/>
      <c r="E474" s="3"/>
      <c r="F474" s="3"/>
      <c r="G474" s="3"/>
    </row>
    <row r="475">
      <c r="A475" s="21"/>
      <c r="C475" s="3"/>
      <c r="D475" s="3"/>
      <c r="E475" s="3"/>
      <c r="F475" s="3"/>
      <c r="G475" s="3"/>
    </row>
    <row r="476">
      <c r="A476" s="21"/>
      <c r="C476" s="3"/>
      <c r="D476" s="3"/>
      <c r="E476" s="3"/>
      <c r="F476" s="3"/>
      <c r="G476" s="3"/>
    </row>
    <row r="477">
      <c r="A477" s="21"/>
      <c r="C477" s="3"/>
      <c r="D477" s="3"/>
      <c r="E477" s="3"/>
      <c r="F477" s="3"/>
      <c r="G477" s="3"/>
    </row>
    <row r="478">
      <c r="A478" s="21"/>
      <c r="C478" s="3"/>
      <c r="D478" s="3"/>
      <c r="E478" s="3"/>
      <c r="F478" s="3"/>
      <c r="G478" s="3"/>
    </row>
    <row r="479">
      <c r="A479" s="21"/>
      <c r="C479" s="3"/>
      <c r="D479" s="3"/>
      <c r="E479" s="3"/>
      <c r="F479" s="3"/>
      <c r="G479" s="3"/>
    </row>
    <row r="480">
      <c r="A480" s="21"/>
      <c r="C480" s="3"/>
      <c r="D480" s="3"/>
      <c r="E480" s="3"/>
      <c r="F480" s="3"/>
      <c r="G480" s="3"/>
    </row>
    <row r="481">
      <c r="A481" s="21"/>
      <c r="C481" s="3"/>
      <c r="D481" s="3"/>
      <c r="E481" s="3"/>
      <c r="F481" s="3"/>
      <c r="G481" s="3"/>
    </row>
    <row r="482">
      <c r="A482" s="21"/>
      <c r="C482" s="3"/>
      <c r="D482" s="3"/>
      <c r="E482" s="3"/>
      <c r="F482" s="3"/>
      <c r="G482" s="3"/>
    </row>
    <row r="483">
      <c r="A483" s="21"/>
      <c r="C483" s="3"/>
      <c r="D483" s="3"/>
      <c r="E483" s="3"/>
      <c r="F483" s="3"/>
      <c r="G483" s="3"/>
    </row>
    <row r="484">
      <c r="A484" s="21"/>
      <c r="C484" s="3"/>
      <c r="D484" s="3"/>
      <c r="E484" s="3"/>
      <c r="F484" s="3"/>
      <c r="G484" s="3"/>
    </row>
    <row r="485">
      <c r="A485" s="21"/>
      <c r="C485" s="3"/>
      <c r="D485" s="3"/>
      <c r="E485" s="3"/>
      <c r="F485" s="3"/>
      <c r="G485" s="3"/>
    </row>
    <row r="486">
      <c r="A486" s="21"/>
      <c r="C486" s="3"/>
      <c r="D486" s="3"/>
      <c r="E486" s="3"/>
      <c r="F486" s="3"/>
      <c r="G486" s="3"/>
    </row>
    <row r="487">
      <c r="A487" s="21"/>
      <c r="C487" s="3"/>
      <c r="D487" s="3"/>
      <c r="E487" s="3"/>
      <c r="F487" s="3"/>
      <c r="G487" s="3"/>
    </row>
    <row r="488">
      <c r="A488" s="21"/>
      <c r="C488" s="3"/>
      <c r="D488" s="3"/>
      <c r="E488" s="3"/>
      <c r="F488" s="3"/>
      <c r="G488" s="3"/>
    </row>
    <row r="489">
      <c r="A489" s="21"/>
      <c r="C489" s="3"/>
      <c r="D489" s="3"/>
      <c r="E489" s="3"/>
      <c r="F489" s="3"/>
      <c r="G489" s="3"/>
    </row>
    <row r="490">
      <c r="A490" s="21"/>
      <c r="C490" s="3"/>
      <c r="D490" s="3"/>
      <c r="E490" s="3"/>
      <c r="F490" s="3"/>
      <c r="G490" s="3"/>
    </row>
    <row r="491">
      <c r="A491" s="21"/>
      <c r="C491" s="3"/>
      <c r="D491" s="3"/>
      <c r="E491" s="3"/>
      <c r="F491" s="3"/>
      <c r="G491" s="3"/>
    </row>
    <row r="492">
      <c r="A492" s="21"/>
      <c r="C492" s="3"/>
      <c r="D492" s="3"/>
      <c r="E492" s="3"/>
      <c r="F492" s="3"/>
      <c r="G492" s="3"/>
    </row>
    <row r="493">
      <c r="A493" s="21"/>
      <c r="C493" s="3"/>
      <c r="D493" s="3"/>
      <c r="E493" s="3"/>
      <c r="F493" s="3"/>
      <c r="G493" s="3"/>
    </row>
    <row r="494">
      <c r="A494" s="21"/>
      <c r="C494" s="3"/>
      <c r="D494" s="3"/>
      <c r="E494" s="3"/>
      <c r="F494" s="3"/>
      <c r="G494" s="3"/>
    </row>
    <row r="495">
      <c r="A495" s="21"/>
      <c r="C495" s="3"/>
      <c r="D495" s="3"/>
      <c r="E495" s="3"/>
      <c r="F495" s="3"/>
      <c r="G495" s="3"/>
    </row>
    <row r="496">
      <c r="A496" s="21"/>
      <c r="C496" s="3"/>
      <c r="D496" s="3"/>
      <c r="E496" s="3"/>
      <c r="F496" s="3"/>
      <c r="G496" s="3"/>
    </row>
    <row r="497">
      <c r="A497" s="21"/>
      <c r="C497" s="3"/>
      <c r="D497" s="3"/>
      <c r="E497" s="3"/>
      <c r="F497" s="3"/>
      <c r="G497" s="3"/>
    </row>
    <row r="498">
      <c r="A498" s="21"/>
      <c r="C498" s="3"/>
      <c r="D498" s="3"/>
      <c r="E498" s="3"/>
      <c r="F498" s="3"/>
      <c r="G498" s="3"/>
    </row>
    <row r="499">
      <c r="A499" s="21"/>
      <c r="C499" s="3"/>
      <c r="D499" s="3"/>
      <c r="E499" s="3"/>
      <c r="F499" s="3"/>
      <c r="G499" s="3"/>
    </row>
    <row r="500">
      <c r="A500" s="21"/>
      <c r="C500" s="3"/>
      <c r="D500" s="3"/>
      <c r="E500" s="3"/>
      <c r="F500" s="3"/>
      <c r="G500" s="3"/>
    </row>
    <row r="501">
      <c r="A501" s="21"/>
      <c r="C501" s="3"/>
      <c r="D501" s="3"/>
      <c r="E501" s="3"/>
      <c r="F501" s="3"/>
      <c r="G501" s="3"/>
    </row>
    <row r="502">
      <c r="A502" s="21"/>
      <c r="C502" s="3"/>
      <c r="D502" s="3"/>
      <c r="E502" s="3"/>
      <c r="F502" s="3"/>
      <c r="G502" s="3"/>
    </row>
    <row r="503">
      <c r="A503" s="21"/>
      <c r="C503" s="3"/>
      <c r="D503" s="3"/>
      <c r="E503" s="3"/>
      <c r="F503" s="3"/>
      <c r="G503" s="3"/>
    </row>
    <row r="504">
      <c r="A504" s="21"/>
      <c r="C504" s="3"/>
      <c r="D504" s="3"/>
      <c r="E504" s="3"/>
      <c r="F504" s="3"/>
      <c r="G504" s="3"/>
    </row>
    <row r="505">
      <c r="A505" s="21"/>
      <c r="C505" s="3"/>
      <c r="D505" s="3"/>
      <c r="E505" s="3"/>
      <c r="F505" s="3"/>
      <c r="G505" s="3"/>
    </row>
    <row r="506">
      <c r="A506" s="21"/>
      <c r="C506" s="3"/>
      <c r="D506" s="3"/>
      <c r="E506" s="3"/>
      <c r="F506" s="3"/>
      <c r="G506" s="3"/>
    </row>
    <row r="507">
      <c r="A507" s="21"/>
      <c r="C507" s="3"/>
      <c r="D507" s="3"/>
      <c r="E507" s="3"/>
      <c r="F507" s="3"/>
      <c r="G507" s="3"/>
    </row>
    <row r="508">
      <c r="A508" s="21"/>
      <c r="C508" s="3"/>
      <c r="D508" s="3"/>
      <c r="E508" s="3"/>
      <c r="F508" s="3"/>
      <c r="G508" s="3"/>
    </row>
    <row r="509">
      <c r="A509" s="21"/>
      <c r="C509" s="3"/>
      <c r="D509" s="3"/>
      <c r="E509" s="3"/>
      <c r="F509" s="3"/>
      <c r="G509" s="3"/>
    </row>
    <row r="510">
      <c r="A510" s="21"/>
      <c r="C510" s="3"/>
      <c r="D510" s="3"/>
      <c r="E510" s="3"/>
      <c r="F510" s="3"/>
      <c r="G510" s="3"/>
    </row>
    <row r="511">
      <c r="A511" s="21"/>
      <c r="C511" s="3"/>
      <c r="D511" s="3"/>
      <c r="E511" s="3"/>
      <c r="F511" s="3"/>
      <c r="G511" s="3"/>
    </row>
    <row r="512">
      <c r="A512" s="21"/>
      <c r="C512" s="3"/>
      <c r="D512" s="3"/>
      <c r="E512" s="3"/>
      <c r="F512" s="3"/>
      <c r="G512" s="3"/>
    </row>
    <row r="513">
      <c r="A513" s="21"/>
      <c r="C513" s="3"/>
      <c r="D513" s="3"/>
      <c r="E513" s="3"/>
      <c r="F513" s="3"/>
      <c r="G513" s="3"/>
    </row>
    <row r="514">
      <c r="A514" s="21"/>
      <c r="C514" s="3"/>
      <c r="D514" s="3"/>
      <c r="E514" s="3"/>
      <c r="F514" s="3"/>
      <c r="G514" s="3"/>
    </row>
    <row r="515">
      <c r="A515" s="21"/>
      <c r="C515" s="3"/>
      <c r="D515" s="3"/>
      <c r="E515" s="3"/>
      <c r="F515" s="3"/>
      <c r="G515" s="3"/>
    </row>
    <row r="516">
      <c r="A516" s="21"/>
      <c r="C516" s="3"/>
      <c r="D516" s="3"/>
      <c r="E516" s="3"/>
      <c r="F516" s="3"/>
      <c r="G516" s="3"/>
    </row>
    <row r="517">
      <c r="A517" s="21"/>
      <c r="C517" s="3"/>
      <c r="D517" s="3"/>
      <c r="E517" s="3"/>
      <c r="F517" s="3"/>
      <c r="G517" s="3"/>
    </row>
    <row r="518">
      <c r="A518" s="21"/>
      <c r="C518" s="3"/>
      <c r="D518" s="3"/>
      <c r="E518" s="3"/>
      <c r="F518" s="3"/>
      <c r="G518" s="3"/>
    </row>
    <row r="519">
      <c r="A519" s="21"/>
      <c r="C519" s="3"/>
      <c r="D519" s="3"/>
      <c r="E519" s="3"/>
      <c r="F519" s="3"/>
      <c r="G519" s="3"/>
    </row>
    <row r="520">
      <c r="A520" s="21"/>
      <c r="C520" s="3"/>
      <c r="D520" s="3"/>
      <c r="E520" s="3"/>
      <c r="F520" s="3"/>
      <c r="G520" s="3"/>
    </row>
    <row r="521">
      <c r="A521" s="21"/>
      <c r="C521" s="3"/>
      <c r="D521" s="3"/>
      <c r="E521" s="3"/>
      <c r="F521" s="3"/>
      <c r="G521" s="3"/>
    </row>
    <row r="522">
      <c r="A522" s="21"/>
      <c r="C522" s="3"/>
      <c r="D522" s="3"/>
      <c r="E522" s="3"/>
      <c r="F522" s="3"/>
      <c r="G522" s="3"/>
    </row>
    <row r="523">
      <c r="A523" s="21"/>
      <c r="C523" s="3"/>
      <c r="D523" s="3"/>
      <c r="E523" s="3"/>
      <c r="F523" s="3"/>
      <c r="G523" s="3"/>
    </row>
    <row r="524">
      <c r="A524" s="21"/>
      <c r="C524" s="3"/>
      <c r="D524" s="3"/>
      <c r="E524" s="3"/>
      <c r="F524" s="3"/>
      <c r="G524" s="3"/>
    </row>
    <row r="525">
      <c r="A525" s="21"/>
      <c r="C525" s="3"/>
      <c r="D525" s="3"/>
      <c r="E525" s="3"/>
      <c r="F525" s="3"/>
      <c r="G525" s="3"/>
    </row>
    <row r="526">
      <c r="A526" s="21"/>
      <c r="C526" s="3"/>
      <c r="D526" s="3"/>
      <c r="E526" s="3"/>
      <c r="F526" s="3"/>
      <c r="G526" s="3"/>
    </row>
    <row r="527">
      <c r="A527" s="21"/>
      <c r="C527" s="3"/>
      <c r="D527" s="3"/>
      <c r="E527" s="3"/>
      <c r="F527" s="3"/>
      <c r="G527" s="3"/>
    </row>
    <row r="528">
      <c r="A528" s="21"/>
      <c r="C528" s="3"/>
      <c r="D528" s="3"/>
      <c r="E528" s="3"/>
      <c r="F528" s="3"/>
      <c r="G528" s="3"/>
    </row>
    <row r="529">
      <c r="A529" s="21"/>
      <c r="C529" s="3"/>
      <c r="D529" s="3"/>
      <c r="E529" s="3"/>
      <c r="F529" s="3"/>
      <c r="G529" s="3"/>
    </row>
    <row r="530">
      <c r="A530" s="21"/>
      <c r="C530" s="3"/>
      <c r="D530" s="3"/>
      <c r="E530" s="3"/>
      <c r="F530" s="3"/>
      <c r="G530" s="3"/>
    </row>
    <row r="531">
      <c r="A531" s="21"/>
      <c r="C531" s="3"/>
      <c r="D531" s="3"/>
      <c r="E531" s="3"/>
      <c r="F531" s="3"/>
      <c r="G531" s="3"/>
    </row>
    <row r="532">
      <c r="A532" s="21"/>
      <c r="C532" s="3"/>
      <c r="D532" s="3"/>
      <c r="E532" s="3"/>
      <c r="F532" s="3"/>
      <c r="G532" s="3"/>
    </row>
    <row r="533">
      <c r="A533" s="21"/>
      <c r="C533" s="3"/>
      <c r="D533" s="3"/>
      <c r="E533" s="3"/>
      <c r="F533" s="3"/>
      <c r="G533" s="3"/>
    </row>
    <row r="534">
      <c r="A534" s="21"/>
      <c r="C534" s="3"/>
      <c r="D534" s="3"/>
      <c r="E534" s="3"/>
      <c r="F534" s="3"/>
      <c r="G534" s="3"/>
    </row>
    <row r="535">
      <c r="A535" s="21"/>
      <c r="C535" s="3"/>
      <c r="D535" s="3"/>
      <c r="E535" s="3"/>
      <c r="F535" s="3"/>
      <c r="G535" s="3"/>
    </row>
    <row r="536">
      <c r="A536" s="21"/>
      <c r="C536" s="3"/>
      <c r="D536" s="3"/>
      <c r="E536" s="3"/>
      <c r="F536" s="3"/>
      <c r="G536" s="3"/>
    </row>
    <row r="537">
      <c r="A537" s="21"/>
      <c r="C537" s="3"/>
      <c r="D537" s="3"/>
      <c r="E537" s="3"/>
      <c r="F537" s="3"/>
      <c r="G537" s="3"/>
    </row>
    <row r="538">
      <c r="A538" s="21"/>
      <c r="C538" s="3"/>
      <c r="D538" s="3"/>
      <c r="E538" s="3"/>
      <c r="F538" s="3"/>
      <c r="G538" s="3"/>
    </row>
    <row r="539">
      <c r="A539" s="21"/>
      <c r="C539" s="3"/>
      <c r="D539" s="3"/>
      <c r="E539" s="3"/>
      <c r="F539" s="3"/>
      <c r="G539" s="3"/>
    </row>
    <row r="540">
      <c r="A540" s="21"/>
      <c r="C540" s="3"/>
      <c r="D540" s="3"/>
      <c r="E540" s="3"/>
      <c r="F540" s="3"/>
      <c r="G540" s="3"/>
    </row>
    <row r="541">
      <c r="A541" s="21"/>
      <c r="C541" s="3"/>
      <c r="D541" s="3"/>
      <c r="E541" s="3"/>
      <c r="F541" s="3"/>
      <c r="G541" s="3"/>
    </row>
    <row r="542">
      <c r="A542" s="21"/>
      <c r="C542" s="3"/>
      <c r="D542" s="3"/>
      <c r="E542" s="3"/>
      <c r="F542" s="3"/>
      <c r="G542" s="3"/>
    </row>
    <row r="543">
      <c r="A543" s="21"/>
      <c r="C543" s="3"/>
      <c r="D543" s="3"/>
      <c r="E543" s="3"/>
      <c r="F543" s="3"/>
      <c r="G543" s="3"/>
    </row>
    <row r="544">
      <c r="A544" s="21"/>
      <c r="C544" s="3"/>
      <c r="D544" s="3"/>
      <c r="E544" s="3"/>
      <c r="F544" s="3"/>
      <c r="G544" s="3"/>
    </row>
    <row r="545">
      <c r="A545" s="21"/>
      <c r="C545" s="3"/>
      <c r="D545" s="3"/>
      <c r="E545" s="3"/>
      <c r="F545" s="3"/>
      <c r="G545" s="3"/>
    </row>
    <row r="546">
      <c r="A546" s="21"/>
      <c r="C546" s="3"/>
      <c r="D546" s="3"/>
      <c r="E546" s="3"/>
      <c r="F546" s="3"/>
      <c r="G546" s="3"/>
    </row>
    <row r="547">
      <c r="A547" s="21"/>
      <c r="C547" s="3"/>
      <c r="D547" s="3"/>
      <c r="E547" s="3"/>
      <c r="F547" s="3"/>
      <c r="G547" s="3"/>
    </row>
    <row r="548">
      <c r="A548" s="21"/>
      <c r="C548" s="3"/>
      <c r="D548" s="3"/>
      <c r="E548" s="3"/>
      <c r="F548" s="3"/>
      <c r="G548" s="3"/>
    </row>
    <row r="549">
      <c r="A549" s="21"/>
      <c r="C549" s="3"/>
      <c r="D549" s="3"/>
      <c r="E549" s="3"/>
      <c r="F549" s="3"/>
      <c r="G549" s="3"/>
    </row>
    <row r="550">
      <c r="A550" s="21"/>
      <c r="C550" s="3"/>
      <c r="D550" s="3"/>
      <c r="E550" s="3"/>
      <c r="F550" s="3"/>
      <c r="G550" s="3"/>
    </row>
    <row r="551">
      <c r="A551" s="21"/>
      <c r="C551" s="3"/>
      <c r="D551" s="3"/>
      <c r="E551" s="3"/>
      <c r="F551" s="3"/>
      <c r="G551" s="3"/>
    </row>
    <row r="552">
      <c r="A552" s="21"/>
      <c r="C552" s="3"/>
      <c r="D552" s="3"/>
      <c r="E552" s="3"/>
      <c r="F552" s="3"/>
      <c r="G552" s="3"/>
    </row>
    <row r="553">
      <c r="A553" s="21"/>
      <c r="C553" s="3"/>
      <c r="D553" s="3"/>
      <c r="E553" s="3"/>
      <c r="F553" s="3"/>
      <c r="G553" s="3"/>
    </row>
    <row r="554">
      <c r="A554" s="21"/>
      <c r="C554" s="3"/>
      <c r="D554" s="3"/>
      <c r="E554" s="3"/>
      <c r="F554" s="3"/>
      <c r="G554" s="3"/>
    </row>
    <row r="555">
      <c r="A555" s="21"/>
      <c r="C555" s="3"/>
      <c r="D555" s="3"/>
      <c r="E555" s="3"/>
      <c r="F555" s="3"/>
      <c r="G555" s="3"/>
    </row>
    <row r="556">
      <c r="A556" s="21"/>
      <c r="C556" s="3"/>
      <c r="D556" s="3"/>
      <c r="E556" s="3"/>
      <c r="F556" s="3"/>
      <c r="G556" s="3"/>
    </row>
    <row r="557">
      <c r="A557" s="21"/>
      <c r="C557" s="3"/>
      <c r="D557" s="3"/>
      <c r="E557" s="3"/>
      <c r="F557" s="3"/>
      <c r="G557" s="3"/>
    </row>
    <row r="558">
      <c r="A558" s="21"/>
      <c r="C558" s="3"/>
      <c r="D558" s="3"/>
      <c r="E558" s="3"/>
      <c r="F558" s="3"/>
      <c r="G558" s="3"/>
    </row>
    <row r="559">
      <c r="A559" s="21"/>
      <c r="C559" s="3"/>
      <c r="D559" s="3"/>
      <c r="E559" s="3"/>
      <c r="F559" s="3"/>
      <c r="G559" s="3"/>
    </row>
    <row r="560">
      <c r="A560" s="21"/>
      <c r="C560" s="3"/>
      <c r="D560" s="3"/>
      <c r="E560" s="3"/>
      <c r="F560" s="3"/>
      <c r="G560" s="3"/>
    </row>
    <row r="561">
      <c r="A561" s="21"/>
      <c r="C561" s="3"/>
      <c r="D561" s="3"/>
      <c r="E561" s="3"/>
      <c r="F561" s="3"/>
      <c r="G561" s="3"/>
    </row>
    <row r="562">
      <c r="A562" s="21"/>
      <c r="C562" s="3"/>
      <c r="D562" s="3"/>
      <c r="E562" s="3"/>
      <c r="F562" s="3"/>
      <c r="G562" s="3"/>
    </row>
    <row r="563">
      <c r="A563" s="21"/>
      <c r="C563" s="3"/>
      <c r="D563" s="3"/>
      <c r="E563" s="3"/>
      <c r="F563" s="3"/>
      <c r="G563" s="3"/>
    </row>
    <row r="564">
      <c r="A564" s="21"/>
      <c r="C564" s="3"/>
      <c r="D564" s="3"/>
      <c r="E564" s="3"/>
      <c r="F564" s="3"/>
      <c r="G564" s="3"/>
    </row>
    <row r="565">
      <c r="A565" s="21"/>
      <c r="C565" s="3"/>
      <c r="D565" s="3"/>
      <c r="E565" s="3"/>
      <c r="F565" s="3"/>
      <c r="G565" s="3"/>
    </row>
    <row r="566">
      <c r="A566" s="21"/>
      <c r="C566" s="3"/>
      <c r="D566" s="3"/>
      <c r="E566" s="3"/>
      <c r="F566" s="3"/>
      <c r="G566" s="3"/>
    </row>
    <row r="567">
      <c r="A567" s="21"/>
      <c r="C567" s="3"/>
      <c r="D567" s="3"/>
      <c r="E567" s="3"/>
      <c r="F567" s="3"/>
      <c r="G567" s="3"/>
    </row>
    <row r="568">
      <c r="A568" s="21"/>
      <c r="C568" s="3"/>
      <c r="D568" s="3"/>
      <c r="E568" s="3"/>
      <c r="F568" s="3"/>
      <c r="G568" s="3"/>
    </row>
    <row r="569">
      <c r="A569" s="21"/>
      <c r="C569" s="3"/>
      <c r="D569" s="3"/>
      <c r="E569" s="3"/>
      <c r="F569" s="3"/>
      <c r="G569" s="3"/>
    </row>
    <row r="570">
      <c r="A570" s="21"/>
      <c r="C570" s="3"/>
      <c r="D570" s="3"/>
      <c r="E570" s="3"/>
      <c r="F570" s="3"/>
      <c r="G570" s="3"/>
    </row>
    <row r="571">
      <c r="A571" s="21"/>
      <c r="C571" s="3"/>
      <c r="D571" s="3"/>
      <c r="E571" s="3"/>
      <c r="F571" s="3"/>
      <c r="G571" s="3"/>
    </row>
    <row r="572">
      <c r="A572" s="21"/>
      <c r="C572" s="3"/>
      <c r="D572" s="3"/>
      <c r="E572" s="3"/>
      <c r="F572" s="3"/>
      <c r="G572" s="3"/>
    </row>
    <row r="573">
      <c r="A573" s="21"/>
      <c r="C573" s="3"/>
      <c r="D573" s="3"/>
      <c r="E573" s="3"/>
      <c r="F573" s="3"/>
      <c r="G573" s="3"/>
    </row>
    <row r="574">
      <c r="A574" s="21"/>
      <c r="C574" s="3"/>
      <c r="D574" s="3"/>
      <c r="E574" s="3"/>
      <c r="F574" s="3"/>
      <c r="G574" s="3"/>
    </row>
    <row r="575">
      <c r="A575" s="21"/>
      <c r="C575" s="3"/>
      <c r="D575" s="3"/>
      <c r="E575" s="3"/>
      <c r="F575" s="3"/>
      <c r="G575" s="3"/>
    </row>
    <row r="576">
      <c r="A576" s="21"/>
      <c r="C576" s="3"/>
      <c r="D576" s="3"/>
      <c r="E576" s="3"/>
      <c r="F576" s="3"/>
      <c r="G576" s="3"/>
    </row>
    <row r="577">
      <c r="A577" s="21"/>
      <c r="C577" s="3"/>
      <c r="D577" s="3"/>
      <c r="E577" s="3"/>
      <c r="F577" s="3"/>
      <c r="G577" s="3"/>
    </row>
    <row r="578">
      <c r="A578" s="21"/>
      <c r="C578" s="3"/>
      <c r="D578" s="3"/>
      <c r="E578" s="3"/>
      <c r="F578" s="3"/>
      <c r="G578" s="3"/>
    </row>
    <row r="579">
      <c r="A579" s="21"/>
      <c r="C579" s="3"/>
      <c r="D579" s="3"/>
      <c r="E579" s="3"/>
      <c r="F579" s="3"/>
      <c r="G579" s="3"/>
    </row>
    <row r="580">
      <c r="A580" s="21"/>
      <c r="C580" s="3"/>
      <c r="D580" s="3"/>
      <c r="E580" s="3"/>
      <c r="F580" s="3"/>
      <c r="G580" s="3"/>
    </row>
    <row r="581">
      <c r="A581" s="21"/>
      <c r="C581" s="3"/>
      <c r="D581" s="3"/>
      <c r="E581" s="3"/>
      <c r="F581" s="3"/>
      <c r="G581" s="3"/>
    </row>
    <row r="582">
      <c r="A582" s="21"/>
      <c r="C582" s="3"/>
      <c r="D582" s="3"/>
      <c r="E582" s="3"/>
      <c r="F582" s="3"/>
      <c r="G582" s="3"/>
    </row>
    <row r="583">
      <c r="A583" s="21"/>
      <c r="C583" s="3"/>
      <c r="D583" s="3"/>
      <c r="E583" s="3"/>
      <c r="F583" s="3"/>
      <c r="G583" s="3"/>
    </row>
    <row r="584">
      <c r="A584" s="21"/>
      <c r="C584" s="3"/>
      <c r="D584" s="3"/>
      <c r="E584" s="3"/>
      <c r="F584" s="3"/>
      <c r="G584" s="3"/>
    </row>
    <row r="585">
      <c r="A585" s="21"/>
      <c r="C585" s="3"/>
      <c r="D585" s="3"/>
      <c r="E585" s="3"/>
      <c r="F585" s="3"/>
      <c r="G585" s="3"/>
    </row>
    <row r="586">
      <c r="A586" s="21"/>
      <c r="C586" s="3"/>
      <c r="D586" s="3"/>
      <c r="E586" s="3"/>
      <c r="F586" s="3"/>
      <c r="G586" s="3"/>
    </row>
    <row r="587">
      <c r="A587" s="21"/>
      <c r="C587" s="3"/>
      <c r="D587" s="3"/>
      <c r="E587" s="3"/>
      <c r="F587" s="3"/>
      <c r="G587" s="3"/>
    </row>
    <row r="588">
      <c r="A588" s="21"/>
      <c r="C588" s="3"/>
      <c r="D588" s="3"/>
      <c r="E588" s="3"/>
      <c r="F588" s="3"/>
      <c r="G588" s="3"/>
    </row>
    <row r="589">
      <c r="A589" s="21"/>
      <c r="C589" s="3"/>
      <c r="D589" s="3"/>
      <c r="E589" s="3"/>
      <c r="F589" s="3"/>
      <c r="G589" s="3"/>
    </row>
    <row r="590">
      <c r="A590" s="21"/>
      <c r="C590" s="3"/>
      <c r="D590" s="3"/>
      <c r="E590" s="3"/>
      <c r="F590" s="3"/>
      <c r="G590" s="3"/>
    </row>
    <row r="591">
      <c r="A591" s="21"/>
      <c r="C591" s="3"/>
      <c r="D591" s="3"/>
      <c r="E591" s="3"/>
      <c r="F591" s="3"/>
      <c r="G591" s="3"/>
    </row>
    <row r="592">
      <c r="A592" s="21"/>
      <c r="C592" s="3"/>
      <c r="D592" s="3"/>
      <c r="E592" s="3"/>
      <c r="F592" s="3"/>
      <c r="G592" s="3"/>
    </row>
    <row r="593">
      <c r="A593" s="21"/>
      <c r="C593" s="3"/>
      <c r="D593" s="3"/>
      <c r="E593" s="3"/>
      <c r="F593" s="3"/>
      <c r="G593" s="3"/>
    </row>
    <row r="594">
      <c r="A594" s="21"/>
      <c r="C594" s="3"/>
      <c r="D594" s="3"/>
      <c r="E594" s="3"/>
      <c r="F594" s="3"/>
      <c r="G594" s="3"/>
    </row>
    <row r="595">
      <c r="A595" s="21"/>
      <c r="C595" s="3"/>
      <c r="D595" s="3"/>
      <c r="E595" s="3"/>
      <c r="F595" s="3"/>
      <c r="G595" s="3"/>
    </row>
    <row r="596">
      <c r="A596" s="21"/>
      <c r="C596" s="3"/>
      <c r="D596" s="3"/>
      <c r="E596" s="3"/>
      <c r="F596" s="3"/>
      <c r="G596" s="3"/>
    </row>
    <row r="597">
      <c r="A597" s="21"/>
      <c r="C597" s="3"/>
      <c r="D597" s="3"/>
      <c r="E597" s="3"/>
      <c r="F597" s="3"/>
      <c r="G597" s="3"/>
    </row>
    <row r="598">
      <c r="A598" s="21"/>
      <c r="C598" s="3"/>
      <c r="D598" s="3"/>
      <c r="E598" s="3"/>
      <c r="F598" s="3"/>
      <c r="G598" s="3"/>
    </row>
    <row r="599">
      <c r="A599" s="21"/>
      <c r="C599" s="3"/>
      <c r="D599" s="3"/>
      <c r="E599" s="3"/>
      <c r="F599" s="3"/>
      <c r="G599" s="3"/>
    </row>
    <row r="600">
      <c r="A600" s="21"/>
      <c r="C600" s="3"/>
      <c r="D600" s="3"/>
      <c r="E600" s="3"/>
      <c r="F600" s="3"/>
      <c r="G600" s="3"/>
    </row>
    <row r="601">
      <c r="A601" s="21"/>
      <c r="C601" s="3"/>
      <c r="D601" s="3"/>
      <c r="E601" s="3"/>
      <c r="F601" s="3"/>
      <c r="G601" s="3"/>
    </row>
    <row r="602">
      <c r="A602" s="21"/>
      <c r="C602" s="3"/>
      <c r="D602" s="3"/>
      <c r="E602" s="3"/>
      <c r="F602" s="3"/>
      <c r="G602" s="3"/>
    </row>
    <row r="603">
      <c r="A603" s="21"/>
      <c r="C603" s="3"/>
      <c r="D603" s="3"/>
      <c r="E603" s="3"/>
      <c r="F603" s="3"/>
      <c r="G603" s="3"/>
    </row>
    <row r="604">
      <c r="A604" s="21"/>
      <c r="C604" s="3"/>
      <c r="D604" s="3"/>
      <c r="E604" s="3"/>
      <c r="F604" s="3"/>
      <c r="G604" s="3"/>
    </row>
    <row r="605">
      <c r="A605" s="21"/>
      <c r="C605" s="3"/>
      <c r="D605" s="3"/>
      <c r="E605" s="3"/>
      <c r="F605" s="3"/>
      <c r="G605" s="3"/>
    </row>
    <row r="606">
      <c r="A606" s="21"/>
      <c r="C606" s="3"/>
      <c r="D606" s="3"/>
      <c r="E606" s="3"/>
      <c r="F606" s="3"/>
      <c r="G606" s="3"/>
    </row>
    <row r="607">
      <c r="A607" s="21"/>
      <c r="C607" s="3"/>
      <c r="D607" s="3"/>
      <c r="E607" s="3"/>
      <c r="F607" s="3"/>
      <c r="G607" s="3"/>
    </row>
    <row r="608">
      <c r="A608" s="21"/>
      <c r="C608" s="3"/>
      <c r="D608" s="3"/>
      <c r="E608" s="3"/>
      <c r="F608" s="3"/>
      <c r="G608" s="3"/>
    </row>
    <row r="609">
      <c r="A609" s="21"/>
      <c r="C609" s="3"/>
      <c r="D609" s="3"/>
      <c r="E609" s="3"/>
      <c r="F609" s="3"/>
      <c r="G609" s="3"/>
    </row>
    <row r="610">
      <c r="A610" s="21"/>
      <c r="C610" s="3"/>
      <c r="D610" s="3"/>
      <c r="E610" s="3"/>
      <c r="F610" s="3"/>
      <c r="G610" s="3"/>
    </row>
    <row r="611">
      <c r="A611" s="21"/>
      <c r="C611" s="3"/>
      <c r="D611" s="3"/>
      <c r="E611" s="3"/>
      <c r="F611" s="3"/>
      <c r="G611" s="3"/>
    </row>
    <row r="612">
      <c r="A612" s="21"/>
      <c r="C612" s="3"/>
      <c r="D612" s="3"/>
      <c r="E612" s="3"/>
      <c r="F612" s="3"/>
      <c r="G612" s="3"/>
    </row>
    <row r="613">
      <c r="A613" s="21"/>
      <c r="C613" s="3"/>
      <c r="D613" s="3"/>
      <c r="E613" s="3"/>
      <c r="F613" s="3"/>
      <c r="G613" s="3"/>
    </row>
    <row r="614">
      <c r="A614" s="21"/>
      <c r="C614" s="3"/>
      <c r="D614" s="3"/>
      <c r="E614" s="3"/>
      <c r="F614" s="3"/>
      <c r="G614" s="3"/>
    </row>
    <row r="615">
      <c r="A615" s="21"/>
      <c r="C615" s="3"/>
      <c r="D615" s="3"/>
      <c r="E615" s="3"/>
      <c r="F615" s="3"/>
      <c r="G615" s="3"/>
    </row>
    <row r="616">
      <c r="A616" s="21"/>
      <c r="C616" s="3"/>
      <c r="D616" s="3"/>
      <c r="E616" s="3"/>
      <c r="F616" s="3"/>
      <c r="G616" s="3"/>
    </row>
    <row r="617">
      <c r="A617" s="21"/>
      <c r="C617" s="3"/>
      <c r="D617" s="3"/>
      <c r="E617" s="3"/>
      <c r="F617" s="3"/>
      <c r="G617" s="3"/>
    </row>
    <row r="618">
      <c r="A618" s="21"/>
      <c r="C618" s="3"/>
      <c r="D618" s="3"/>
      <c r="E618" s="3"/>
      <c r="F618" s="3"/>
      <c r="G618" s="3"/>
    </row>
    <row r="619">
      <c r="A619" s="21"/>
      <c r="C619" s="3"/>
      <c r="D619" s="3"/>
      <c r="E619" s="3"/>
      <c r="F619" s="3"/>
      <c r="G619" s="3"/>
    </row>
    <row r="620">
      <c r="A620" s="21"/>
      <c r="C620" s="3"/>
      <c r="D620" s="3"/>
      <c r="E620" s="3"/>
      <c r="F620" s="3"/>
      <c r="G620" s="3"/>
    </row>
    <row r="621">
      <c r="A621" s="21"/>
      <c r="C621" s="3"/>
      <c r="D621" s="3"/>
      <c r="E621" s="3"/>
      <c r="F621" s="3"/>
      <c r="G621" s="3"/>
    </row>
    <row r="622">
      <c r="A622" s="21"/>
      <c r="C622" s="3"/>
      <c r="D622" s="3"/>
      <c r="E622" s="3"/>
      <c r="F622" s="3"/>
      <c r="G622" s="3"/>
    </row>
    <row r="623">
      <c r="A623" s="21"/>
      <c r="C623" s="3"/>
      <c r="D623" s="3"/>
      <c r="E623" s="3"/>
      <c r="F623" s="3"/>
      <c r="G623" s="3"/>
    </row>
    <row r="624">
      <c r="A624" s="21"/>
      <c r="C624" s="3"/>
      <c r="D624" s="3"/>
      <c r="E624" s="3"/>
      <c r="F624" s="3"/>
      <c r="G624" s="3"/>
    </row>
    <row r="625">
      <c r="A625" s="21"/>
      <c r="C625" s="3"/>
      <c r="D625" s="3"/>
      <c r="E625" s="3"/>
      <c r="F625" s="3"/>
      <c r="G625" s="3"/>
    </row>
    <row r="626">
      <c r="A626" s="21"/>
      <c r="C626" s="3"/>
      <c r="D626" s="3"/>
      <c r="E626" s="3"/>
      <c r="F626" s="3"/>
      <c r="G626" s="3"/>
    </row>
    <row r="627">
      <c r="A627" s="21"/>
      <c r="C627" s="3"/>
      <c r="D627" s="3"/>
      <c r="E627" s="3"/>
      <c r="F627" s="3"/>
      <c r="G627" s="3"/>
    </row>
    <row r="628">
      <c r="A628" s="21"/>
      <c r="C628" s="3"/>
      <c r="D628" s="3"/>
      <c r="E628" s="3"/>
      <c r="F628" s="3"/>
      <c r="G628" s="3"/>
    </row>
    <row r="629">
      <c r="A629" s="21"/>
      <c r="C629" s="3"/>
      <c r="D629" s="3"/>
      <c r="E629" s="3"/>
      <c r="F629" s="3"/>
      <c r="G629" s="3"/>
    </row>
    <row r="630">
      <c r="A630" s="21"/>
      <c r="C630" s="3"/>
      <c r="D630" s="3"/>
      <c r="E630" s="3"/>
      <c r="F630" s="3"/>
      <c r="G630" s="3"/>
    </row>
    <row r="631">
      <c r="A631" s="21"/>
      <c r="C631" s="3"/>
      <c r="D631" s="3"/>
      <c r="E631" s="3"/>
      <c r="F631" s="3"/>
      <c r="G631" s="3"/>
    </row>
    <row r="632">
      <c r="A632" s="21"/>
      <c r="C632" s="3"/>
      <c r="D632" s="3"/>
      <c r="E632" s="3"/>
      <c r="F632" s="3"/>
      <c r="G632" s="3"/>
    </row>
    <row r="633">
      <c r="A633" s="21"/>
      <c r="C633" s="3"/>
      <c r="D633" s="3"/>
      <c r="E633" s="3"/>
      <c r="F633" s="3"/>
      <c r="G633" s="3"/>
    </row>
    <row r="634">
      <c r="A634" s="21"/>
      <c r="C634" s="3"/>
      <c r="D634" s="3"/>
      <c r="E634" s="3"/>
      <c r="F634" s="3"/>
      <c r="G634" s="3"/>
    </row>
    <row r="635">
      <c r="A635" s="21"/>
      <c r="C635" s="3"/>
      <c r="D635" s="3"/>
      <c r="E635" s="3"/>
      <c r="F635" s="3"/>
      <c r="G635" s="3"/>
    </row>
    <row r="636">
      <c r="A636" s="21"/>
      <c r="C636" s="3"/>
      <c r="D636" s="3"/>
      <c r="E636" s="3"/>
      <c r="F636" s="3"/>
      <c r="G636" s="3"/>
    </row>
    <row r="637">
      <c r="A637" s="21"/>
      <c r="C637" s="3"/>
      <c r="D637" s="3"/>
      <c r="E637" s="3"/>
      <c r="F637" s="3"/>
      <c r="G637" s="3"/>
    </row>
    <row r="638">
      <c r="A638" s="21"/>
      <c r="C638" s="3"/>
      <c r="D638" s="3"/>
      <c r="E638" s="3"/>
      <c r="F638" s="3"/>
      <c r="G638" s="3"/>
    </row>
    <row r="639">
      <c r="A639" s="21"/>
      <c r="C639" s="3"/>
      <c r="D639" s="3"/>
      <c r="E639" s="3"/>
      <c r="F639" s="3"/>
      <c r="G639" s="3"/>
    </row>
    <row r="640">
      <c r="A640" s="21"/>
      <c r="C640" s="3"/>
      <c r="D640" s="3"/>
      <c r="E640" s="3"/>
      <c r="F640" s="3"/>
      <c r="G640" s="3"/>
    </row>
    <row r="641">
      <c r="A641" s="21"/>
      <c r="C641" s="3"/>
      <c r="D641" s="3"/>
      <c r="E641" s="3"/>
      <c r="F641" s="3"/>
      <c r="G641" s="3"/>
    </row>
    <row r="642">
      <c r="A642" s="21"/>
      <c r="C642" s="3"/>
      <c r="D642" s="3"/>
      <c r="E642" s="3"/>
      <c r="F642" s="3"/>
      <c r="G642" s="3"/>
    </row>
    <row r="643">
      <c r="A643" s="21"/>
      <c r="C643" s="3"/>
      <c r="D643" s="3"/>
      <c r="E643" s="3"/>
      <c r="F643" s="3"/>
      <c r="G643" s="3"/>
    </row>
    <row r="644">
      <c r="A644" s="21"/>
      <c r="C644" s="3"/>
      <c r="D644" s="3"/>
      <c r="E644" s="3"/>
      <c r="F644" s="3"/>
      <c r="G644" s="3"/>
    </row>
    <row r="645">
      <c r="A645" s="21"/>
      <c r="C645" s="3"/>
      <c r="D645" s="3"/>
      <c r="E645" s="3"/>
      <c r="F645" s="3"/>
      <c r="G645" s="3"/>
    </row>
    <row r="646">
      <c r="A646" s="21"/>
      <c r="C646" s="3"/>
      <c r="D646" s="3"/>
      <c r="E646" s="3"/>
      <c r="F646" s="3"/>
      <c r="G646" s="3"/>
    </row>
    <row r="647">
      <c r="A647" s="21"/>
      <c r="C647" s="3"/>
      <c r="D647" s="3"/>
      <c r="E647" s="3"/>
      <c r="F647" s="3"/>
      <c r="G647" s="3"/>
    </row>
    <row r="648">
      <c r="A648" s="21"/>
      <c r="C648" s="3"/>
      <c r="D648" s="3"/>
      <c r="E648" s="3"/>
      <c r="F648" s="3"/>
      <c r="G648" s="3"/>
    </row>
    <row r="649">
      <c r="A649" s="21"/>
      <c r="C649" s="3"/>
      <c r="D649" s="3"/>
      <c r="E649" s="3"/>
      <c r="F649" s="3"/>
      <c r="G649" s="3"/>
    </row>
    <row r="650">
      <c r="A650" s="21"/>
      <c r="C650" s="3"/>
      <c r="D650" s="3"/>
      <c r="E650" s="3"/>
      <c r="F650" s="3"/>
      <c r="G650" s="3"/>
    </row>
    <row r="651">
      <c r="A651" s="21"/>
      <c r="C651" s="3"/>
      <c r="D651" s="3"/>
      <c r="E651" s="3"/>
      <c r="F651" s="3"/>
      <c r="G651" s="3"/>
    </row>
    <row r="652">
      <c r="A652" s="21"/>
      <c r="C652" s="3"/>
      <c r="D652" s="3"/>
      <c r="E652" s="3"/>
      <c r="F652" s="3"/>
      <c r="G652" s="3"/>
    </row>
    <row r="653">
      <c r="A653" s="21"/>
      <c r="C653" s="3"/>
      <c r="D653" s="3"/>
      <c r="E653" s="3"/>
      <c r="F653" s="3"/>
      <c r="G653" s="3"/>
    </row>
    <row r="654">
      <c r="A654" s="21"/>
      <c r="C654" s="3"/>
      <c r="D654" s="3"/>
      <c r="E654" s="3"/>
      <c r="F654" s="3"/>
      <c r="G654" s="3"/>
    </row>
    <row r="655">
      <c r="A655" s="21"/>
      <c r="C655" s="3"/>
      <c r="D655" s="3"/>
      <c r="E655" s="3"/>
      <c r="F655" s="3"/>
      <c r="G655" s="3"/>
    </row>
    <row r="656">
      <c r="A656" s="21"/>
      <c r="C656" s="3"/>
      <c r="D656" s="3"/>
      <c r="E656" s="3"/>
      <c r="F656" s="3"/>
      <c r="G656" s="3"/>
    </row>
    <row r="657">
      <c r="A657" s="21"/>
      <c r="C657" s="3"/>
      <c r="D657" s="3"/>
      <c r="E657" s="3"/>
      <c r="F657" s="3"/>
      <c r="G657" s="3"/>
    </row>
    <row r="658">
      <c r="A658" s="21"/>
      <c r="C658" s="3"/>
      <c r="D658" s="3"/>
      <c r="E658" s="3"/>
      <c r="F658" s="3"/>
      <c r="G658" s="3"/>
    </row>
    <row r="659">
      <c r="A659" s="21"/>
      <c r="C659" s="3"/>
      <c r="D659" s="3"/>
      <c r="E659" s="3"/>
      <c r="F659" s="3"/>
      <c r="G659" s="3"/>
    </row>
    <row r="660">
      <c r="A660" s="21"/>
      <c r="C660" s="3"/>
      <c r="D660" s="3"/>
      <c r="E660" s="3"/>
      <c r="F660" s="3"/>
      <c r="G660" s="3"/>
    </row>
    <row r="661">
      <c r="A661" s="21"/>
      <c r="C661" s="3"/>
      <c r="D661" s="3"/>
      <c r="E661" s="3"/>
      <c r="F661" s="3"/>
      <c r="G661" s="3"/>
    </row>
    <row r="662">
      <c r="A662" s="21"/>
      <c r="C662" s="3"/>
      <c r="D662" s="3"/>
      <c r="E662" s="3"/>
      <c r="F662" s="3"/>
      <c r="G662" s="3"/>
    </row>
    <row r="663">
      <c r="A663" s="21"/>
      <c r="C663" s="3"/>
      <c r="D663" s="3"/>
      <c r="E663" s="3"/>
      <c r="F663" s="3"/>
      <c r="G663" s="3"/>
    </row>
    <row r="664">
      <c r="A664" s="21"/>
      <c r="C664" s="3"/>
      <c r="D664" s="3"/>
      <c r="E664" s="3"/>
      <c r="F664" s="3"/>
      <c r="G664" s="3"/>
    </row>
    <row r="665">
      <c r="A665" s="21"/>
      <c r="C665" s="3"/>
      <c r="D665" s="3"/>
      <c r="E665" s="3"/>
      <c r="F665" s="3"/>
      <c r="G665" s="3"/>
    </row>
    <row r="666">
      <c r="A666" s="21"/>
      <c r="C666" s="3"/>
      <c r="D666" s="3"/>
      <c r="E666" s="3"/>
      <c r="F666" s="3"/>
      <c r="G666" s="3"/>
    </row>
    <row r="667">
      <c r="A667" s="21"/>
      <c r="C667" s="3"/>
      <c r="D667" s="3"/>
      <c r="E667" s="3"/>
      <c r="F667" s="3"/>
      <c r="G667" s="3"/>
    </row>
    <row r="668">
      <c r="A668" s="21"/>
      <c r="C668" s="3"/>
      <c r="D668" s="3"/>
      <c r="E668" s="3"/>
      <c r="F668" s="3"/>
      <c r="G668" s="3"/>
    </row>
    <row r="669">
      <c r="A669" s="21"/>
      <c r="C669" s="3"/>
      <c r="D669" s="3"/>
      <c r="E669" s="3"/>
      <c r="F669" s="3"/>
      <c r="G669" s="3"/>
    </row>
    <row r="670">
      <c r="A670" s="21"/>
      <c r="C670" s="3"/>
      <c r="D670" s="3"/>
      <c r="E670" s="3"/>
      <c r="F670" s="3"/>
      <c r="G670" s="3"/>
    </row>
    <row r="671">
      <c r="A671" s="21"/>
      <c r="C671" s="3"/>
      <c r="D671" s="3"/>
      <c r="E671" s="3"/>
      <c r="F671" s="3"/>
      <c r="G671" s="3"/>
    </row>
    <row r="672">
      <c r="A672" s="21"/>
      <c r="C672" s="3"/>
      <c r="D672" s="3"/>
      <c r="E672" s="3"/>
      <c r="F672" s="3"/>
      <c r="G672" s="3"/>
    </row>
    <row r="673">
      <c r="A673" s="21"/>
      <c r="C673" s="3"/>
      <c r="D673" s="3"/>
      <c r="E673" s="3"/>
      <c r="F673" s="3"/>
      <c r="G673" s="3"/>
    </row>
    <row r="674">
      <c r="A674" s="21"/>
      <c r="C674" s="3"/>
      <c r="D674" s="3"/>
      <c r="E674" s="3"/>
      <c r="F674" s="3"/>
      <c r="G674" s="3"/>
    </row>
    <row r="675">
      <c r="A675" s="21"/>
      <c r="C675" s="3"/>
      <c r="D675" s="3"/>
      <c r="E675" s="3"/>
      <c r="F675" s="3"/>
      <c r="G675" s="3"/>
    </row>
    <row r="676">
      <c r="A676" s="21"/>
      <c r="C676" s="3"/>
      <c r="D676" s="3"/>
      <c r="E676" s="3"/>
      <c r="F676" s="3"/>
      <c r="G676" s="3"/>
    </row>
    <row r="677">
      <c r="A677" s="21"/>
      <c r="C677" s="3"/>
      <c r="D677" s="3"/>
      <c r="E677" s="3"/>
      <c r="F677" s="3"/>
      <c r="G677" s="3"/>
    </row>
    <row r="678">
      <c r="A678" s="21"/>
      <c r="C678" s="3"/>
      <c r="D678" s="3"/>
      <c r="E678" s="3"/>
      <c r="F678" s="3"/>
      <c r="G678" s="3"/>
    </row>
    <row r="679">
      <c r="A679" s="21"/>
      <c r="C679" s="3"/>
      <c r="D679" s="3"/>
      <c r="E679" s="3"/>
      <c r="F679" s="3"/>
      <c r="G679" s="3"/>
    </row>
    <row r="680">
      <c r="A680" s="21"/>
      <c r="C680" s="3"/>
      <c r="D680" s="3"/>
      <c r="E680" s="3"/>
      <c r="F680" s="3"/>
      <c r="G680" s="3"/>
    </row>
    <row r="681">
      <c r="A681" s="21"/>
      <c r="C681" s="3"/>
      <c r="D681" s="3"/>
      <c r="E681" s="3"/>
      <c r="F681" s="3"/>
      <c r="G681" s="3"/>
    </row>
    <row r="682">
      <c r="A682" s="21"/>
      <c r="C682" s="3"/>
      <c r="D682" s="3"/>
      <c r="E682" s="3"/>
      <c r="F682" s="3"/>
      <c r="G682" s="3"/>
    </row>
    <row r="683">
      <c r="A683" s="21"/>
      <c r="C683" s="3"/>
      <c r="D683" s="3"/>
      <c r="E683" s="3"/>
      <c r="F683" s="3"/>
      <c r="G683" s="3"/>
    </row>
    <row r="684">
      <c r="A684" s="21"/>
      <c r="C684" s="3"/>
      <c r="D684" s="3"/>
      <c r="E684" s="3"/>
      <c r="F684" s="3"/>
      <c r="G684" s="3"/>
    </row>
    <row r="685">
      <c r="A685" s="21"/>
      <c r="C685" s="3"/>
      <c r="D685" s="3"/>
      <c r="E685" s="3"/>
      <c r="F685" s="3"/>
      <c r="G685" s="3"/>
    </row>
    <row r="686">
      <c r="A686" s="21"/>
      <c r="C686" s="3"/>
      <c r="D686" s="3"/>
      <c r="E686" s="3"/>
      <c r="F686" s="3"/>
      <c r="G686" s="3"/>
    </row>
    <row r="687">
      <c r="A687" s="21"/>
      <c r="C687" s="3"/>
      <c r="D687" s="3"/>
      <c r="E687" s="3"/>
      <c r="F687" s="3"/>
      <c r="G687" s="3"/>
    </row>
    <row r="688">
      <c r="A688" s="21"/>
      <c r="C688" s="3"/>
      <c r="D688" s="3"/>
      <c r="E688" s="3"/>
      <c r="F688" s="3"/>
      <c r="G688" s="3"/>
    </row>
    <row r="689">
      <c r="A689" s="21"/>
      <c r="C689" s="3"/>
      <c r="D689" s="3"/>
      <c r="E689" s="3"/>
      <c r="F689" s="3"/>
      <c r="G689" s="3"/>
    </row>
    <row r="690">
      <c r="A690" s="21"/>
      <c r="C690" s="3"/>
      <c r="D690" s="3"/>
      <c r="E690" s="3"/>
      <c r="F690" s="3"/>
      <c r="G690" s="3"/>
    </row>
    <row r="691">
      <c r="A691" s="21"/>
      <c r="C691" s="3"/>
      <c r="D691" s="3"/>
      <c r="E691" s="3"/>
      <c r="F691" s="3"/>
      <c r="G691" s="3"/>
    </row>
    <row r="692">
      <c r="A692" s="21"/>
      <c r="C692" s="3"/>
      <c r="D692" s="3"/>
      <c r="E692" s="3"/>
      <c r="F692" s="3"/>
      <c r="G692" s="3"/>
    </row>
    <row r="693">
      <c r="A693" s="21"/>
      <c r="C693" s="3"/>
      <c r="D693" s="3"/>
      <c r="E693" s="3"/>
      <c r="F693" s="3"/>
      <c r="G693" s="3"/>
    </row>
    <row r="694">
      <c r="A694" s="21"/>
      <c r="C694" s="3"/>
      <c r="D694" s="3"/>
      <c r="E694" s="3"/>
      <c r="F694" s="3"/>
      <c r="G694" s="3"/>
    </row>
    <row r="695">
      <c r="A695" s="21"/>
      <c r="C695" s="3"/>
      <c r="D695" s="3"/>
      <c r="E695" s="3"/>
      <c r="F695" s="3"/>
      <c r="G695" s="3"/>
    </row>
    <row r="696">
      <c r="A696" s="21"/>
      <c r="C696" s="3"/>
      <c r="D696" s="3"/>
      <c r="E696" s="3"/>
      <c r="F696" s="3"/>
      <c r="G696" s="3"/>
    </row>
    <row r="697">
      <c r="A697" s="21"/>
      <c r="C697" s="3"/>
      <c r="D697" s="3"/>
      <c r="E697" s="3"/>
      <c r="F697" s="3"/>
      <c r="G697" s="3"/>
    </row>
    <row r="698">
      <c r="A698" s="21"/>
      <c r="C698" s="3"/>
      <c r="D698" s="3"/>
      <c r="E698" s="3"/>
      <c r="F698" s="3"/>
      <c r="G698" s="3"/>
    </row>
    <row r="699">
      <c r="A699" s="21"/>
      <c r="C699" s="3"/>
      <c r="D699" s="3"/>
      <c r="E699" s="3"/>
      <c r="F699" s="3"/>
      <c r="G699" s="3"/>
    </row>
    <row r="700">
      <c r="A700" s="21"/>
      <c r="C700" s="3"/>
      <c r="D700" s="3"/>
      <c r="E700" s="3"/>
      <c r="F700" s="3"/>
      <c r="G700" s="3"/>
    </row>
    <row r="701">
      <c r="A701" s="21"/>
      <c r="C701" s="3"/>
      <c r="D701" s="3"/>
      <c r="E701" s="3"/>
      <c r="F701" s="3"/>
      <c r="G701" s="3"/>
    </row>
    <row r="702">
      <c r="A702" s="21"/>
      <c r="C702" s="3"/>
      <c r="D702" s="3"/>
      <c r="E702" s="3"/>
      <c r="F702" s="3"/>
      <c r="G702" s="3"/>
    </row>
    <row r="703">
      <c r="A703" s="21"/>
      <c r="C703" s="3"/>
      <c r="D703" s="3"/>
      <c r="E703" s="3"/>
      <c r="F703" s="3"/>
      <c r="G703" s="3"/>
    </row>
    <row r="704">
      <c r="A704" s="21"/>
      <c r="C704" s="3"/>
      <c r="D704" s="3"/>
      <c r="E704" s="3"/>
      <c r="F704" s="3"/>
      <c r="G704" s="3"/>
    </row>
    <row r="705">
      <c r="A705" s="21"/>
      <c r="C705" s="3"/>
      <c r="D705" s="3"/>
      <c r="E705" s="3"/>
      <c r="F705" s="3"/>
      <c r="G705" s="3"/>
    </row>
    <row r="706">
      <c r="A706" s="21"/>
      <c r="C706" s="3"/>
      <c r="D706" s="3"/>
      <c r="E706" s="3"/>
      <c r="F706" s="3"/>
      <c r="G706" s="3"/>
    </row>
    <row r="707">
      <c r="A707" s="21"/>
      <c r="C707" s="3"/>
      <c r="D707" s="3"/>
      <c r="E707" s="3"/>
      <c r="F707" s="3"/>
      <c r="G707" s="3"/>
    </row>
    <row r="708">
      <c r="A708" s="21"/>
      <c r="C708" s="3"/>
      <c r="D708" s="3"/>
      <c r="E708" s="3"/>
      <c r="F708" s="3"/>
      <c r="G708" s="3"/>
    </row>
    <row r="709">
      <c r="A709" s="21"/>
      <c r="C709" s="3"/>
      <c r="D709" s="3"/>
      <c r="E709" s="3"/>
      <c r="F709" s="3"/>
      <c r="G709" s="3"/>
    </row>
    <row r="710">
      <c r="A710" s="21"/>
      <c r="C710" s="3"/>
      <c r="D710" s="3"/>
      <c r="E710" s="3"/>
      <c r="F710" s="3"/>
      <c r="G710" s="3"/>
    </row>
    <row r="711">
      <c r="A711" s="21"/>
      <c r="C711" s="3"/>
      <c r="D711" s="3"/>
      <c r="E711" s="3"/>
      <c r="F711" s="3"/>
      <c r="G711" s="3"/>
    </row>
    <row r="712">
      <c r="A712" s="21"/>
      <c r="C712" s="3"/>
      <c r="D712" s="3"/>
      <c r="E712" s="3"/>
      <c r="F712" s="3"/>
      <c r="G712" s="3"/>
    </row>
    <row r="713">
      <c r="A713" s="21"/>
      <c r="C713" s="3"/>
      <c r="D713" s="3"/>
      <c r="E713" s="3"/>
      <c r="F713" s="3"/>
      <c r="G713" s="3"/>
    </row>
    <row r="714">
      <c r="A714" s="21"/>
      <c r="C714" s="3"/>
      <c r="D714" s="3"/>
      <c r="E714" s="3"/>
      <c r="F714" s="3"/>
      <c r="G714" s="3"/>
    </row>
    <row r="715">
      <c r="A715" s="21"/>
      <c r="C715" s="3"/>
      <c r="D715" s="3"/>
      <c r="E715" s="3"/>
      <c r="F715" s="3"/>
      <c r="G715" s="3"/>
    </row>
    <row r="716">
      <c r="A716" s="21"/>
      <c r="C716" s="3"/>
      <c r="D716" s="3"/>
      <c r="E716" s="3"/>
      <c r="F716" s="3"/>
      <c r="G716" s="3"/>
    </row>
    <row r="717">
      <c r="A717" s="21"/>
      <c r="C717" s="3"/>
      <c r="D717" s="3"/>
      <c r="E717" s="3"/>
      <c r="F717" s="3"/>
      <c r="G717" s="3"/>
    </row>
    <row r="718">
      <c r="A718" s="21"/>
      <c r="C718" s="3"/>
      <c r="D718" s="3"/>
      <c r="E718" s="3"/>
      <c r="F718" s="3"/>
      <c r="G718" s="3"/>
    </row>
    <row r="719">
      <c r="A719" s="21"/>
      <c r="C719" s="3"/>
      <c r="D719" s="3"/>
      <c r="E719" s="3"/>
      <c r="F719" s="3"/>
      <c r="G719" s="3"/>
    </row>
    <row r="720">
      <c r="A720" s="21"/>
      <c r="C720" s="3"/>
      <c r="D720" s="3"/>
      <c r="E720" s="3"/>
      <c r="F720" s="3"/>
      <c r="G720" s="3"/>
    </row>
    <row r="721">
      <c r="A721" s="21"/>
      <c r="C721" s="3"/>
      <c r="D721" s="3"/>
      <c r="E721" s="3"/>
      <c r="F721" s="3"/>
      <c r="G721" s="3"/>
    </row>
    <row r="722">
      <c r="A722" s="21"/>
      <c r="C722" s="3"/>
      <c r="D722" s="3"/>
      <c r="E722" s="3"/>
      <c r="F722" s="3"/>
      <c r="G722" s="3"/>
    </row>
    <row r="723">
      <c r="A723" s="21"/>
      <c r="C723" s="3"/>
      <c r="D723" s="3"/>
      <c r="E723" s="3"/>
      <c r="F723" s="3"/>
      <c r="G723" s="3"/>
    </row>
    <row r="724">
      <c r="A724" s="21"/>
      <c r="C724" s="3"/>
      <c r="D724" s="3"/>
      <c r="E724" s="3"/>
      <c r="F724" s="3"/>
      <c r="G724" s="3"/>
    </row>
    <row r="725">
      <c r="A725" s="21"/>
      <c r="C725" s="3"/>
      <c r="D725" s="3"/>
      <c r="E725" s="3"/>
      <c r="F725" s="3"/>
      <c r="G725" s="3"/>
    </row>
    <row r="726">
      <c r="A726" s="21"/>
      <c r="C726" s="3"/>
      <c r="D726" s="3"/>
      <c r="E726" s="3"/>
      <c r="F726" s="3"/>
      <c r="G726" s="3"/>
    </row>
    <row r="727">
      <c r="A727" s="21"/>
      <c r="C727" s="3"/>
      <c r="D727" s="3"/>
      <c r="E727" s="3"/>
      <c r="F727" s="3"/>
      <c r="G727" s="3"/>
    </row>
    <row r="728">
      <c r="A728" s="21"/>
      <c r="C728" s="3"/>
      <c r="D728" s="3"/>
      <c r="E728" s="3"/>
      <c r="F728" s="3"/>
      <c r="G728" s="3"/>
    </row>
    <row r="729">
      <c r="A729" s="21"/>
      <c r="C729" s="3"/>
      <c r="D729" s="3"/>
      <c r="E729" s="3"/>
      <c r="F729" s="3"/>
      <c r="G729" s="3"/>
    </row>
    <row r="730">
      <c r="A730" s="21"/>
      <c r="C730" s="3"/>
      <c r="D730" s="3"/>
      <c r="E730" s="3"/>
      <c r="F730" s="3"/>
      <c r="G730" s="3"/>
    </row>
    <row r="731">
      <c r="A731" s="21"/>
      <c r="C731" s="3"/>
      <c r="D731" s="3"/>
      <c r="E731" s="3"/>
      <c r="F731" s="3"/>
      <c r="G731" s="3"/>
    </row>
    <row r="732">
      <c r="A732" s="21"/>
      <c r="C732" s="3"/>
      <c r="D732" s="3"/>
      <c r="E732" s="3"/>
      <c r="F732" s="3"/>
      <c r="G732" s="3"/>
    </row>
    <row r="733">
      <c r="A733" s="21"/>
      <c r="C733" s="3"/>
      <c r="D733" s="3"/>
      <c r="E733" s="3"/>
      <c r="F733" s="3"/>
      <c r="G733" s="3"/>
    </row>
    <row r="734">
      <c r="A734" s="21"/>
      <c r="C734" s="3"/>
      <c r="D734" s="3"/>
      <c r="E734" s="3"/>
      <c r="F734" s="3"/>
      <c r="G734" s="3"/>
    </row>
    <row r="735">
      <c r="A735" s="21"/>
      <c r="C735" s="3"/>
      <c r="D735" s="3"/>
      <c r="E735" s="3"/>
      <c r="F735" s="3"/>
      <c r="G735" s="3"/>
    </row>
    <row r="736">
      <c r="A736" s="21"/>
      <c r="C736" s="3"/>
      <c r="D736" s="3"/>
      <c r="E736" s="3"/>
      <c r="F736" s="3"/>
      <c r="G736" s="3"/>
    </row>
    <row r="737">
      <c r="A737" s="21"/>
      <c r="C737" s="3"/>
      <c r="D737" s="3"/>
      <c r="E737" s="3"/>
      <c r="F737" s="3"/>
      <c r="G737" s="3"/>
    </row>
    <row r="738">
      <c r="A738" s="21"/>
      <c r="C738" s="3"/>
      <c r="D738" s="3"/>
      <c r="E738" s="3"/>
      <c r="F738" s="3"/>
      <c r="G738" s="3"/>
    </row>
    <row r="739">
      <c r="A739" s="21"/>
      <c r="C739" s="3"/>
      <c r="D739" s="3"/>
      <c r="E739" s="3"/>
      <c r="F739" s="3"/>
      <c r="G739" s="3"/>
    </row>
    <row r="740">
      <c r="A740" s="21"/>
      <c r="C740" s="3"/>
      <c r="D740" s="3"/>
      <c r="E740" s="3"/>
      <c r="F740" s="3"/>
      <c r="G740" s="3"/>
    </row>
    <row r="741">
      <c r="A741" s="21"/>
      <c r="C741" s="3"/>
      <c r="D741" s="3"/>
      <c r="E741" s="3"/>
      <c r="F741" s="3"/>
      <c r="G741" s="3"/>
    </row>
    <row r="742">
      <c r="A742" s="21"/>
      <c r="C742" s="3"/>
      <c r="D742" s="3"/>
      <c r="E742" s="3"/>
      <c r="F742" s="3"/>
      <c r="G742" s="3"/>
    </row>
    <row r="743">
      <c r="A743" s="21"/>
      <c r="C743" s="3"/>
      <c r="D743" s="3"/>
      <c r="E743" s="3"/>
      <c r="F743" s="3"/>
      <c r="G743" s="3"/>
    </row>
    <row r="744">
      <c r="A744" s="21"/>
      <c r="C744" s="3"/>
      <c r="D744" s="3"/>
      <c r="E744" s="3"/>
      <c r="F744" s="3"/>
      <c r="G744" s="3"/>
    </row>
    <row r="745">
      <c r="A745" s="21"/>
      <c r="C745" s="3"/>
      <c r="D745" s="3"/>
      <c r="E745" s="3"/>
      <c r="F745" s="3"/>
      <c r="G745" s="3"/>
    </row>
    <row r="746">
      <c r="A746" s="21"/>
      <c r="C746" s="3"/>
      <c r="D746" s="3"/>
      <c r="E746" s="3"/>
      <c r="F746" s="3"/>
      <c r="G746" s="3"/>
    </row>
    <row r="747">
      <c r="A747" s="21"/>
      <c r="C747" s="3"/>
      <c r="D747" s="3"/>
      <c r="E747" s="3"/>
      <c r="F747" s="3"/>
      <c r="G747" s="3"/>
    </row>
    <row r="748">
      <c r="A748" s="21"/>
      <c r="C748" s="3"/>
      <c r="D748" s="3"/>
      <c r="E748" s="3"/>
      <c r="F748" s="3"/>
      <c r="G748" s="3"/>
    </row>
    <row r="749">
      <c r="A749" s="21"/>
      <c r="C749" s="3"/>
      <c r="D749" s="3"/>
      <c r="E749" s="3"/>
      <c r="F749" s="3"/>
      <c r="G749" s="3"/>
    </row>
    <row r="750">
      <c r="A750" s="21"/>
      <c r="C750" s="3"/>
      <c r="D750" s="3"/>
      <c r="E750" s="3"/>
      <c r="F750" s="3"/>
      <c r="G750" s="3"/>
    </row>
    <row r="751">
      <c r="A751" s="21"/>
      <c r="C751" s="3"/>
      <c r="D751" s="3"/>
      <c r="E751" s="3"/>
      <c r="F751" s="3"/>
      <c r="G751" s="3"/>
    </row>
    <row r="752">
      <c r="A752" s="21"/>
      <c r="C752" s="3"/>
      <c r="D752" s="3"/>
      <c r="E752" s="3"/>
      <c r="F752" s="3"/>
      <c r="G752" s="3"/>
    </row>
    <row r="753">
      <c r="A753" s="21"/>
      <c r="C753" s="3"/>
      <c r="D753" s="3"/>
      <c r="E753" s="3"/>
      <c r="F753" s="3"/>
      <c r="G753" s="3"/>
    </row>
    <row r="754">
      <c r="A754" s="21"/>
      <c r="C754" s="3"/>
      <c r="D754" s="3"/>
      <c r="E754" s="3"/>
      <c r="F754" s="3"/>
      <c r="G754" s="3"/>
    </row>
    <row r="755">
      <c r="A755" s="21"/>
      <c r="C755" s="3"/>
      <c r="D755" s="3"/>
      <c r="E755" s="3"/>
      <c r="F755" s="3"/>
      <c r="G755" s="3"/>
    </row>
    <row r="756">
      <c r="A756" s="21"/>
      <c r="C756" s="3"/>
      <c r="D756" s="3"/>
      <c r="E756" s="3"/>
      <c r="F756" s="3"/>
      <c r="G756" s="3"/>
    </row>
    <row r="757">
      <c r="A757" s="21"/>
      <c r="C757" s="3"/>
      <c r="D757" s="3"/>
      <c r="E757" s="3"/>
      <c r="F757" s="3"/>
      <c r="G757" s="3"/>
    </row>
    <row r="758">
      <c r="A758" s="21"/>
      <c r="C758" s="3"/>
      <c r="D758" s="3"/>
      <c r="E758" s="3"/>
      <c r="F758" s="3"/>
      <c r="G758" s="3"/>
    </row>
    <row r="759">
      <c r="A759" s="21"/>
      <c r="C759" s="3"/>
      <c r="D759" s="3"/>
      <c r="E759" s="3"/>
      <c r="F759" s="3"/>
      <c r="G759" s="3"/>
    </row>
    <row r="760">
      <c r="A760" s="21"/>
      <c r="C760" s="3"/>
      <c r="D760" s="3"/>
      <c r="E760" s="3"/>
      <c r="F760" s="3"/>
      <c r="G760" s="3"/>
    </row>
    <row r="761">
      <c r="A761" s="21"/>
      <c r="C761" s="3"/>
      <c r="D761" s="3"/>
      <c r="E761" s="3"/>
      <c r="F761" s="3"/>
      <c r="G761" s="3"/>
    </row>
    <row r="762">
      <c r="A762" s="21"/>
      <c r="C762" s="3"/>
      <c r="D762" s="3"/>
      <c r="E762" s="3"/>
      <c r="F762" s="3"/>
      <c r="G762" s="3"/>
    </row>
    <row r="763">
      <c r="A763" s="21"/>
      <c r="C763" s="3"/>
      <c r="D763" s="3"/>
      <c r="E763" s="3"/>
      <c r="F763" s="3"/>
      <c r="G763" s="3"/>
    </row>
    <row r="764">
      <c r="A764" s="21"/>
      <c r="C764" s="3"/>
      <c r="D764" s="3"/>
      <c r="E764" s="3"/>
      <c r="F764" s="3"/>
      <c r="G764" s="3"/>
    </row>
    <row r="765">
      <c r="A765" s="21"/>
      <c r="C765" s="3"/>
      <c r="D765" s="3"/>
      <c r="E765" s="3"/>
      <c r="F765" s="3"/>
      <c r="G765" s="3"/>
    </row>
    <row r="766">
      <c r="A766" s="21"/>
      <c r="C766" s="3"/>
      <c r="D766" s="3"/>
      <c r="E766" s="3"/>
      <c r="F766" s="3"/>
      <c r="G766" s="3"/>
    </row>
    <row r="767">
      <c r="A767" s="21"/>
      <c r="C767" s="3"/>
      <c r="D767" s="3"/>
      <c r="E767" s="3"/>
      <c r="F767" s="3"/>
      <c r="G767" s="3"/>
    </row>
    <row r="768">
      <c r="A768" s="21"/>
      <c r="C768" s="3"/>
      <c r="D768" s="3"/>
      <c r="E768" s="3"/>
      <c r="F768" s="3"/>
      <c r="G768" s="3"/>
    </row>
    <row r="769">
      <c r="A769" s="21"/>
      <c r="C769" s="3"/>
      <c r="D769" s="3"/>
      <c r="E769" s="3"/>
      <c r="F769" s="3"/>
      <c r="G769" s="3"/>
    </row>
    <row r="770">
      <c r="A770" s="21"/>
      <c r="C770" s="3"/>
      <c r="D770" s="3"/>
      <c r="E770" s="3"/>
      <c r="F770" s="3"/>
      <c r="G770" s="3"/>
    </row>
    <row r="771">
      <c r="A771" s="21"/>
      <c r="C771" s="3"/>
      <c r="D771" s="3"/>
      <c r="E771" s="3"/>
      <c r="F771" s="3"/>
      <c r="G771" s="3"/>
    </row>
    <row r="772">
      <c r="A772" s="21"/>
      <c r="C772" s="3"/>
      <c r="D772" s="3"/>
      <c r="E772" s="3"/>
      <c r="F772" s="3"/>
      <c r="G772" s="3"/>
    </row>
    <row r="773">
      <c r="A773" s="21"/>
      <c r="C773" s="3"/>
      <c r="D773" s="3"/>
      <c r="E773" s="3"/>
      <c r="F773" s="3"/>
      <c r="G773" s="3"/>
    </row>
    <row r="774">
      <c r="A774" s="21"/>
      <c r="C774" s="3"/>
      <c r="D774" s="3"/>
      <c r="E774" s="3"/>
      <c r="F774" s="3"/>
      <c r="G774" s="3"/>
    </row>
    <row r="775">
      <c r="A775" s="21"/>
      <c r="C775" s="3"/>
      <c r="D775" s="3"/>
      <c r="E775" s="3"/>
      <c r="F775" s="3"/>
      <c r="G775" s="3"/>
    </row>
    <row r="776">
      <c r="A776" s="21"/>
      <c r="C776" s="3"/>
      <c r="D776" s="3"/>
      <c r="E776" s="3"/>
      <c r="F776" s="3"/>
      <c r="G776" s="3"/>
    </row>
    <row r="777">
      <c r="A777" s="21"/>
      <c r="C777" s="3"/>
      <c r="D777" s="3"/>
      <c r="E777" s="3"/>
      <c r="F777" s="3"/>
      <c r="G777" s="3"/>
    </row>
    <row r="778">
      <c r="A778" s="21"/>
      <c r="C778" s="3"/>
      <c r="D778" s="3"/>
      <c r="E778" s="3"/>
      <c r="F778" s="3"/>
      <c r="G778" s="3"/>
    </row>
    <row r="779">
      <c r="A779" s="21"/>
      <c r="C779" s="3"/>
      <c r="D779" s="3"/>
      <c r="E779" s="3"/>
      <c r="F779" s="3"/>
      <c r="G779" s="3"/>
    </row>
    <row r="780">
      <c r="A780" s="21"/>
      <c r="C780" s="3"/>
      <c r="D780" s="3"/>
      <c r="E780" s="3"/>
      <c r="F780" s="3"/>
      <c r="G780" s="3"/>
    </row>
    <row r="781">
      <c r="A781" s="21"/>
      <c r="C781" s="3"/>
      <c r="D781" s="3"/>
      <c r="E781" s="3"/>
      <c r="F781" s="3"/>
      <c r="G781" s="3"/>
    </row>
    <row r="782">
      <c r="A782" s="21"/>
      <c r="C782" s="3"/>
      <c r="D782" s="3"/>
      <c r="E782" s="3"/>
      <c r="F782" s="3"/>
      <c r="G782" s="3"/>
    </row>
    <row r="783">
      <c r="A783" s="21"/>
      <c r="C783" s="3"/>
      <c r="D783" s="3"/>
      <c r="E783" s="3"/>
      <c r="F783" s="3"/>
      <c r="G783" s="3"/>
    </row>
    <row r="784">
      <c r="A784" s="21"/>
      <c r="C784" s="3"/>
      <c r="D784" s="3"/>
      <c r="E784" s="3"/>
      <c r="F784" s="3"/>
      <c r="G784" s="3"/>
    </row>
    <row r="785">
      <c r="A785" s="21"/>
      <c r="C785" s="3"/>
      <c r="D785" s="3"/>
      <c r="E785" s="3"/>
      <c r="F785" s="3"/>
      <c r="G785" s="3"/>
    </row>
    <row r="786">
      <c r="A786" s="21"/>
      <c r="C786" s="3"/>
      <c r="D786" s="3"/>
      <c r="E786" s="3"/>
      <c r="F786" s="3"/>
      <c r="G786" s="3"/>
    </row>
    <row r="787">
      <c r="A787" s="21"/>
      <c r="C787" s="3"/>
      <c r="D787" s="3"/>
      <c r="E787" s="3"/>
      <c r="F787" s="3"/>
      <c r="G787" s="3"/>
    </row>
    <row r="788">
      <c r="A788" s="21"/>
      <c r="C788" s="3"/>
      <c r="D788" s="3"/>
      <c r="E788" s="3"/>
      <c r="F788" s="3"/>
      <c r="G788" s="3"/>
    </row>
    <row r="789">
      <c r="A789" s="21"/>
      <c r="C789" s="3"/>
      <c r="D789" s="3"/>
      <c r="E789" s="3"/>
      <c r="F789" s="3"/>
      <c r="G789" s="3"/>
    </row>
    <row r="790">
      <c r="A790" s="21"/>
      <c r="C790" s="3"/>
      <c r="D790" s="3"/>
      <c r="E790" s="3"/>
      <c r="F790" s="3"/>
      <c r="G790" s="3"/>
    </row>
    <row r="791">
      <c r="A791" s="21"/>
      <c r="C791" s="3"/>
      <c r="D791" s="3"/>
      <c r="E791" s="3"/>
      <c r="F791" s="3"/>
      <c r="G791" s="3"/>
    </row>
    <row r="792">
      <c r="A792" s="21"/>
      <c r="C792" s="3"/>
      <c r="D792" s="3"/>
      <c r="E792" s="3"/>
      <c r="F792" s="3"/>
      <c r="G792" s="3"/>
    </row>
    <row r="793">
      <c r="A793" s="21"/>
      <c r="C793" s="3"/>
      <c r="D793" s="3"/>
      <c r="E793" s="3"/>
      <c r="F793" s="3"/>
      <c r="G793" s="3"/>
    </row>
    <row r="794">
      <c r="A794" s="21"/>
      <c r="C794" s="3"/>
      <c r="D794" s="3"/>
      <c r="E794" s="3"/>
      <c r="F794" s="3"/>
      <c r="G794" s="3"/>
    </row>
    <row r="795">
      <c r="A795" s="21"/>
      <c r="C795" s="3"/>
      <c r="D795" s="3"/>
      <c r="E795" s="3"/>
      <c r="F795" s="3"/>
      <c r="G795" s="3"/>
    </row>
    <row r="796">
      <c r="A796" s="21"/>
      <c r="C796" s="3"/>
      <c r="D796" s="3"/>
      <c r="E796" s="3"/>
      <c r="F796" s="3"/>
      <c r="G796" s="3"/>
    </row>
    <row r="797">
      <c r="A797" s="21"/>
      <c r="C797" s="3"/>
      <c r="D797" s="3"/>
      <c r="E797" s="3"/>
      <c r="F797" s="3"/>
      <c r="G797" s="3"/>
    </row>
    <row r="798">
      <c r="A798" s="21"/>
      <c r="C798" s="3"/>
      <c r="D798" s="3"/>
      <c r="E798" s="3"/>
      <c r="F798" s="3"/>
      <c r="G798" s="3"/>
    </row>
    <row r="799">
      <c r="A799" s="21"/>
      <c r="C799" s="3"/>
      <c r="D799" s="3"/>
      <c r="E799" s="3"/>
      <c r="F799" s="3"/>
      <c r="G799" s="3"/>
    </row>
    <row r="800">
      <c r="A800" s="21"/>
      <c r="C800" s="3"/>
      <c r="D800" s="3"/>
      <c r="E800" s="3"/>
      <c r="F800" s="3"/>
      <c r="G800" s="3"/>
    </row>
    <row r="801">
      <c r="A801" s="21"/>
      <c r="C801" s="3"/>
      <c r="D801" s="3"/>
      <c r="E801" s="3"/>
      <c r="F801" s="3"/>
      <c r="G801" s="3"/>
    </row>
    <row r="802">
      <c r="A802" s="21"/>
      <c r="C802" s="3"/>
      <c r="D802" s="3"/>
      <c r="E802" s="3"/>
      <c r="F802" s="3"/>
      <c r="G802" s="3"/>
    </row>
    <row r="803">
      <c r="A803" s="21"/>
      <c r="C803" s="3"/>
      <c r="D803" s="3"/>
      <c r="E803" s="3"/>
      <c r="F803" s="3"/>
      <c r="G803" s="3"/>
    </row>
    <row r="804">
      <c r="A804" s="21"/>
      <c r="C804" s="3"/>
      <c r="D804" s="3"/>
      <c r="E804" s="3"/>
      <c r="F804" s="3"/>
      <c r="G804" s="3"/>
    </row>
    <row r="805">
      <c r="A805" s="21"/>
      <c r="C805" s="3"/>
      <c r="D805" s="3"/>
      <c r="E805" s="3"/>
      <c r="F805" s="3"/>
      <c r="G805" s="3"/>
    </row>
    <row r="806">
      <c r="A806" s="21"/>
      <c r="C806" s="3"/>
      <c r="D806" s="3"/>
      <c r="E806" s="3"/>
      <c r="F806" s="3"/>
      <c r="G806" s="3"/>
    </row>
    <row r="807">
      <c r="A807" s="21"/>
      <c r="C807" s="3"/>
      <c r="D807" s="3"/>
      <c r="E807" s="3"/>
      <c r="F807" s="3"/>
      <c r="G807" s="3"/>
    </row>
    <row r="808">
      <c r="A808" s="21"/>
      <c r="C808" s="3"/>
      <c r="D808" s="3"/>
      <c r="E808" s="3"/>
      <c r="F808" s="3"/>
      <c r="G808" s="3"/>
    </row>
    <row r="809">
      <c r="A809" s="21"/>
      <c r="C809" s="3"/>
      <c r="D809" s="3"/>
      <c r="E809" s="3"/>
      <c r="F809" s="3"/>
      <c r="G809" s="3"/>
    </row>
    <row r="810">
      <c r="A810" s="21"/>
      <c r="C810" s="3"/>
      <c r="D810" s="3"/>
      <c r="E810" s="3"/>
      <c r="F810" s="3"/>
      <c r="G810" s="3"/>
    </row>
    <row r="811">
      <c r="A811" s="21"/>
      <c r="C811" s="3"/>
      <c r="D811" s="3"/>
      <c r="E811" s="3"/>
      <c r="F811" s="3"/>
      <c r="G811" s="3"/>
    </row>
    <row r="812">
      <c r="A812" s="21"/>
      <c r="C812" s="3"/>
      <c r="D812" s="3"/>
      <c r="E812" s="3"/>
      <c r="F812" s="3"/>
      <c r="G812" s="3"/>
    </row>
    <row r="813">
      <c r="A813" s="21"/>
      <c r="C813" s="3"/>
      <c r="D813" s="3"/>
      <c r="E813" s="3"/>
      <c r="F813" s="3"/>
      <c r="G813" s="3"/>
    </row>
    <row r="814">
      <c r="A814" s="21"/>
      <c r="C814" s="3"/>
      <c r="D814" s="3"/>
      <c r="E814" s="3"/>
      <c r="F814" s="3"/>
      <c r="G814" s="3"/>
    </row>
    <row r="815">
      <c r="A815" s="21"/>
      <c r="C815" s="3"/>
      <c r="D815" s="3"/>
      <c r="E815" s="3"/>
      <c r="F815" s="3"/>
      <c r="G815" s="3"/>
    </row>
    <row r="816">
      <c r="A816" s="21"/>
      <c r="C816" s="3"/>
      <c r="D816" s="3"/>
      <c r="E816" s="3"/>
      <c r="F816" s="3"/>
      <c r="G816" s="3"/>
    </row>
    <row r="817">
      <c r="A817" s="21"/>
      <c r="C817" s="3"/>
      <c r="D817" s="3"/>
      <c r="E817" s="3"/>
      <c r="F817" s="3"/>
      <c r="G817" s="3"/>
    </row>
    <row r="818">
      <c r="A818" s="21"/>
      <c r="C818" s="3"/>
      <c r="D818" s="3"/>
      <c r="E818" s="3"/>
      <c r="F818" s="3"/>
      <c r="G818" s="3"/>
    </row>
    <row r="819">
      <c r="A819" s="21"/>
      <c r="C819" s="3"/>
      <c r="D819" s="3"/>
      <c r="E819" s="3"/>
      <c r="F819" s="3"/>
      <c r="G819" s="3"/>
    </row>
    <row r="820">
      <c r="A820" s="21"/>
      <c r="C820" s="3"/>
      <c r="D820" s="3"/>
      <c r="E820" s="3"/>
      <c r="F820" s="3"/>
      <c r="G820" s="3"/>
    </row>
    <row r="821">
      <c r="A821" s="21"/>
      <c r="C821" s="3"/>
      <c r="D821" s="3"/>
      <c r="E821" s="3"/>
      <c r="F821" s="3"/>
      <c r="G821" s="3"/>
    </row>
    <row r="822">
      <c r="A822" s="21"/>
      <c r="C822" s="3"/>
      <c r="D822" s="3"/>
      <c r="E822" s="3"/>
      <c r="F822" s="3"/>
      <c r="G822" s="3"/>
    </row>
    <row r="823">
      <c r="A823" s="21"/>
      <c r="C823" s="3"/>
      <c r="D823" s="3"/>
      <c r="E823" s="3"/>
      <c r="F823" s="3"/>
      <c r="G823" s="3"/>
    </row>
    <row r="824">
      <c r="A824" s="21"/>
      <c r="C824" s="3"/>
      <c r="D824" s="3"/>
      <c r="E824" s="3"/>
      <c r="F824" s="3"/>
      <c r="G824" s="3"/>
    </row>
    <row r="825">
      <c r="A825" s="21"/>
      <c r="C825" s="3"/>
      <c r="D825" s="3"/>
      <c r="E825" s="3"/>
      <c r="F825" s="3"/>
      <c r="G825" s="3"/>
    </row>
    <row r="826">
      <c r="A826" s="21"/>
      <c r="C826" s="3"/>
      <c r="D826" s="3"/>
      <c r="E826" s="3"/>
      <c r="F826" s="3"/>
      <c r="G826" s="3"/>
    </row>
    <row r="827">
      <c r="A827" s="21"/>
      <c r="C827" s="3"/>
      <c r="D827" s="3"/>
      <c r="E827" s="3"/>
      <c r="F827" s="3"/>
      <c r="G827" s="3"/>
    </row>
    <row r="828">
      <c r="A828" s="21"/>
      <c r="C828" s="3"/>
      <c r="D828" s="3"/>
      <c r="E828" s="3"/>
      <c r="F828" s="3"/>
      <c r="G828" s="3"/>
    </row>
    <row r="829">
      <c r="A829" s="21"/>
      <c r="C829" s="3"/>
      <c r="D829" s="3"/>
      <c r="E829" s="3"/>
      <c r="F829" s="3"/>
      <c r="G829" s="3"/>
    </row>
    <row r="830">
      <c r="A830" s="21"/>
      <c r="C830" s="3"/>
      <c r="D830" s="3"/>
      <c r="E830" s="3"/>
      <c r="F830" s="3"/>
      <c r="G830" s="3"/>
    </row>
    <row r="831">
      <c r="A831" s="21"/>
      <c r="C831" s="3"/>
      <c r="D831" s="3"/>
      <c r="E831" s="3"/>
      <c r="F831" s="3"/>
      <c r="G831" s="3"/>
    </row>
    <row r="832">
      <c r="A832" s="21"/>
      <c r="C832" s="3"/>
      <c r="D832" s="3"/>
      <c r="E832" s="3"/>
      <c r="F832" s="3"/>
      <c r="G832" s="3"/>
    </row>
    <row r="833">
      <c r="A833" s="21"/>
      <c r="C833" s="3"/>
      <c r="D833" s="3"/>
      <c r="E833" s="3"/>
      <c r="F833" s="3"/>
      <c r="G833" s="3"/>
    </row>
    <row r="834">
      <c r="A834" s="21"/>
      <c r="C834" s="3"/>
      <c r="D834" s="3"/>
      <c r="E834" s="3"/>
      <c r="F834" s="3"/>
      <c r="G834" s="3"/>
    </row>
    <row r="835">
      <c r="A835" s="21"/>
      <c r="C835" s="3"/>
      <c r="D835" s="3"/>
      <c r="E835" s="3"/>
      <c r="F835" s="3"/>
      <c r="G835" s="3"/>
    </row>
    <row r="836">
      <c r="A836" s="21"/>
      <c r="C836" s="3"/>
      <c r="D836" s="3"/>
      <c r="E836" s="3"/>
      <c r="F836" s="3"/>
      <c r="G836" s="3"/>
    </row>
    <row r="837">
      <c r="A837" s="21"/>
      <c r="C837" s="3"/>
      <c r="D837" s="3"/>
      <c r="E837" s="3"/>
      <c r="F837" s="3"/>
      <c r="G837" s="3"/>
    </row>
    <row r="838">
      <c r="A838" s="21"/>
      <c r="C838" s="3"/>
      <c r="D838" s="3"/>
      <c r="E838" s="3"/>
      <c r="F838" s="3"/>
      <c r="G838" s="3"/>
    </row>
    <row r="839">
      <c r="A839" s="21"/>
      <c r="C839" s="3"/>
      <c r="D839" s="3"/>
      <c r="E839" s="3"/>
      <c r="F839" s="3"/>
      <c r="G839" s="3"/>
    </row>
    <row r="840">
      <c r="A840" s="21"/>
      <c r="C840" s="3"/>
      <c r="D840" s="3"/>
      <c r="E840" s="3"/>
      <c r="F840" s="3"/>
      <c r="G840" s="3"/>
    </row>
    <row r="841">
      <c r="A841" s="21"/>
      <c r="C841" s="3"/>
      <c r="D841" s="3"/>
      <c r="E841" s="3"/>
      <c r="F841" s="3"/>
      <c r="G841" s="3"/>
    </row>
    <row r="842">
      <c r="A842" s="21"/>
      <c r="C842" s="3"/>
      <c r="D842" s="3"/>
      <c r="E842" s="3"/>
      <c r="F842" s="3"/>
      <c r="G842" s="3"/>
    </row>
    <row r="843">
      <c r="A843" s="21"/>
      <c r="C843" s="3"/>
      <c r="D843" s="3"/>
      <c r="E843" s="3"/>
      <c r="F843" s="3"/>
      <c r="G843" s="3"/>
    </row>
    <row r="844">
      <c r="A844" s="21"/>
      <c r="C844" s="3"/>
      <c r="D844" s="3"/>
      <c r="E844" s="3"/>
      <c r="F844" s="3"/>
      <c r="G844" s="3"/>
    </row>
    <row r="845">
      <c r="A845" s="21"/>
      <c r="C845" s="3"/>
      <c r="D845" s="3"/>
      <c r="E845" s="3"/>
      <c r="F845" s="3"/>
      <c r="G845" s="3"/>
    </row>
    <row r="846">
      <c r="A846" s="21"/>
      <c r="C846" s="3"/>
      <c r="D846" s="3"/>
      <c r="E846" s="3"/>
      <c r="F846" s="3"/>
      <c r="G846" s="3"/>
    </row>
    <row r="847">
      <c r="A847" s="21"/>
      <c r="C847" s="3"/>
      <c r="D847" s="3"/>
      <c r="E847" s="3"/>
      <c r="F847" s="3"/>
      <c r="G847" s="3"/>
    </row>
    <row r="848">
      <c r="A848" s="21"/>
      <c r="C848" s="3"/>
      <c r="D848" s="3"/>
      <c r="E848" s="3"/>
      <c r="F848" s="3"/>
      <c r="G848" s="3"/>
    </row>
    <row r="849">
      <c r="A849" s="21"/>
      <c r="C849" s="3"/>
      <c r="D849" s="3"/>
      <c r="E849" s="3"/>
      <c r="F849" s="3"/>
      <c r="G849" s="3"/>
    </row>
    <row r="850">
      <c r="A850" s="21"/>
      <c r="C850" s="3"/>
      <c r="D850" s="3"/>
      <c r="E850" s="3"/>
      <c r="F850" s="3"/>
      <c r="G850" s="3"/>
    </row>
    <row r="851">
      <c r="A851" s="21"/>
      <c r="C851" s="3"/>
      <c r="D851" s="3"/>
      <c r="E851" s="3"/>
      <c r="F851" s="3"/>
      <c r="G851" s="3"/>
    </row>
    <row r="852">
      <c r="A852" s="21"/>
      <c r="C852" s="3"/>
      <c r="D852" s="3"/>
      <c r="E852" s="3"/>
      <c r="F852" s="3"/>
      <c r="G852" s="3"/>
    </row>
    <row r="853">
      <c r="A853" s="21"/>
      <c r="C853" s="3"/>
      <c r="D853" s="3"/>
      <c r="E853" s="3"/>
      <c r="F853" s="3"/>
      <c r="G853" s="3"/>
    </row>
    <row r="854">
      <c r="A854" s="21"/>
      <c r="C854" s="3"/>
      <c r="D854" s="3"/>
      <c r="E854" s="3"/>
      <c r="F854" s="3"/>
      <c r="G854" s="3"/>
    </row>
    <row r="855">
      <c r="A855" s="21"/>
      <c r="C855" s="3"/>
      <c r="D855" s="3"/>
      <c r="E855" s="3"/>
      <c r="F855" s="3"/>
      <c r="G855" s="3"/>
    </row>
    <row r="856">
      <c r="A856" s="21"/>
      <c r="C856" s="3"/>
      <c r="D856" s="3"/>
      <c r="E856" s="3"/>
      <c r="F856" s="3"/>
      <c r="G856" s="3"/>
    </row>
    <row r="857">
      <c r="A857" s="21"/>
      <c r="C857" s="3"/>
      <c r="D857" s="3"/>
      <c r="E857" s="3"/>
      <c r="F857" s="3"/>
      <c r="G857" s="3"/>
    </row>
    <row r="858">
      <c r="A858" s="21"/>
      <c r="C858" s="3"/>
      <c r="D858" s="3"/>
      <c r="E858" s="3"/>
      <c r="F858" s="3"/>
      <c r="G858" s="3"/>
    </row>
    <row r="859">
      <c r="A859" s="21"/>
      <c r="C859" s="3"/>
      <c r="D859" s="3"/>
      <c r="E859" s="3"/>
      <c r="F859" s="3"/>
      <c r="G859" s="3"/>
    </row>
    <row r="860">
      <c r="A860" s="21"/>
      <c r="C860" s="3"/>
      <c r="D860" s="3"/>
      <c r="E860" s="3"/>
      <c r="F860" s="3"/>
      <c r="G860" s="3"/>
    </row>
    <row r="861">
      <c r="A861" s="21"/>
      <c r="C861" s="3"/>
      <c r="D861" s="3"/>
      <c r="E861" s="3"/>
      <c r="F861" s="3"/>
      <c r="G861" s="3"/>
    </row>
    <row r="862">
      <c r="A862" s="21"/>
      <c r="C862" s="3"/>
      <c r="D862" s="3"/>
      <c r="E862" s="3"/>
      <c r="F862" s="3"/>
      <c r="G862" s="3"/>
    </row>
    <row r="863">
      <c r="A863" s="21"/>
      <c r="C863" s="3"/>
      <c r="D863" s="3"/>
      <c r="E863" s="3"/>
      <c r="F863" s="3"/>
      <c r="G863" s="3"/>
    </row>
    <row r="864">
      <c r="A864" s="21"/>
      <c r="C864" s="3"/>
      <c r="D864" s="3"/>
      <c r="E864" s="3"/>
      <c r="F864" s="3"/>
      <c r="G864" s="3"/>
    </row>
    <row r="865">
      <c r="A865" s="21"/>
      <c r="C865" s="3"/>
      <c r="D865" s="3"/>
      <c r="E865" s="3"/>
      <c r="F865" s="3"/>
      <c r="G865" s="3"/>
    </row>
    <row r="866">
      <c r="A866" s="21"/>
      <c r="C866" s="3"/>
      <c r="D866" s="3"/>
      <c r="E866" s="3"/>
      <c r="F866" s="3"/>
      <c r="G866" s="3"/>
    </row>
    <row r="867">
      <c r="A867" s="21"/>
      <c r="C867" s="3"/>
      <c r="D867" s="3"/>
      <c r="E867" s="3"/>
      <c r="F867" s="3"/>
      <c r="G867" s="3"/>
    </row>
    <row r="868">
      <c r="A868" s="21"/>
      <c r="C868" s="3"/>
      <c r="D868" s="3"/>
      <c r="E868" s="3"/>
      <c r="F868" s="3"/>
      <c r="G868" s="3"/>
    </row>
    <row r="869">
      <c r="A869" s="21"/>
      <c r="C869" s="3"/>
      <c r="D869" s="3"/>
      <c r="E869" s="3"/>
      <c r="F869" s="3"/>
      <c r="G869" s="3"/>
    </row>
    <row r="870">
      <c r="A870" s="21"/>
      <c r="C870" s="3"/>
      <c r="D870" s="3"/>
      <c r="E870" s="3"/>
      <c r="F870" s="3"/>
      <c r="G870" s="3"/>
    </row>
    <row r="871">
      <c r="A871" s="21"/>
      <c r="C871" s="3"/>
      <c r="D871" s="3"/>
      <c r="E871" s="3"/>
      <c r="F871" s="3"/>
      <c r="G871" s="3"/>
    </row>
    <row r="872">
      <c r="A872" s="21"/>
      <c r="C872" s="3"/>
      <c r="D872" s="3"/>
      <c r="E872" s="3"/>
      <c r="F872" s="3"/>
      <c r="G872" s="3"/>
    </row>
    <row r="873">
      <c r="A873" s="21"/>
      <c r="C873" s="3"/>
      <c r="D873" s="3"/>
      <c r="E873" s="3"/>
      <c r="F873" s="3"/>
      <c r="G873" s="3"/>
    </row>
    <row r="874">
      <c r="A874" s="21"/>
      <c r="C874" s="3"/>
      <c r="D874" s="3"/>
      <c r="E874" s="3"/>
      <c r="F874" s="3"/>
      <c r="G874" s="3"/>
    </row>
    <row r="875">
      <c r="A875" s="21"/>
      <c r="C875" s="3"/>
      <c r="D875" s="3"/>
      <c r="E875" s="3"/>
      <c r="F875" s="3"/>
      <c r="G875" s="3"/>
    </row>
    <row r="876">
      <c r="A876" s="21"/>
      <c r="C876" s="3"/>
      <c r="D876" s="3"/>
      <c r="E876" s="3"/>
      <c r="F876" s="3"/>
      <c r="G876" s="3"/>
    </row>
    <row r="877">
      <c r="A877" s="21"/>
      <c r="C877" s="3"/>
      <c r="D877" s="3"/>
      <c r="E877" s="3"/>
      <c r="F877" s="3"/>
      <c r="G877" s="3"/>
    </row>
    <row r="878">
      <c r="A878" s="21"/>
      <c r="C878" s="3"/>
      <c r="D878" s="3"/>
      <c r="E878" s="3"/>
      <c r="F878" s="3"/>
      <c r="G878" s="3"/>
    </row>
    <row r="879">
      <c r="A879" s="21"/>
      <c r="C879" s="3"/>
      <c r="D879" s="3"/>
      <c r="E879" s="3"/>
      <c r="F879" s="3"/>
      <c r="G879" s="3"/>
    </row>
    <row r="880">
      <c r="A880" s="21"/>
      <c r="C880" s="3"/>
      <c r="D880" s="3"/>
      <c r="E880" s="3"/>
      <c r="F880" s="3"/>
      <c r="G880" s="3"/>
    </row>
    <row r="881">
      <c r="A881" s="21"/>
      <c r="C881" s="3"/>
      <c r="D881" s="3"/>
      <c r="E881" s="3"/>
      <c r="F881" s="3"/>
      <c r="G881" s="3"/>
    </row>
    <row r="882">
      <c r="A882" s="21"/>
      <c r="C882" s="3"/>
      <c r="D882" s="3"/>
      <c r="E882" s="3"/>
      <c r="F882" s="3"/>
      <c r="G882" s="3"/>
    </row>
    <row r="883">
      <c r="A883" s="21"/>
      <c r="C883" s="3"/>
      <c r="D883" s="3"/>
      <c r="E883" s="3"/>
      <c r="F883" s="3"/>
      <c r="G883" s="3"/>
    </row>
    <row r="884">
      <c r="A884" s="21"/>
      <c r="C884" s="3"/>
      <c r="D884" s="3"/>
      <c r="E884" s="3"/>
      <c r="F884" s="3"/>
      <c r="G884" s="3"/>
    </row>
    <row r="885">
      <c r="A885" s="21"/>
      <c r="C885" s="3"/>
      <c r="D885" s="3"/>
      <c r="E885" s="3"/>
      <c r="F885" s="3"/>
      <c r="G885" s="3"/>
    </row>
    <row r="886">
      <c r="A886" s="21"/>
      <c r="C886" s="3"/>
      <c r="D886" s="3"/>
      <c r="E886" s="3"/>
      <c r="F886" s="3"/>
      <c r="G886" s="3"/>
    </row>
    <row r="887">
      <c r="A887" s="21"/>
      <c r="C887" s="3"/>
      <c r="D887" s="3"/>
      <c r="E887" s="3"/>
      <c r="F887" s="3"/>
      <c r="G887" s="3"/>
    </row>
    <row r="888">
      <c r="A888" s="21"/>
      <c r="C888" s="3"/>
      <c r="D888" s="3"/>
      <c r="E888" s="3"/>
      <c r="F888" s="3"/>
      <c r="G888" s="3"/>
    </row>
    <row r="889">
      <c r="A889" s="21"/>
      <c r="C889" s="3"/>
      <c r="D889" s="3"/>
      <c r="E889" s="3"/>
      <c r="F889" s="3"/>
      <c r="G889" s="3"/>
    </row>
    <row r="890">
      <c r="A890" s="21"/>
      <c r="C890" s="3"/>
      <c r="D890" s="3"/>
      <c r="E890" s="3"/>
      <c r="F890" s="3"/>
      <c r="G890" s="3"/>
    </row>
    <row r="891">
      <c r="A891" s="21"/>
      <c r="C891" s="3"/>
      <c r="D891" s="3"/>
      <c r="E891" s="3"/>
      <c r="F891" s="3"/>
      <c r="G891" s="3"/>
    </row>
    <row r="892">
      <c r="A892" s="21"/>
      <c r="C892" s="3"/>
      <c r="D892" s="3"/>
      <c r="E892" s="3"/>
      <c r="F892" s="3"/>
      <c r="G892" s="3"/>
    </row>
    <row r="893">
      <c r="A893" s="21"/>
      <c r="C893" s="3"/>
      <c r="D893" s="3"/>
      <c r="E893" s="3"/>
      <c r="F893" s="3"/>
      <c r="G893" s="3"/>
    </row>
    <row r="894">
      <c r="A894" s="21"/>
      <c r="C894" s="3"/>
      <c r="D894" s="3"/>
      <c r="E894" s="3"/>
      <c r="F894" s="3"/>
      <c r="G894" s="3"/>
    </row>
    <row r="895">
      <c r="A895" s="21"/>
      <c r="C895" s="3"/>
      <c r="D895" s="3"/>
      <c r="E895" s="3"/>
      <c r="F895" s="3"/>
      <c r="G895" s="3"/>
    </row>
    <row r="896">
      <c r="A896" s="21"/>
      <c r="C896" s="3"/>
      <c r="D896" s="3"/>
      <c r="E896" s="3"/>
      <c r="F896" s="3"/>
      <c r="G896" s="3"/>
    </row>
    <row r="897">
      <c r="A897" s="21"/>
      <c r="C897" s="3"/>
      <c r="D897" s="3"/>
      <c r="E897" s="3"/>
      <c r="F897" s="3"/>
      <c r="G897" s="3"/>
    </row>
    <row r="898">
      <c r="A898" s="21"/>
      <c r="C898" s="3"/>
      <c r="D898" s="3"/>
      <c r="E898" s="3"/>
      <c r="F898" s="3"/>
      <c r="G898" s="3"/>
    </row>
    <row r="899">
      <c r="A899" s="21"/>
      <c r="C899" s="3"/>
      <c r="D899" s="3"/>
      <c r="E899" s="3"/>
      <c r="F899" s="3"/>
      <c r="G899" s="3"/>
    </row>
    <row r="900">
      <c r="A900" s="21"/>
      <c r="C900" s="3"/>
      <c r="D900" s="3"/>
      <c r="E900" s="3"/>
      <c r="F900" s="3"/>
      <c r="G900" s="3"/>
    </row>
    <row r="901">
      <c r="A901" s="21"/>
      <c r="C901" s="3"/>
      <c r="D901" s="3"/>
      <c r="E901" s="3"/>
      <c r="F901" s="3"/>
      <c r="G901" s="3"/>
    </row>
    <row r="902">
      <c r="A902" s="21"/>
      <c r="C902" s="3"/>
      <c r="D902" s="3"/>
      <c r="E902" s="3"/>
      <c r="F902" s="3"/>
      <c r="G902" s="3"/>
    </row>
    <row r="903">
      <c r="A903" s="21"/>
      <c r="C903" s="3"/>
      <c r="D903" s="3"/>
      <c r="E903" s="3"/>
      <c r="F903" s="3"/>
      <c r="G903" s="3"/>
    </row>
    <row r="904">
      <c r="A904" s="21"/>
      <c r="C904" s="3"/>
      <c r="D904" s="3"/>
      <c r="E904" s="3"/>
      <c r="F904" s="3"/>
      <c r="G904" s="3"/>
    </row>
    <row r="905">
      <c r="A905" s="21"/>
      <c r="C905" s="3"/>
      <c r="D905" s="3"/>
      <c r="E905" s="3"/>
      <c r="F905" s="3"/>
      <c r="G905" s="3"/>
    </row>
    <row r="906">
      <c r="A906" s="21"/>
      <c r="C906" s="3"/>
      <c r="D906" s="3"/>
      <c r="E906" s="3"/>
      <c r="F906" s="3"/>
      <c r="G906" s="3"/>
    </row>
    <row r="907">
      <c r="A907" s="21"/>
      <c r="C907" s="3"/>
      <c r="D907" s="3"/>
      <c r="E907" s="3"/>
      <c r="F907" s="3"/>
      <c r="G907" s="3"/>
    </row>
    <row r="908">
      <c r="A908" s="21"/>
      <c r="C908" s="3"/>
      <c r="D908" s="3"/>
      <c r="E908" s="3"/>
      <c r="F908" s="3"/>
      <c r="G908" s="3"/>
    </row>
    <row r="909">
      <c r="A909" s="21"/>
      <c r="C909" s="3"/>
      <c r="D909" s="3"/>
      <c r="E909" s="3"/>
      <c r="F909" s="3"/>
      <c r="G909" s="3"/>
    </row>
    <row r="910">
      <c r="A910" s="21"/>
      <c r="C910" s="3"/>
      <c r="D910" s="3"/>
      <c r="E910" s="3"/>
      <c r="F910" s="3"/>
      <c r="G910" s="3"/>
    </row>
    <row r="911">
      <c r="A911" s="21"/>
      <c r="C911" s="3"/>
      <c r="D911" s="3"/>
      <c r="E911" s="3"/>
      <c r="F911" s="3"/>
      <c r="G911" s="3"/>
    </row>
    <row r="912">
      <c r="A912" s="21"/>
      <c r="C912" s="3"/>
      <c r="D912" s="3"/>
      <c r="E912" s="3"/>
      <c r="F912" s="3"/>
      <c r="G912" s="3"/>
    </row>
    <row r="913">
      <c r="A913" s="21"/>
      <c r="C913" s="3"/>
      <c r="D913" s="3"/>
      <c r="E913" s="3"/>
      <c r="F913" s="3"/>
      <c r="G913" s="3"/>
    </row>
    <row r="914">
      <c r="A914" s="21"/>
      <c r="C914" s="3"/>
      <c r="D914" s="3"/>
      <c r="E914" s="3"/>
      <c r="F914" s="3"/>
      <c r="G914" s="3"/>
    </row>
    <row r="915">
      <c r="A915" s="21"/>
      <c r="C915" s="3"/>
      <c r="D915" s="3"/>
      <c r="E915" s="3"/>
      <c r="F915" s="3"/>
      <c r="G915" s="3"/>
    </row>
    <row r="916">
      <c r="A916" s="21"/>
      <c r="C916" s="3"/>
      <c r="D916" s="3"/>
      <c r="E916" s="3"/>
      <c r="F916" s="3"/>
      <c r="G916" s="3"/>
    </row>
    <row r="917">
      <c r="A917" s="21"/>
      <c r="C917" s="3"/>
      <c r="D917" s="3"/>
      <c r="E917" s="3"/>
      <c r="F917" s="3"/>
      <c r="G917" s="3"/>
    </row>
    <row r="918">
      <c r="A918" s="21"/>
      <c r="C918" s="3"/>
      <c r="D918" s="3"/>
      <c r="E918" s="3"/>
      <c r="F918" s="3"/>
      <c r="G918" s="3"/>
    </row>
    <row r="919">
      <c r="A919" s="21"/>
      <c r="C919" s="3"/>
      <c r="D919" s="3"/>
      <c r="E919" s="3"/>
      <c r="F919" s="3"/>
      <c r="G919" s="3"/>
    </row>
    <row r="920">
      <c r="A920" s="21"/>
      <c r="C920" s="3"/>
      <c r="D920" s="3"/>
      <c r="E920" s="3"/>
      <c r="F920" s="3"/>
      <c r="G920" s="3"/>
    </row>
    <row r="921">
      <c r="A921" s="21"/>
      <c r="C921" s="3"/>
      <c r="D921" s="3"/>
      <c r="E921" s="3"/>
      <c r="F921" s="3"/>
      <c r="G921" s="3"/>
    </row>
    <row r="922">
      <c r="A922" s="21"/>
      <c r="C922" s="3"/>
      <c r="D922" s="3"/>
      <c r="E922" s="3"/>
      <c r="F922" s="3"/>
      <c r="G922" s="3"/>
    </row>
    <row r="923">
      <c r="A923" s="21"/>
      <c r="C923" s="3"/>
      <c r="D923" s="3"/>
      <c r="E923" s="3"/>
      <c r="F923" s="3"/>
      <c r="G923" s="3"/>
    </row>
    <row r="924">
      <c r="A924" s="21"/>
      <c r="C924" s="3"/>
      <c r="D924" s="3"/>
      <c r="E924" s="3"/>
      <c r="F924" s="3"/>
      <c r="G924" s="3"/>
    </row>
    <row r="925">
      <c r="A925" s="21"/>
      <c r="C925" s="3"/>
      <c r="D925" s="3"/>
      <c r="E925" s="3"/>
      <c r="F925" s="3"/>
      <c r="G925" s="3"/>
    </row>
    <row r="926">
      <c r="A926" s="21"/>
      <c r="C926" s="3"/>
      <c r="D926" s="3"/>
      <c r="E926" s="3"/>
      <c r="F926" s="3"/>
      <c r="G926" s="3"/>
    </row>
    <row r="927">
      <c r="A927" s="21"/>
      <c r="C927" s="3"/>
      <c r="D927" s="3"/>
      <c r="E927" s="3"/>
      <c r="F927" s="3"/>
      <c r="G927" s="3"/>
    </row>
    <row r="928">
      <c r="A928" s="21"/>
      <c r="C928" s="3"/>
      <c r="D928" s="3"/>
      <c r="E928" s="3"/>
      <c r="F928" s="3"/>
      <c r="G928" s="3"/>
    </row>
    <row r="929">
      <c r="A929" s="21"/>
      <c r="C929" s="3"/>
      <c r="D929" s="3"/>
      <c r="E929" s="3"/>
      <c r="F929" s="3"/>
      <c r="G929" s="3"/>
    </row>
    <row r="930">
      <c r="A930" s="21"/>
      <c r="C930" s="3"/>
      <c r="D930" s="3"/>
      <c r="E930" s="3"/>
      <c r="F930" s="3"/>
      <c r="G930" s="3"/>
    </row>
    <row r="931">
      <c r="A931" s="21"/>
      <c r="C931" s="3"/>
      <c r="D931" s="3"/>
      <c r="E931" s="3"/>
      <c r="F931" s="3"/>
      <c r="G931" s="3"/>
    </row>
    <row r="932">
      <c r="A932" s="21"/>
      <c r="C932" s="3"/>
      <c r="D932" s="3"/>
      <c r="E932" s="3"/>
      <c r="F932" s="3"/>
      <c r="G932" s="3"/>
    </row>
    <row r="933">
      <c r="A933" s="21"/>
      <c r="C933" s="3"/>
      <c r="D933" s="3"/>
      <c r="E933" s="3"/>
      <c r="F933" s="3"/>
      <c r="G933" s="3"/>
    </row>
    <row r="934">
      <c r="A934" s="21"/>
      <c r="C934" s="3"/>
      <c r="D934" s="3"/>
      <c r="E934" s="3"/>
      <c r="F934" s="3"/>
      <c r="G934" s="3"/>
    </row>
    <row r="935">
      <c r="A935" s="21"/>
      <c r="C935" s="3"/>
      <c r="D935" s="3"/>
      <c r="E935" s="3"/>
      <c r="F935" s="3"/>
      <c r="G935" s="3"/>
    </row>
    <row r="936">
      <c r="A936" s="21"/>
      <c r="C936" s="3"/>
      <c r="D936" s="3"/>
      <c r="E936" s="3"/>
      <c r="F936" s="3"/>
      <c r="G936" s="3"/>
    </row>
    <row r="937">
      <c r="A937" s="21"/>
      <c r="C937" s="3"/>
      <c r="D937" s="3"/>
      <c r="E937" s="3"/>
      <c r="F937" s="3"/>
      <c r="G937" s="3"/>
    </row>
    <row r="938">
      <c r="A938" s="21"/>
      <c r="C938" s="3"/>
      <c r="D938" s="3"/>
      <c r="E938" s="3"/>
      <c r="F938" s="3"/>
      <c r="G938" s="3"/>
    </row>
    <row r="939">
      <c r="A939" s="21"/>
      <c r="C939" s="3"/>
      <c r="D939" s="3"/>
      <c r="E939" s="3"/>
      <c r="F939" s="3"/>
      <c r="G939" s="3"/>
    </row>
    <row r="940">
      <c r="A940" s="21"/>
      <c r="C940" s="3"/>
      <c r="D940" s="3"/>
      <c r="E940" s="3"/>
      <c r="F940" s="3"/>
      <c r="G940" s="3"/>
    </row>
    <row r="941">
      <c r="A941" s="21"/>
      <c r="C941" s="3"/>
      <c r="D941" s="3"/>
      <c r="E941" s="3"/>
      <c r="F941" s="3"/>
      <c r="G941" s="3"/>
    </row>
    <row r="942">
      <c r="A942" s="21"/>
      <c r="C942" s="3"/>
      <c r="D942" s="3"/>
      <c r="E942" s="3"/>
      <c r="F942" s="3"/>
      <c r="G942" s="3"/>
    </row>
    <row r="943">
      <c r="A943" s="21"/>
      <c r="C943" s="3"/>
      <c r="D943" s="3"/>
      <c r="E943" s="3"/>
      <c r="F943" s="3"/>
      <c r="G943" s="3"/>
    </row>
    <row r="944">
      <c r="A944" s="21"/>
      <c r="C944" s="3"/>
      <c r="D944" s="3"/>
      <c r="E944" s="3"/>
      <c r="F944" s="3"/>
      <c r="G944" s="3"/>
    </row>
    <row r="945">
      <c r="A945" s="21"/>
      <c r="C945" s="3"/>
      <c r="D945" s="3"/>
      <c r="E945" s="3"/>
      <c r="F945" s="3"/>
      <c r="G945" s="3"/>
    </row>
    <row r="946">
      <c r="A946" s="21"/>
      <c r="C946" s="3"/>
      <c r="D946" s="3"/>
      <c r="E946" s="3"/>
      <c r="F946" s="3"/>
      <c r="G946" s="3"/>
    </row>
    <row r="947">
      <c r="A947" s="21"/>
      <c r="C947" s="3"/>
      <c r="D947" s="3"/>
      <c r="E947" s="3"/>
      <c r="F947" s="3"/>
      <c r="G947" s="3"/>
    </row>
    <row r="948">
      <c r="A948" s="21"/>
      <c r="C948" s="3"/>
      <c r="D948" s="3"/>
      <c r="E948" s="3"/>
      <c r="F948" s="3"/>
      <c r="G948" s="3"/>
    </row>
    <row r="949">
      <c r="A949" s="21"/>
      <c r="C949" s="3"/>
      <c r="D949" s="3"/>
      <c r="E949" s="3"/>
      <c r="F949" s="3"/>
      <c r="G949" s="3"/>
    </row>
    <row r="950">
      <c r="A950" s="21"/>
      <c r="C950" s="3"/>
      <c r="D950" s="3"/>
      <c r="E950" s="3"/>
      <c r="F950" s="3"/>
      <c r="G950" s="3"/>
    </row>
    <row r="951">
      <c r="A951" s="21"/>
      <c r="C951" s="3"/>
      <c r="D951" s="3"/>
      <c r="E951" s="3"/>
      <c r="F951" s="3"/>
      <c r="G951" s="3"/>
    </row>
    <row r="952">
      <c r="A952" s="21"/>
      <c r="C952" s="3"/>
      <c r="D952" s="3"/>
      <c r="E952" s="3"/>
      <c r="F952" s="3"/>
      <c r="G952" s="3"/>
    </row>
    <row r="953">
      <c r="A953" s="21"/>
      <c r="C953" s="3"/>
      <c r="D953" s="3"/>
      <c r="E953" s="3"/>
      <c r="F953" s="3"/>
      <c r="G953" s="3"/>
    </row>
    <row r="954">
      <c r="A954" s="21"/>
      <c r="C954" s="3"/>
      <c r="D954" s="3"/>
      <c r="E954" s="3"/>
      <c r="F954" s="3"/>
      <c r="G954" s="3"/>
    </row>
    <row r="955">
      <c r="A955" s="21"/>
      <c r="C955" s="3"/>
      <c r="D955" s="3"/>
      <c r="E955" s="3"/>
      <c r="F955" s="3"/>
      <c r="G955" s="3"/>
    </row>
    <row r="956">
      <c r="A956" s="21"/>
      <c r="C956" s="3"/>
      <c r="D956" s="3"/>
      <c r="E956" s="3"/>
      <c r="F956" s="3"/>
      <c r="G956" s="3"/>
    </row>
    <row r="957">
      <c r="A957" s="21"/>
      <c r="C957" s="3"/>
      <c r="D957" s="3"/>
      <c r="E957" s="3"/>
      <c r="F957" s="3"/>
      <c r="G957" s="3"/>
    </row>
    <row r="958">
      <c r="A958" s="21"/>
      <c r="C958" s="3"/>
      <c r="D958" s="3"/>
      <c r="E958" s="3"/>
      <c r="F958" s="3"/>
      <c r="G958" s="3"/>
    </row>
    <row r="959">
      <c r="A959" s="21"/>
      <c r="C959" s="3"/>
      <c r="D959" s="3"/>
      <c r="E959" s="3"/>
      <c r="F959" s="3"/>
      <c r="G959" s="3"/>
    </row>
    <row r="960">
      <c r="A960" s="21"/>
      <c r="C960" s="3"/>
      <c r="D960" s="3"/>
      <c r="E960" s="3"/>
      <c r="F960" s="3"/>
      <c r="G960" s="3"/>
    </row>
    <row r="961">
      <c r="A961" s="21"/>
      <c r="C961" s="3"/>
      <c r="D961" s="3"/>
      <c r="E961" s="3"/>
      <c r="F961" s="3"/>
      <c r="G961" s="3"/>
    </row>
    <row r="962">
      <c r="A962" s="21"/>
      <c r="C962" s="3"/>
      <c r="D962" s="3"/>
      <c r="E962" s="3"/>
      <c r="F962" s="3"/>
      <c r="G962" s="3"/>
    </row>
    <row r="963">
      <c r="A963" s="21"/>
      <c r="C963" s="3"/>
      <c r="D963" s="3"/>
      <c r="E963" s="3"/>
      <c r="F963" s="3"/>
      <c r="G963" s="3"/>
    </row>
    <row r="964">
      <c r="A964" s="21"/>
      <c r="C964" s="3"/>
      <c r="D964" s="3"/>
      <c r="E964" s="3"/>
      <c r="F964" s="3"/>
      <c r="G964" s="3"/>
    </row>
    <row r="965">
      <c r="A965" s="21"/>
      <c r="C965" s="3"/>
      <c r="D965" s="3"/>
      <c r="E965" s="3"/>
      <c r="F965" s="3"/>
      <c r="G965" s="3"/>
    </row>
    <row r="966">
      <c r="A966" s="21"/>
      <c r="C966" s="3"/>
      <c r="D966" s="3"/>
      <c r="E966" s="3"/>
      <c r="F966" s="3"/>
      <c r="G966" s="3"/>
    </row>
    <row r="967">
      <c r="A967" s="21"/>
      <c r="C967" s="3"/>
      <c r="D967" s="3"/>
      <c r="E967" s="3"/>
      <c r="F967" s="3"/>
      <c r="G967" s="3"/>
    </row>
    <row r="968">
      <c r="A968" s="21"/>
      <c r="C968" s="3"/>
      <c r="D968" s="3"/>
      <c r="E968" s="3"/>
      <c r="F968" s="3"/>
      <c r="G968" s="3"/>
    </row>
    <row r="969">
      <c r="A969" s="21"/>
      <c r="C969" s="3"/>
      <c r="D969" s="3"/>
      <c r="E969" s="3"/>
      <c r="F969" s="3"/>
      <c r="G969" s="3"/>
    </row>
    <row r="970">
      <c r="A970" s="21"/>
      <c r="C970" s="3"/>
      <c r="D970" s="3"/>
      <c r="E970" s="3"/>
      <c r="F970" s="3"/>
      <c r="G970" s="3"/>
    </row>
    <row r="971">
      <c r="A971" s="21"/>
      <c r="C971" s="3"/>
      <c r="D971" s="3"/>
      <c r="E971" s="3"/>
      <c r="F971" s="3"/>
      <c r="G971" s="3"/>
    </row>
    <row r="972">
      <c r="A972" s="21"/>
      <c r="C972" s="3"/>
      <c r="D972" s="3"/>
      <c r="E972" s="3"/>
      <c r="F972" s="3"/>
      <c r="G972" s="3"/>
    </row>
    <row r="973">
      <c r="A973" s="21"/>
      <c r="C973" s="3"/>
      <c r="D973" s="3"/>
      <c r="E973" s="3"/>
      <c r="F973" s="3"/>
      <c r="G973" s="3"/>
    </row>
    <row r="974">
      <c r="A974" s="21"/>
      <c r="C974" s="3"/>
      <c r="D974" s="3"/>
      <c r="E974" s="3"/>
      <c r="F974" s="3"/>
      <c r="G974" s="3"/>
    </row>
    <row r="975">
      <c r="A975" s="21"/>
      <c r="C975" s="3"/>
      <c r="D975" s="3"/>
      <c r="E975" s="3"/>
      <c r="F975" s="3"/>
      <c r="G975" s="3"/>
    </row>
    <row r="976">
      <c r="A976" s="21"/>
      <c r="C976" s="3"/>
      <c r="D976" s="3"/>
      <c r="E976" s="3"/>
      <c r="F976" s="3"/>
      <c r="G976" s="3"/>
    </row>
    <row r="977">
      <c r="A977" s="21"/>
      <c r="C977" s="3"/>
      <c r="D977" s="3"/>
      <c r="E977" s="3"/>
      <c r="F977" s="3"/>
      <c r="G977" s="3"/>
    </row>
    <row r="978">
      <c r="A978" s="21"/>
      <c r="C978" s="3"/>
      <c r="D978" s="3"/>
      <c r="E978" s="3"/>
      <c r="F978" s="3"/>
      <c r="G978" s="3"/>
    </row>
    <row r="979">
      <c r="A979" s="21"/>
      <c r="C979" s="3"/>
      <c r="D979" s="3"/>
      <c r="E979" s="3"/>
      <c r="F979" s="3"/>
      <c r="G979" s="3"/>
    </row>
    <row r="980">
      <c r="A980" s="21"/>
      <c r="C980" s="3"/>
      <c r="D980" s="3"/>
      <c r="E980" s="3"/>
      <c r="F980" s="3"/>
      <c r="G980" s="3"/>
    </row>
    <row r="981">
      <c r="A981" s="21"/>
      <c r="C981" s="3"/>
      <c r="D981" s="3"/>
      <c r="E981" s="3"/>
      <c r="F981" s="3"/>
      <c r="G981" s="3"/>
    </row>
    <row r="982">
      <c r="A982" s="21"/>
      <c r="C982" s="3"/>
      <c r="D982" s="3"/>
      <c r="E982" s="3"/>
      <c r="F982" s="3"/>
      <c r="G982" s="3"/>
    </row>
    <row r="983">
      <c r="A983" s="21"/>
      <c r="C983" s="3"/>
      <c r="D983" s="3"/>
      <c r="E983" s="3"/>
      <c r="F983" s="3"/>
      <c r="G983" s="3"/>
    </row>
    <row r="984">
      <c r="A984" s="21"/>
      <c r="C984" s="3"/>
      <c r="D984" s="3"/>
      <c r="E984" s="3"/>
      <c r="F984" s="3"/>
      <c r="G984" s="3"/>
    </row>
    <row r="985">
      <c r="A985" s="21"/>
      <c r="C985" s="3"/>
      <c r="D985" s="3"/>
      <c r="E985" s="3"/>
      <c r="F985" s="3"/>
      <c r="G985" s="3"/>
    </row>
    <row r="986">
      <c r="A986" s="21"/>
      <c r="C986" s="3"/>
      <c r="D986" s="3"/>
      <c r="E986" s="3"/>
      <c r="F986" s="3"/>
      <c r="G986" s="3"/>
    </row>
    <row r="987">
      <c r="A987" s="21"/>
      <c r="C987" s="3"/>
      <c r="D987" s="3"/>
      <c r="E987" s="3"/>
      <c r="F987" s="3"/>
      <c r="G987" s="3"/>
    </row>
    <row r="988">
      <c r="A988" s="21"/>
      <c r="C988" s="3"/>
      <c r="D988" s="3"/>
      <c r="E988" s="3"/>
      <c r="F988" s="3"/>
      <c r="G988" s="3"/>
    </row>
    <row r="989">
      <c r="A989" s="21"/>
      <c r="C989" s="3"/>
      <c r="D989" s="3"/>
      <c r="E989" s="3"/>
      <c r="F989" s="3"/>
      <c r="G989" s="3"/>
    </row>
    <row r="990">
      <c r="A990" s="21"/>
      <c r="C990" s="3"/>
      <c r="D990" s="3"/>
      <c r="E990" s="3"/>
      <c r="F990" s="3"/>
      <c r="G990" s="3"/>
    </row>
    <row r="991">
      <c r="A991" s="21"/>
      <c r="C991" s="3"/>
      <c r="D991" s="3"/>
      <c r="E991" s="3"/>
      <c r="F991" s="3"/>
      <c r="G991" s="3"/>
    </row>
    <row r="992">
      <c r="A992" s="21"/>
      <c r="C992" s="3"/>
      <c r="D992" s="3"/>
      <c r="E992" s="3"/>
      <c r="F992" s="3"/>
      <c r="G992" s="3"/>
    </row>
    <row r="993">
      <c r="A993" s="21"/>
      <c r="C993" s="3"/>
      <c r="D993" s="3"/>
      <c r="E993" s="3"/>
      <c r="F993" s="3"/>
      <c r="G993" s="3"/>
    </row>
    <row r="994">
      <c r="A994" s="21"/>
      <c r="C994" s="3"/>
      <c r="D994" s="3"/>
      <c r="E994" s="3"/>
      <c r="F994" s="3"/>
      <c r="G994" s="3"/>
    </row>
    <row r="995">
      <c r="A995" s="21"/>
      <c r="C995" s="3"/>
      <c r="D995" s="3"/>
      <c r="E995" s="3"/>
      <c r="F995" s="3"/>
      <c r="G995" s="3"/>
    </row>
    <row r="996">
      <c r="A996" s="21"/>
      <c r="C996" s="3"/>
      <c r="D996" s="3"/>
      <c r="E996" s="3"/>
      <c r="F996" s="3"/>
      <c r="G996" s="3"/>
    </row>
    <row r="997">
      <c r="A997" s="21"/>
      <c r="C997" s="3"/>
      <c r="D997" s="3"/>
      <c r="E997" s="3"/>
      <c r="F997" s="3"/>
      <c r="G997" s="3"/>
    </row>
    <row r="998">
      <c r="A998" s="21"/>
      <c r="C998" s="3"/>
      <c r="D998" s="3"/>
      <c r="E998" s="3"/>
      <c r="F998" s="3"/>
      <c r="G998" s="3"/>
    </row>
  </sheetData>
  <mergeCells count="20">
    <mergeCell ref="A3:A8"/>
    <mergeCell ref="A9:A14"/>
    <mergeCell ref="A15:A20"/>
    <mergeCell ref="A21:A26"/>
    <mergeCell ref="A27:A32"/>
    <mergeCell ref="A33:A38"/>
    <mergeCell ref="A39:A44"/>
    <mergeCell ref="A87:A92"/>
    <mergeCell ref="A93:A98"/>
    <mergeCell ref="A99:A104"/>
    <mergeCell ref="A105:A110"/>
    <mergeCell ref="A111:A116"/>
    <mergeCell ref="A117:A122"/>
    <mergeCell ref="A45:A50"/>
    <mergeCell ref="A51:A56"/>
    <mergeCell ref="A57:A62"/>
    <mergeCell ref="A63:A68"/>
    <mergeCell ref="A69:A74"/>
    <mergeCell ref="A75:A80"/>
    <mergeCell ref="A81:A86"/>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13"/>
    <col customWidth="1" min="3" max="3" width="93.0"/>
    <col customWidth="1" min="4" max="4" width="36.5"/>
    <col customWidth="1" min="5" max="5" width="56.63"/>
    <col customWidth="1" min="6" max="6" width="41.25"/>
    <col customWidth="1" min="7" max="7" width="31.38"/>
  </cols>
  <sheetData>
    <row r="1">
      <c r="A1" s="15" t="s">
        <v>0</v>
      </c>
    </row>
    <row r="2" ht="17.25" customHeight="1">
      <c r="A2" s="15" t="s">
        <v>1</v>
      </c>
    </row>
    <row r="3">
      <c r="A3" s="22" t="s">
        <v>2</v>
      </c>
      <c r="B3" s="23" t="s">
        <v>3</v>
      </c>
      <c r="C3" s="23" t="s">
        <v>4</v>
      </c>
      <c r="D3" s="23" t="s">
        <v>5</v>
      </c>
      <c r="E3" s="23" t="s">
        <v>6</v>
      </c>
      <c r="F3" s="23" t="s">
        <v>7</v>
      </c>
      <c r="G3" s="23" t="s">
        <v>8</v>
      </c>
      <c r="H3" s="24"/>
      <c r="I3" s="24"/>
      <c r="J3" s="24"/>
      <c r="K3" s="24"/>
      <c r="L3" s="24"/>
      <c r="M3" s="24"/>
      <c r="N3" s="24"/>
      <c r="O3" s="24"/>
      <c r="P3" s="24"/>
      <c r="Q3" s="24"/>
      <c r="R3" s="24"/>
      <c r="S3" s="24"/>
      <c r="T3" s="24"/>
      <c r="U3" s="24"/>
      <c r="V3" s="24"/>
      <c r="W3" s="24"/>
      <c r="X3" s="24"/>
      <c r="Y3" s="24"/>
      <c r="Z3" s="24"/>
      <c r="AA3" s="24"/>
    </row>
    <row r="4">
      <c r="A4" s="22"/>
      <c r="B4" s="23" t="s">
        <v>9</v>
      </c>
      <c r="C4" s="25" t="s">
        <v>10</v>
      </c>
      <c r="D4" s="23" t="s">
        <v>11</v>
      </c>
      <c r="E4" s="23" t="s">
        <v>12</v>
      </c>
      <c r="F4" s="23" t="s">
        <v>13</v>
      </c>
      <c r="G4" s="23" t="s">
        <v>14</v>
      </c>
      <c r="H4" s="24"/>
      <c r="I4" s="24"/>
      <c r="J4" s="24"/>
      <c r="K4" s="24"/>
      <c r="L4" s="24"/>
      <c r="M4" s="24"/>
      <c r="N4" s="24"/>
      <c r="O4" s="24"/>
      <c r="P4" s="24"/>
      <c r="Q4" s="24"/>
      <c r="R4" s="24"/>
      <c r="S4" s="24"/>
      <c r="T4" s="24"/>
      <c r="U4" s="24"/>
      <c r="V4" s="24"/>
      <c r="W4" s="24"/>
      <c r="X4" s="24"/>
      <c r="Y4" s="24"/>
      <c r="Z4" s="24"/>
      <c r="AA4" s="24"/>
    </row>
    <row r="5">
      <c r="A5" s="22"/>
      <c r="B5" s="23" t="s">
        <v>15</v>
      </c>
      <c r="C5" s="25" t="s">
        <v>16</v>
      </c>
      <c r="D5" s="23" t="s">
        <v>17</v>
      </c>
      <c r="E5" s="23" t="s">
        <v>18</v>
      </c>
      <c r="F5" s="23" t="s">
        <v>19</v>
      </c>
      <c r="G5" s="23" t="s">
        <v>20</v>
      </c>
      <c r="H5" s="24"/>
      <c r="I5" s="24"/>
      <c r="J5" s="24"/>
      <c r="K5" s="24"/>
      <c r="L5" s="24"/>
      <c r="M5" s="24"/>
      <c r="N5" s="24"/>
      <c r="O5" s="24"/>
      <c r="P5" s="24"/>
      <c r="Q5" s="24"/>
      <c r="R5" s="24"/>
      <c r="S5" s="24"/>
      <c r="T5" s="24"/>
      <c r="U5" s="24"/>
      <c r="V5" s="24"/>
      <c r="W5" s="24"/>
      <c r="X5" s="24"/>
      <c r="Y5" s="24"/>
      <c r="Z5" s="24"/>
      <c r="AA5" s="24"/>
    </row>
    <row r="6">
      <c r="A6" s="22"/>
      <c r="B6" s="23" t="s">
        <v>21</v>
      </c>
      <c r="C6" s="23" t="s">
        <v>241</v>
      </c>
      <c r="D6" s="23" t="s">
        <v>23</v>
      </c>
      <c r="E6" s="23" t="s">
        <v>242</v>
      </c>
      <c r="F6" s="23" t="s">
        <v>23</v>
      </c>
      <c r="G6" s="23" t="s">
        <v>25</v>
      </c>
      <c r="H6" s="24"/>
      <c r="I6" s="24"/>
      <c r="J6" s="24"/>
      <c r="K6" s="24"/>
      <c r="L6" s="24"/>
      <c r="M6" s="24"/>
      <c r="N6" s="24"/>
      <c r="O6" s="24"/>
      <c r="P6" s="24"/>
      <c r="Q6" s="24"/>
      <c r="R6" s="24"/>
      <c r="S6" s="24"/>
      <c r="T6" s="24"/>
      <c r="U6" s="24"/>
      <c r="V6" s="24"/>
      <c r="W6" s="24"/>
      <c r="X6" s="24"/>
      <c r="Y6" s="24"/>
      <c r="Z6" s="24"/>
      <c r="AA6" s="24"/>
    </row>
    <row r="7">
      <c r="A7" s="22"/>
      <c r="B7" s="23" t="s">
        <v>26</v>
      </c>
      <c r="C7" s="23" t="s">
        <v>27</v>
      </c>
      <c r="D7" s="23" t="s">
        <v>23</v>
      </c>
      <c r="E7" s="23" t="s">
        <v>18</v>
      </c>
      <c r="F7" s="23" t="s">
        <v>23</v>
      </c>
      <c r="G7" s="24"/>
      <c r="H7" s="24"/>
      <c r="I7" s="24"/>
      <c r="J7" s="24"/>
      <c r="K7" s="24"/>
      <c r="L7" s="24"/>
      <c r="M7" s="24"/>
      <c r="N7" s="24"/>
      <c r="O7" s="24"/>
      <c r="P7" s="24"/>
      <c r="Q7" s="24"/>
      <c r="R7" s="24"/>
      <c r="S7" s="24"/>
      <c r="T7" s="24"/>
      <c r="U7" s="24"/>
      <c r="V7" s="24"/>
      <c r="W7" s="24"/>
      <c r="X7" s="24"/>
      <c r="Y7" s="24"/>
      <c r="Z7" s="24"/>
      <c r="AA7" s="24"/>
    </row>
    <row r="8">
      <c r="A8" s="22"/>
      <c r="B8" s="23" t="s">
        <v>28</v>
      </c>
      <c r="C8" s="23" t="s">
        <v>29</v>
      </c>
      <c r="D8" s="23" t="s">
        <v>23</v>
      </c>
      <c r="E8" s="23" t="s">
        <v>23</v>
      </c>
      <c r="F8" s="23" t="s">
        <v>23</v>
      </c>
      <c r="G8" s="24"/>
      <c r="H8" s="24"/>
      <c r="I8" s="24"/>
      <c r="J8" s="24"/>
      <c r="K8" s="24"/>
      <c r="L8" s="24"/>
      <c r="M8" s="24"/>
      <c r="N8" s="24"/>
      <c r="O8" s="24"/>
      <c r="P8" s="24"/>
      <c r="Q8" s="24"/>
      <c r="R8" s="24"/>
      <c r="S8" s="24"/>
      <c r="T8" s="24"/>
      <c r="U8" s="24"/>
      <c r="V8" s="24"/>
      <c r="W8" s="24"/>
      <c r="X8" s="24"/>
      <c r="Y8" s="24"/>
      <c r="Z8" s="24"/>
      <c r="AA8" s="24"/>
    </row>
    <row r="9">
      <c r="A9" s="26" t="s">
        <v>63</v>
      </c>
      <c r="B9" s="15" t="s">
        <v>3</v>
      </c>
      <c r="C9" s="15" t="s">
        <v>4</v>
      </c>
      <c r="D9" s="15" t="s">
        <v>5</v>
      </c>
      <c r="E9" s="15" t="s">
        <v>6</v>
      </c>
      <c r="F9" s="15" t="s">
        <v>7</v>
      </c>
      <c r="G9" s="15" t="s">
        <v>8</v>
      </c>
    </row>
    <row r="10">
      <c r="A10" s="26"/>
      <c r="B10" s="15" t="s">
        <v>9</v>
      </c>
      <c r="C10" s="15" t="s">
        <v>243</v>
      </c>
      <c r="D10" s="15" t="s">
        <v>244</v>
      </c>
      <c r="E10" s="15" t="s">
        <v>245</v>
      </c>
      <c r="F10" s="15" t="s">
        <v>246</v>
      </c>
      <c r="G10" s="15" t="s">
        <v>247</v>
      </c>
    </row>
    <row r="11">
      <c r="A11" s="26"/>
      <c r="B11" s="15" t="s">
        <v>15</v>
      </c>
      <c r="C11" s="15" t="s">
        <v>248</v>
      </c>
      <c r="D11" s="15" t="s">
        <v>249</v>
      </c>
      <c r="E11" s="15" t="s">
        <v>250</v>
      </c>
      <c r="F11" s="15" t="s">
        <v>251</v>
      </c>
      <c r="G11" s="15" t="s">
        <v>252</v>
      </c>
    </row>
    <row r="12">
      <c r="A12" s="26"/>
      <c r="B12" s="15" t="s">
        <v>21</v>
      </c>
      <c r="C12" s="14" t="s">
        <v>22</v>
      </c>
      <c r="D12" s="15" t="s">
        <v>23</v>
      </c>
      <c r="E12" s="15" t="s">
        <v>242</v>
      </c>
      <c r="F12" s="15" t="s">
        <v>23</v>
      </c>
      <c r="G12" s="15" t="s">
        <v>25</v>
      </c>
    </row>
    <row r="13">
      <c r="A13" s="26"/>
      <c r="B13" s="15" t="s">
        <v>26</v>
      </c>
      <c r="C13" s="15" t="s">
        <v>253</v>
      </c>
      <c r="D13" s="15" t="s">
        <v>23</v>
      </c>
      <c r="E13" s="15" t="s">
        <v>254</v>
      </c>
      <c r="F13" s="15" t="s">
        <v>23</v>
      </c>
      <c r="G13" s="15" t="s">
        <v>255</v>
      </c>
    </row>
    <row r="14">
      <c r="A14" s="26"/>
      <c r="B14" s="15" t="s">
        <v>28</v>
      </c>
      <c r="C14" s="15" t="s">
        <v>256</v>
      </c>
      <c r="D14" s="15" t="s">
        <v>23</v>
      </c>
      <c r="E14" s="15" t="s">
        <v>257</v>
      </c>
      <c r="F14" s="15" t="s">
        <v>23</v>
      </c>
      <c r="G14" s="15" t="s">
        <v>23</v>
      </c>
    </row>
    <row r="15">
      <c r="A15" s="27" t="s">
        <v>87</v>
      </c>
      <c r="B15" s="23" t="s">
        <v>3</v>
      </c>
      <c r="C15" s="23" t="s">
        <v>4</v>
      </c>
      <c r="D15" s="23" t="s">
        <v>5</v>
      </c>
      <c r="E15" s="23" t="s">
        <v>6</v>
      </c>
      <c r="F15" s="23" t="s">
        <v>7</v>
      </c>
      <c r="G15" s="23" t="s">
        <v>8</v>
      </c>
    </row>
    <row r="16">
      <c r="A16" s="27"/>
      <c r="B16" s="23" t="s">
        <v>9</v>
      </c>
      <c r="C16" s="23" t="s">
        <v>258</v>
      </c>
      <c r="D16" s="23" t="s">
        <v>259</v>
      </c>
      <c r="E16" s="23" t="s">
        <v>260</v>
      </c>
      <c r="F16" s="23" t="s">
        <v>261</v>
      </c>
      <c r="G16" s="23" t="s">
        <v>262</v>
      </c>
      <c r="H16" s="24"/>
      <c r="I16" s="24"/>
      <c r="J16" s="24"/>
      <c r="K16" s="24"/>
      <c r="L16" s="24"/>
      <c r="M16" s="24"/>
      <c r="N16" s="24"/>
      <c r="O16" s="24"/>
      <c r="P16" s="24"/>
      <c r="Q16" s="24"/>
      <c r="R16" s="24"/>
      <c r="S16" s="24"/>
      <c r="T16" s="24"/>
      <c r="U16" s="24"/>
      <c r="V16" s="24"/>
      <c r="W16" s="24"/>
      <c r="X16" s="24"/>
      <c r="Y16" s="24"/>
      <c r="Z16" s="24"/>
      <c r="AA16" s="24"/>
    </row>
    <row r="17">
      <c r="A17" s="27"/>
      <c r="B17" s="23" t="s">
        <v>15</v>
      </c>
      <c r="C17" s="23" t="s">
        <v>263</v>
      </c>
      <c r="D17" s="23" t="s">
        <v>264</v>
      </c>
      <c r="E17" s="23" t="s">
        <v>18</v>
      </c>
      <c r="F17" s="23" t="s">
        <v>265</v>
      </c>
      <c r="G17" s="23" t="s">
        <v>262</v>
      </c>
      <c r="H17" s="24"/>
      <c r="I17" s="24"/>
      <c r="J17" s="24"/>
      <c r="K17" s="24"/>
      <c r="L17" s="24"/>
      <c r="M17" s="24"/>
      <c r="N17" s="24"/>
      <c r="O17" s="24"/>
      <c r="P17" s="24"/>
      <c r="Q17" s="24"/>
      <c r="R17" s="24"/>
      <c r="S17" s="24"/>
      <c r="T17" s="24"/>
      <c r="U17" s="24"/>
      <c r="V17" s="24"/>
      <c r="W17" s="24"/>
      <c r="X17" s="24"/>
      <c r="Y17" s="24"/>
      <c r="Z17" s="24"/>
      <c r="AA17" s="24"/>
    </row>
    <row r="18">
      <c r="A18" s="27"/>
      <c r="B18" s="23" t="s">
        <v>21</v>
      </c>
      <c r="C18" s="23" t="s">
        <v>241</v>
      </c>
      <c r="D18" s="23" t="s">
        <v>23</v>
      </c>
      <c r="E18" s="23" t="s">
        <v>242</v>
      </c>
      <c r="F18" s="23" t="s">
        <v>23</v>
      </c>
      <c r="G18" s="23" t="s">
        <v>20</v>
      </c>
      <c r="H18" s="24"/>
      <c r="I18" s="24"/>
      <c r="J18" s="24"/>
      <c r="K18" s="24"/>
      <c r="L18" s="24"/>
      <c r="M18" s="24"/>
      <c r="N18" s="24"/>
      <c r="O18" s="24"/>
      <c r="P18" s="24"/>
      <c r="Q18" s="24"/>
      <c r="R18" s="24"/>
      <c r="S18" s="24"/>
      <c r="T18" s="24"/>
      <c r="U18" s="24"/>
      <c r="V18" s="24"/>
      <c r="W18" s="24"/>
      <c r="X18" s="24"/>
      <c r="Y18" s="24"/>
      <c r="Z18" s="24"/>
      <c r="AA18" s="24"/>
    </row>
    <row r="19">
      <c r="A19" s="27"/>
      <c r="B19" s="23" t="s">
        <v>26</v>
      </c>
      <c r="C19" s="23" t="s">
        <v>266</v>
      </c>
      <c r="D19" s="23" t="s">
        <v>23</v>
      </c>
      <c r="E19" s="23" t="s">
        <v>18</v>
      </c>
      <c r="F19" s="23" t="s">
        <v>23</v>
      </c>
      <c r="G19" s="23" t="s">
        <v>267</v>
      </c>
      <c r="H19" s="24"/>
      <c r="I19" s="24"/>
      <c r="J19" s="24"/>
      <c r="K19" s="24"/>
      <c r="L19" s="24"/>
      <c r="M19" s="24"/>
      <c r="N19" s="24"/>
      <c r="O19" s="24"/>
      <c r="P19" s="24"/>
      <c r="Q19" s="24"/>
      <c r="R19" s="24"/>
      <c r="S19" s="24"/>
      <c r="T19" s="24"/>
      <c r="U19" s="24"/>
      <c r="V19" s="24"/>
      <c r="W19" s="24"/>
      <c r="X19" s="24"/>
      <c r="Y19" s="24"/>
      <c r="Z19" s="24"/>
      <c r="AA19" s="24"/>
    </row>
    <row r="20">
      <c r="A20" s="27"/>
      <c r="B20" s="23" t="s">
        <v>28</v>
      </c>
      <c r="C20" s="23" t="s">
        <v>268</v>
      </c>
      <c r="D20" s="23" t="s">
        <v>23</v>
      </c>
      <c r="E20" s="23" t="s">
        <v>23</v>
      </c>
      <c r="F20" s="23" t="s">
        <v>23</v>
      </c>
      <c r="G20" s="23" t="s">
        <v>23</v>
      </c>
      <c r="H20" s="24"/>
      <c r="I20" s="24"/>
      <c r="J20" s="24"/>
      <c r="K20" s="24"/>
      <c r="L20" s="24"/>
      <c r="M20" s="24"/>
      <c r="N20" s="24"/>
      <c r="O20" s="24"/>
      <c r="P20" s="24"/>
      <c r="Q20" s="24"/>
      <c r="R20" s="24"/>
      <c r="S20" s="24"/>
      <c r="T20" s="24"/>
      <c r="U20" s="24"/>
      <c r="V20" s="24"/>
      <c r="W20" s="24"/>
      <c r="X20" s="24"/>
      <c r="Y20" s="24"/>
      <c r="Z20" s="24"/>
      <c r="AA20" s="24"/>
    </row>
    <row r="21">
      <c r="A21" s="14" t="s">
        <v>132</v>
      </c>
      <c r="B21" s="15" t="s">
        <v>3</v>
      </c>
      <c r="C21" s="15" t="s">
        <v>4</v>
      </c>
      <c r="D21" s="15" t="s">
        <v>5</v>
      </c>
      <c r="E21" s="15" t="s">
        <v>6</v>
      </c>
      <c r="F21" s="15" t="s">
        <v>7</v>
      </c>
      <c r="G21" s="15" t="s">
        <v>8</v>
      </c>
    </row>
    <row r="22">
      <c r="B22" s="15" t="s">
        <v>9</v>
      </c>
      <c r="C22" s="15" t="s">
        <v>269</v>
      </c>
      <c r="D22" s="15" t="s">
        <v>270</v>
      </c>
      <c r="E22" s="15" t="s">
        <v>271</v>
      </c>
      <c r="F22" s="15" t="s">
        <v>272</v>
      </c>
      <c r="G22" s="15" t="s">
        <v>273</v>
      </c>
    </row>
    <row r="23">
      <c r="B23" s="15" t="s">
        <v>15</v>
      </c>
      <c r="C23" s="15" t="s">
        <v>274</v>
      </c>
      <c r="D23" s="15" t="s">
        <v>275</v>
      </c>
      <c r="E23" s="15" t="s">
        <v>276</v>
      </c>
      <c r="F23" s="15" t="s">
        <v>277</v>
      </c>
      <c r="G23" s="15" t="s">
        <v>278</v>
      </c>
    </row>
    <row r="24">
      <c r="B24" s="15" t="s">
        <v>21</v>
      </c>
      <c r="C24" s="14" t="s">
        <v>22</v>
      </c>
      <c r="D24" s="15" t="s">
        <v>23</v>
      </c>
      <c r="E24" s="15" t="s">
        <v>242</v>
      </c>
      <c r="F24" s="15" t="s">
        <v>23</v>
      </c>
      <c r="G24" s="15" t="s">
        <v>25</v>
      </c>
    </row>
    <row r="25">
      <c r="B25" s="15" t="s">
        <v>26</v>
      </c>
      <c r="C25" s="15" t="s">
        <v>274</v>
      </c>
      <c r="D25" s="15" t="s">
        <v>23</v>
      </c>
      <c r="E25" s="15" t="s">
        <v>18</v>
      </c>
      <c r="F25" s="15" t="s">
        <v>23</v>
      </c>
      <c r="G25" s="15" t="s">
        <v>278</v>
      </c>
    </row>
    <row r="26">
      <c r="B26" s="15" t="s">
        <v>28</v>
      </c>
      <c r="C26" s="15" t="s">
        <v>23</v>
      </c>
      <c r="D26" s="15" t="s">
        <v>23</v>
      </c>
      <c r="E26" s="15" t="s">
        <v>23</v>
      </c>
      <c r="F26" s="15" t="s">
        <v>23</v>
      </c>
      <c r="G26" s="15" t="s">
        <v>23</v>
      </c>
    </row>
    <row r="27">
      <c r="A27" s="27" t="s">
        <v>98</v>
      </c>
      <c r="B27" s="23" t="s">
        <v>3</v>
      </c>
      <c r="C27" s="23" t="s">
        <v>4</v>
      </c>
      <c r="D27" s="23" t="s">
        <v>5</v>
      </c>
      <c r="E27" s="23" t="s">
        <v>6</v>
      </c>
      <c r="F27" s="23" t="s">
        <v>7</v>
      </c>
      <c r="G27" s="23" t="s">
        <v>8</v>
      </c>
      <c r="H27" s="24"/>
      <c r="I27" s="24"/>
      <c r="J27" s="24"/>
      <c r="K27" s="24"/>
      <c r="L27" s="24"/>
      <c r="M27" s="24"/>
      <c r="N27" s="24"/>
      <c r="O27" s="24"/>
      <c r="P27" s="24"/>
      <c r="Q27" s="24"/>
      <c r="R27" s="24"/>
      <c r="S27" s="24"/>
      <c r="T27" s="24"/>
      <c r="U27" s="24"/>
      <c r="V27" s="24"/>
      <c r="W27" s="24"/>
      <c r="X27" s="24"/>
      <c r="Y27" s="24"/>
      <c r="Z27" s="24"/>
      <c r="AA27" s="24"/>
    </row>
    <row r="28" ht="287.25" customHeight="1">
      <c r="B28" s="23" t="s">
        <v>9</v>
      </c>
      <c r="C28" s="23" t="s">
        <v>279</v>
      </c>
      <c r="D28" s="23" t="s">
        <v>280</v>
      </c>
      <c r="E28" s="23" t="s">
        <v>281</v>
      </c>
      <c r="F28" s="23" t="s">
        <v>282</v>
      </c>
      <c r="G28" s="23" t="s">
        <v>283</v>
      </c>
      <c r="H28" s="24"/>
      <c r="I28" s="24"/>
      <c r="J28" s="24"/>
      <c r="K28" s="24"/>
      <c r="L28" s="24"/>
      <c r="M28" s="24"/>
      <c r="N28" s="24"/>
      <c r="O28" s="24"/>
      <c r="P28" s="24"/>
      <c r="Q28" s="24"/>
      <c r="R28" s="24"/>
      <c r="S28" s="24"/>
      <c r="T28" s="24"/>
      <c r="U28" s="24"/>
      <c r="V28" s="24"/>
      <c r="W28" s="24"/>
      <c r="X28" s="24"/>
      <c r="Y28" s="24"/>
      <c r="Z28" s="24"/>
      <c r="AA28" s="24"/>
    </row>
    <row r="29">
      <c r="B29" s="23" t="s">
        <v>15</v>
      </c>
      <c r="C29" s="23" t="s">
        <v>284</v>
      </c>
      <c r="D29" s="23" t="s">
        <v>285</v>
      </c>
      <c r="E29" s="23" t="s">
        <v>276</v>
      </c>
      <c r="F29" s="23" t="s">
        <v>286</v>
      </c>
      <c r="G29" s="23" t="s">
        <v>287</v>
      </c>
      <c r="H29" s="24"/>
      <c r="I29" s="24"/>
      <c r="J29" s="24"/>
      <c r="K29" s="24"/>
      <c r="L29" s="24"/>
      <c r="M29" s="24"/>
      <c r="N29" s="24"/>
      <c r="O29" s="24"/>
      <c r="P29" s="24"/>
      <c r="Q29" s="24"/>
      <c r="R29" s="24"/>
      <c r="S29" s="24"/>
      <c r="T29" s="24"/>
      <c r="U29" s="24"/>
      <c r="V29" s="24"/>
      <c r="W29" s="24"/>
      <c r="X29" s="24"/>
      <c r="Y29" s="24"/>
      <c r="Z29" s="24"/>
      <c r="AA29" s="24"/>
    </row>
    <row r="30">
      <c r="B30" s="23" t="s">
        <v>21</v>
      </c>
      <c r="C30" s="23" t="s">
        <v>22</v>
      </c>
      <c r="D30" s="23" t="s">
        <v>23</v>
      </c>
      <c r="E30" s="23" t="s">
        <v>242</v>
      </c>
      <c r="F30" s="23" t="s">
        <v>23</v>
      </c>
      <c r="G30" s="24"/>
      <c r="H30" s="24"/>
      <c r="I30" s="24"/>
      <c r="J30" s="24"/>
      <c r="K30" s="24"/>
      <c r="L30" s="24"/>
      <c r="M30" s="24"/>
      <c r="N30" s="24"/>
      <c r="O30" s="24"/>
      <c r="P30" s="24"/>
      <c r="Q30" s="24"/>
      <c r="R30" s="24"/>
      <c r="S30" s="24"/>
      <c r="T30" s="24"/>
      <c r="U30" s="24"/>
      <c r="V30" s="24"/>
      <c r="W30" s="24"/>
      <c r="X30" s="24"/>
      <c r="Y30" s="24"/>
      <c r="Z30" s="24"/>
      <c r="AA30" s="24"/>
    </row>
    <row r="31">
      <c r="B31" s="23" t="s">
        <v>26</v>
      </c>
      <c r="C31" s="23" t="s">
        <v>288</v>
      </c>
      <c r="D31" s="23" t="s">
        <v>23</v>
      </c>
      <c r="E31" s="23" t="s">
        <v>18</v>
      </c>
      <c r="F31" s="23" t="s">
        <v>23</v>
      </c>
      <c r="G31" s="24"/>
      <c r="H31" s="24"/>
      <c r="I31" s="24"/>
      <c r="J31" s="24"/>
      <c r="K31" s="24"/>
      <c r="L31" s="24"/>
      <c r="M31" s="24"/>
      <c r="N31" s="24"/>
      <c r="O31" s="24"/>
      <c r="P31" s="24"/>
      <c r="Q31" s="24"/>
      <c r="R31" s="24"/>
      <c r="S31" s="24"/>
      <c r="T31" s="24"/>
      <c r="U31" s="24"/>
      <c r="V31" s="24"/>
      <c r="W31" s="24"/>
      <c r="X31" s="24"/>
      <c r="Y31" s="24"/>
      <c r="Z31" s="24"/>
      <c r="AA31" s="24"/>
    </row>
    <row r="32">
      <c r="B32" s="23" t="s">
        <v>28</v>
      </c>
      <c r="C32" s="23" t="s">
        <v>289</v>
      </c>
      <c r="D32" s="23" t="s">
        <v>23</v>
      </c>
      <c r="E32" s="23" t="s">
        <v>23</v>
      </c>
      <c r="F32" s="23" t="s">
        <v>23</v>
      </c>
      <c r="G32" s="24"/>
      <c r="H32" s="24"/>
      <c r="I32" s="24"/>
      <c r="J32" s="24"/>
      <c r="K32" s="24"/>
      <c r="L32" s="24"/>
      <c r="M32" s="24"/>
      <c r="N32" s="24"/>
      <c r="O32" s="24"/>
      <c r="P32" s="24"/>
      <c r="Q32" s="24"/>
      <c r="R32" s="24"/>
      <c r="S32" s="24"/>
      <c r="T32" s="24"/>
      <c r="U32" s="24"/>
      <c r="V32" s="24"/>
      <c r="W32" s="24"/>
      <c r="X32" s="24"/>
      <c r="Y32" s="24"/>
      <c r="Z32" s="24"/>
      <c r="AA32" s="24"/>
    </row>
    <row r="33">
      <c r="A33" s="14" t="s">
        <v>290</v>
      </c>
      <c r="B33" s="15" t="s">
        <v>3</v>
      </c>
      <c r="C33" s="15" t="s">
        <v>4</v>
      </c>
      <c r="D33" s="15" t="s">
        <v>5</v>
      </c>
      <c r="E33" s="15" t="s">
        <v>6</v>
      </c>
      <c r="F33" s="15" t="s">
        <v>7</v>
      </c>
      <c r="G33" s="15" t="s">
        <v>8</v>
      </c>
    </row>
    <row r="34">
      <c r="B34" s="15" t="s">
        <v>9</v>
      </c>
      <c r="C34" s="15" t="s">
        <v>291</v>
      </c>
      <c r="D34" s="15" t="s">
        <v>292</v>
      </c>
      <c r="E34" s="15" t="s">
        <v>293</v>
      </c>
      <c r="F34" s="15" t="s">
        <v>294</v>
      </c>
      <c r="G34" s="15" t="s">
        <v>295</v>
      </c>
    </row>
    <row r="35">
      <c r="B35" s="15" t="s">
        <v>15</v>
      </c>
      <c r="C35" s="15" t="s">
        <v>296</v>
      </c>
      <c r="D35" s="15" t="s">
        <v>297</v>
      </c>
      <c r="E35" s="15" t="s">
        <v>18</v>
      </c>
      <c r="F35" s="15" t="s">
        <v>298</v>
      </c>
      <c r="G35" s="15" t="s">
        <v>299</v>
      </c>
    </row>
    <row r="36">
      <c r="B36" s="15" t="s">
        <v>21</v>
      </c>
      <c r="C36" s="15" t="s">
        <v>22</v>
      </c>
      <c r="D36" s="15" t="s">
        <v>23</v>
      </c>
      <c r="E36" s="15" t="s">
        <v>242</v>
      </c>
      <c r="F36" s="15" t="s">
        <v>23</v>
      </c>
      <c r="G36" s="15" t="s">
        <v>25</v>
      </c>
    </row>
    <row r="37">
      <c r="B37" s="15" t="s">
        <v>26</v>
      </c>
      <c r="C37" s="15" t="s">
        <v>300</v>
      </c>
      <c r="D37" s="15" t="s">
        <v>23</v>
      </c>
      <c r="E37" s="15" t="s">
        <v>18</v>
      </c>
      <c r="F37" s="15" t="s">
        <v>23</v>
      </c>
      <c r="G37" s="15" t="s">
        <v>301</v>
      </c>
    </row>
    <row r="38">
      <c r="B38" s="15" t="s">
        <v>28</v>
      </c>
      <c r="C38" s="15" t="s">
        <v>23</v>
      </c>
      <c r="D38" s="15" t="s">
        <v>23</v>
      </c>
      <c r="E38" s="15" t="s">
        <v>23</v>
      </c>
      <c r="F38" s="15" t="s">
        <v>23</v>
      </c>
      <c r="G38" s="15" t="s">
        <v>23</v>
      </c>
    </row>
    <row r="39">
      <c r="A39" s="27" t="s">
        <v>158</v>
      </c>
      <c r="B39" s="23" t="s">
        <v>3</v>
      </c>
      <c r="C39" s="23" t="s">
        <v>4</v>
      </c>
      <c r="D39" s="23" t="s">
        <v>5</v>
      </c>
      <c r="E39" s="23" t="s">
        <v>6</v>
      </c>
      <c r="F39" s="23" t="s">
        <v>7</v>
      </c>
      <c r="G39" s="23" t="s">
        <v>8</v>
      </c>
      <c r="H39" s="24"/>
    </row>
    <row r="40">
      <c r="B40" s="23" t="s">
        <v>9</v>
      </c>
      <c r="C40" s="23" t="s">
        <v>302</v>
      </c>
      <c r="D40" s="23" t="s">
        <v>303</v>
      </c>
      <c r="E40" s="23" t="s">
        <v>304</v>
      </c>
      <c r="F40" s="23" t="s">
        <v>305</v>
      </c>
      <c r="G40" s="23" t="s">
        <v>306</v>
      </c>
    </row>
    <row r="41">
      <c r="B41" s="23" t="s">
        <v>15</v>
      </c>
      <c r="C41" s="23" t="s">
        <v>307</v>
      </c>
      <c r="D41" s="23" t="s">
        <v>308</v>
      </c>
      <c r="E41" s="23" t="s">
        <v>18</v>
      </c>
      <c r="F41" s="23" t="s">
        <v>309</v>
      </c>
      <c r="G41" s="23" t="s">
        <v>310</v>
      </c>
    </row>
    <row r="42">
      <c r="B42" s="23" t="s">
        <v>21</v>
      </c>
      <c r="C42" s="23" t="s">
        <v>22</v>
      </c>
      <c r="D42" s="23" t="s">
        <v>23</v>
      </c>
      <c r="E42" s="23" t="s">
        <v>242</v>
      </c>
      <c r="F42" s="23" t="s">
        <v>23</v>
      </c>
      <c r="G42" s="23" t="s">
        <v>287</v>
      </c>
    </row>
    <row r="43">
      <c r="B43" s="23" t="s">
        <v>26</v>
      </c>
      <c r="C43" s="23" t="s">
        <v>311</v>
      </c>
      <c r="D43" s="23" t="s">
        <v>23</v>
      </c>
      <c r="E43" s="23" t="s">
        <v>18</v>
      </c>
      <c r="F43" s="23" t="s">
        <v>23</v>
      </c>
      <c r="G43" s="23" t="s">
        <v>310</v>
      </c>
    </row>
    <row r="44">
      <c r="B44" s="23" t="s">
        <v>28</v>
      </c>
      <c r="C44" s="23" t="s">
        <v>312</v>
      </c>
      <c r="D44" s="23" t="s">
        <v>23</v>
      </c>
      <c r="E44" s="23" t="s">
        <v>23</v>
      </c>
      <c r="F44" s="23" t="s">
        <v>23</v>
      </c>
      <c r="G44" s="23" t="s">
        <v>23</v>
      </c>
    </row>
    <row r="45">
      <c r="A45" s="14" t="s">
        <v>313</v>
      </c>
      <c r="B45" s="15" t="s">
        <v>3</v>
      </c>
      <c r="C45" s="15" t="s">
        <v>4</v>
      </c>
      <c r="D45" s="15" t="s">
        <v>5</v>
      </c>
      <c r="E45" s="15" t="s">
        <v>6</v>
      </c>
      <c r="F45" s="15" t="s">
        <v>7</v>
      </c>
      <c r="G45" s="15" t="s">
        <v>8</v>
      </c>
    </row>
    <row r="46">
      <c r="B46" s="15" t="s">
        <v>9</v>
      </c>
      <c r="C46" s="15" t="s">
        <v>314</v>
      </c>
      <c r="D46" s="15" t="s">
        <v>315</v>
      </c>
      <c r="E46" s="15" t="s">
        <v>316</v>
      </c>
      <c r="F46" s="15" t="s">
        <v>317</v>
      </c>
      <c r="G46" s="15" t="s">
        <v>23</v>
      </c>
    </row>
    <row r="47">
      <c r="B47" s="15" t="s">
        <v>15</v>
      </c>
      <c r="C47" s="15" t="s">
        <v>318</v>
      </c>
      <c r="D47" s="15" t="s">
        <v>319</v>
      </c>
      <c r="E47" s="15" t="s">
        <v>18</v>
      </c>
      <c r="F47" s="15" t="s">
        <v>320</v>
      </c>
      <c r="G47" s="15" t="s">
        <v>321</v>
      </c>
    </row>
    <row r="48">
      <c r="B48" s="15" t="s">
        <v>21</v>
      </c>
      <c r="C48" s="15" t="s">
        <v>22</v>
      </c>
      <c r="D48" s="15" t="s">
        <v>23</v>
      </c>
      <c r="E48" s="15" t="s">
        <v>242</v>
      </c>
      <c r="F48" s="15" t="s">
        <v>23</v>
      </c>
      <c r="G48" s="15" t="s">
        <v>25</v>
      </c>
    </row>
    <row r="49">
      <c r="B49" s="15" t="s">
        <v>26</v>
      </c>
      <c r="C49" s="15" t="s">
        <v>23</v>
      </c>
      <c r="D49" s="15" t="s">
        <v>23</v>
      </c>
      <c r="E49" s="15" t="s">
        <v>18</v>
      </c>
      <c r="F49" s="15" t="s">
        <v>23</v>
      </c>
      <c r="G49" s="15" t="s">
        <v>23</v>
      </c>
    </row>
    <row r="50">
      <c r="B50" s="15" t="s">
        <v>28</v>
      </c>
      <c r="C50" s="15" t="s">
        <v>23</v>
      </c>
      <c r="D50" s="15" t="s">
        <v>23</v>
      </c>
    </row>
    <row r="51">
      <c r="A51" s="27" t="s">
        <v>189</v>
      </c>
      <c r="B51" s="23" t="s">
        <v>3</v>
      </c>
      <c r="C51" s="23" t="s">
        <v>4</v>
      </c>
      <c r="D51" s="23" t="s">
        <v>5</v>
      </c>
      <c r="E51" s="23" t="s">
        <v>6</v>
      </c>
      <c r="F51" s="23" t="s">
        <v>7</v>
      </c>
      <c r="G51" s="23" t="s">
        <v>8</v>
      </c>
    </row>
    <row r="52">
      <c r="B52" s="23" t="s">
        <v>9</v>
      </c>
      <c r="C52" s="23" t="s">
        <v>322</v>
      </c>
      <c r="D52" s="23" t="s">
        <v>323</v>
      </c>
      <c r="E52" s="23" t="s">
        <v>324</v>
      </c>
      <c r="F52" s="23" t="s">
        <v>325</v>
      </c>
      <c r="G52" s="23" t="s">
        <v>326</v>
      </c>
    </row>
    <row r="53">
      <c r="B53" s="23" t="s">
        <v>15</v>
      </c>
      <c r="C53" s="23" t="s">
        <v>327</v>
      </c>
      <c r="D53" s="23" t="s">
        <v>328</v>
      </c>
      <c r="E53" s="23" t="s">
        <v>18</v>
      </c>
      <c r="F53" s="23" t="s">
        <v>329</v>
      </c>
      <c r="G53" s="23" t="s">
        <v>330</v>
      </c>
    </row>
    <row r="54">
      <c r="B54" s="23" t="s">
        <v>21</v>
      </c>
      <c r="C54" s="23" t="s">
        <v>22</v>
      </c>
      <c r="D54" s="23" t="s">
        <v>23</v>
      </c>
      <c r="E54" s="23" t="s">
        <v>242</v>
      </c>
      <c r="F54" s="23" t="s">
        <v>23</v>
      </c>
      <c r="G54" s="23" t="s">
        <v>287</v>
      </c>
    </row>
    <row r="55">
      <c r="B55" s="23" t="s">
        <v>26</v>
      </c>
      <c r="C55" s="23" t="s">
        <v>331</v>
      </c>
      <c r="D55" s="23" t="s">
        <v>23</v>
      </c>
      <c r="E55" s="23" t="s">
        <v>18</v>
      </c>
      <c r="F55" s="23" t="s">
        <v>23</v>
      </c>
      <c r="G55" s="23" t="s">
        <v>330</v>
      </c>
    </row>
    <row r="56">
      <c r="B56" s="23" t="s">
        <v>28</v>
      </c>
      <c r="C56" s="23" t="s">
        <v>23</v>
      </c>
      <c r="D56" s="23" t="s">
        <v>23</v>
      </c>
      <c r="E56" s="23" t="s">
        <v>23</v>
      </c>
      <c r="F56" s="23" t="s">
        <v>23</v>
      </c>
      <c r="G56" s="23" t="s">
        <v>332</v>
      </c>
    </row>
    <row r="57" ht="15.75" customHeight="1">
      <c r="A57" s="28" t="s">
        <v>52</v>
      </c>
      <c r="B57" s="29" t="s">
        <v>3</v>
      </c>
      <c r="C57" s="29" t="s">
        <v>4</v>
      </c>
      <c r="D57" s="29" t="s">
        <v>5</v>
      </c>
      <c r="E57" s="29" t="s">
        <v>6</v>
      </c>
      <c r="F57" s="29" t="s">
        <v>7</v>
      </c>
      <c r="G57" s="29" t="s">
        <v>8</v>
      </c>
      <c r="H57" s="30"/>
      <c r="I57" s="30"/>
      <c r="J57" s="30"/>
      <c r="K57" s="30"/>
      <c r="L57" s="30"/>
      <c r="M57" s="30"/>
      <c r="N57" s="30"/>
      <c r="O57" s="30"/>
      <c r="P57" s="30"/>
      <c r="Q57" s="30"/>
      <c r="R57" s="30"/>
      <c r="S57" s="30"/>
      <c r="T57" s="30"/>
      <c r="U57" s="30"/>
      <c r="V57" s="30"/>
      <c r="W57" s="30"/>
      <c r="X57" s="30"/>
      <c r="Y57" s="30"/>
      <c r="Z57" s="30"/>
      <c r="AA57" s="30"/>
    </row>
    <row r="58" ht="15.75" customHeight="1">
      <c r="B58" s="29" t="s">
        <v>9</v>
      </c>
      <c r="C58" s="29" t="s">
        <v>333</v>
      </c>
      <c r="D58" s="29" t="s">
        <v>334</v>
      </c>
      <c r="E58" s="29" t="s">
        <v>335</v>
      </c>
      <c r="F58" s="29" t="s">
        <v>335</v>
      </c>
      <c r="G58" s="29" t="s">
        <v>336</v>
      </c>
      <c r="H58" s="30"/>
      <c r="I58" s="30"/>
      <c r="J58" s="30"/>
      <c r="K58" s="30"/>
      <c r="L58" s="30"/>
      <c r="M58" s="30"/>
      <c r="N58" s="30"/>
      <c r="O58" s="30"/>
      <c r="P58" s="30"/>
      <c r="Q58" s="30"/>
      <c r="R58" s="30"/>
      <c r="S58" s="30"/>
      <c r="T58" s="30"/>
      <c r="U58" s="30"/>
      <c r="V58" s="30"/>
      <c r="W58" s="30"/>
      <c r="X58" s="30"/>
      <c r="Y58" s="30"/>
      <c r="Z58" s="30"/>
      <c r="AA58" s="30"/>
    </row>
    <row r="59" ht="15.75" customHeight="1">
      <c r="B59" s="29" t="s">
        <v>15</v>
      </c>
      <c r="C59" s="29" t="s">
        <v>296</v>
      </c>
      <c r="D59" s="29" t="s">
        <v>337</v>
      </c>
      <c r="E59" s="29" t="s">
        <v>18</v>
      </c>
      <c r="F59" s="29" t="s">
        <v>338</v>
      </c>
      <c r="G59" s="29" t="s">
        <v>339</v>
      </c>
      <c r="H59" s="30"/>
      <c r="I59" s="30"/>
      <c r="J59" s="30"/>
      <c r="K59" s="30"/>
      <c r="L59" s="30"/>
      <c r="M59" s="30"/>
      <c r="N59" s="30"/>
      <c r="O59" s="30"/>
      <c r="P59" s="30"/>
      <c r="Q59" s="30"/>
      <c r="R59" s="30"/>
      <c r="S59" s="30"/>
      <c r="T59" s="30"/>
      <c r="U59" s="30"/>
      <c r="V59" s="30"/>
      <c r="W59" s="30"/>
      <c r="X59" s="30"/>
      <c r="Y59" s="30"/>
      <c r="Z59" s="30"/>
      <c r="AA59" s="30"/>
    </row>
    <row r="60" ht="15.75" customHeight="1">
      <c r="B60" s="29" t="s">
        <v>21</v>
      </c>
      <c r="C60" s="29" t="s">
        <v>22</v>
      </c>
      <c r="D60" s="29" t="s">
        <v>23</v>
      </c>
      <c r="E60" s="29" t="s">
        <v>242</v>
      </c>
      <c r="F60" s="29" t="s">
        <v>23</v>
      </c>
      <c r="G60" s="29" t="s">
        <v>287</v>
      </c>
      <c r="H60" s="30"/>
      <c r="I60" s="30"/>
      <c r="J60" s="30"/>
      <c r="K60" s="30"/>
      <c r="L60" s="30"/>
      <c r="M60" s="30"/>
      <c r="N60" s="30"/>
      <c r="O60" s="30"/>
      <c r="P60" s="30"/>
      <c r="Q60" s="30"/>
      <c r="R60" s="30"/>
      <c r="S60" s="30"/>
      <c r="T60" s="30"/>
      <c r="U60" s="30"/>
      <c r="V60" s="30"/>
      <c r="W60" s="30"/>
      <c r="X60" s="30"/>
      <c r="Y60" s="30"/>
      <c r="Z60" s="30"/>
      <c r="AA60" s="30"/>
    </row>
    <row r="61" ht="15.75" customHeight="1">
      <c r="B61" s="29" t="s">
        <v>26</v>
      </c>
      <c r="C61" s="29" t="s">
        <v>300</v>
      </c>
      <c r="D61" s="29" t="s">
        <v>23</v>
      </c>
      <c r="E61" s="29" t="s">
        <v>18</v>
      </c>
      <c r="F61" s="29" t="s">
        <v>23</v>
      </c>
      <c r="G61" s="29" t="s">
        <v>340</v>
      </c>
      <c r="H61" s="30"/>
      <c r="I61" s="30"/>
      <c r="J61" s="30"/>
      <c r="K61" s="30"/>
      <c r="L61" s="30"/>
      <c r="M61" s="30"/>
      <c r="N61" s="30"/>
      <c r="O61" s="30"/>
      <c r="P61" s="30"/>
      <c r="Q61" s="30"/>
      <c r="R61" s="30"/>
      <c r="S61" s="30"/>
      <c r="T61" s="30"/>
      <c r="U61" s="30"/>
      <c r="V61" s="30"/>
      <c r="W61" s="30"/>
      <c r="X61" s="30"/>
      <c r="Y61" s="30"/>
      <c r="Z61" s="30"/>
      <c r="AA61" s="30"/>
    </row>
    <row r="62" ht="15.75" customHeight="1">
      <c r="B62" s="29" t="s">
        <v>28</v>
      </c>
      <c r="C62" s="29" t="s">
        <v>23</v>
      </c>
      <c r="D62" s="29" t="s">
        <v>23</v>
      </c>
      <c r="E62" s="29" t="s">
        <v>23</v>
      </c>
      <c r="F62" s="29" t="s">
        <v>23</v>
      </c>
      <c r="G62" s="29" t="s">
        <v>332</v>
      </c>
      <c r="H62" s="30"/>
      <c r="I62" s="30"/>
      <c r="J62" s="30"/>
      <c r="K62" s="30"/>
      <c r="L62" s="30"/>
      <c r="M62" s="30"/>
      <c r="N62" s="30"/>
      <c r="O62" s="30"/>
      <c r="P62" s="30"/>
      <c r="Q62" s="30"/>
      <c r="R62" s="30"/>
      <c r="S62" s="30"/>
      <c r="T62" s="30"/>
      <c r="U62" s="30"/>
      <c r="V62" s="30"/>
      <c r="W62" s="30"/>
      <c r="X62" s="30"/>
      <c r="Y62" s="30"/>
      <c r="Z62" s="30"/>
      <c r="AA62" s="30"/>
    </row>
    <row r="63" ht="15.75" customHeight="1">
      <c r="A63" s="31" t="s">
        <v>30</v>
      </c>
      <c r="B63" s="32" t="s">
        <v>3</v>
      </c>
      <c r="C63" s="32" t="s">
        <v>4</v>
      </c>
      <c r="D63" s="32" t="s">
        <v>5</v>
      </c>
      <c r="E63" s="32" t="s">
        <v>6</v>
      </c>
      <c r="F63" s="32" t="s">
        <v>7</v>
      </c>
      <c r="G63" s="32" t="s">
        <v>8</v>
      </c>
      <c r="H63" s="33"/>
      <c r="I63" s="33"/>
      <c r="J63" s="33"/>
      <c r="K63" s="33"/>
      <c r="L63" s="33"/>
      <c r="M63" s="33"/>
      <c r="N63" s="33"/>
      <c r="O63" s="33"/>
      <c r="P63" s="33"/>
      <c r="Q63" s="33"/>
      <c r="R63" s="33"/>
      <c r="S63" s="33"/>
      <c r="T63" s="33"/>
      <c r="U63" s="33"/>
      <c r="V63" s="33"/>
      <c r="W63" s="33"/>
      <c r="X63" s="33"/>
      <c r="Y63" s="33"/>
      <c r="Z63" s="33"/>
      <c r="AA63" s="33"/>
    </row>
    <row r="64" ht="15.75" customHeight="1">
      <c r="B64" s="32" t="s">
        <v>9</v>
      </c>
      <c r="C64" s="32" t="s">
        <v>341</v>
      </c>
      <c r="D64" s="32" t="s">
        <v>342</v>
      </c>
      <c r="E64" s="32" t="s">
        <v>343</v>
      </c>
      <c r="F64" s="32" t="s">
        <v>344</v>
      </c>
      <c r="G64" s="32" t="s">
        <v>345</v>
      </c>
      <c r="H64" s="33"/>
      <c r="I64" s="33"/>
      <c r="J64" s="33"/>
      <c r="K64" s="33"/>
      <c r="L64" s="33"/>
      <c r="M64" s="33"/>
      <c r="N64" s="33"/>
      <c r="O64" s="33"/>
      <c r="P64" s="33"/>
      <c r="Q64" s="33"/>
      <c r="R64" s="33"/>
      <c r="S64" s="33"/>
      <c r="T64" s="33"/>
      <c r="U64" s="33"/>
      <c r="V64" s="33"/>
      <c r="W64" s="33"/>
      <c r="X64" s="33"/>
      <c r="Y64" s="33"/>
      <c r="Z64" s="33"/>
      <c r="AA64" s="33"/>
    </row>
    <row r="65" ht="15.75" customHeight="1">
      <c r="B65" s="32" t="s">
        <v>15</v>
      </c>
      <c r="C65" s="32" t="s">
        <v>36</v>
      </c>
      <c r="D65" s="32" t="s">
        <v>346</v>
      </c>
      <c r="E65" s="32" t="s">
        <v>38</v>
      </c>
      <c r="F65" s="32" t="s">
        <v>347</v>
      </c>
      <c r="G65" s="32" t="s">
        <v>348</v>
      </c>
      <c r="H65" s="33"/>
      <c r="I65" s="33"/>
      <c r="J65" s="33"/>
      <c r="K65" s="33"/>
      <c r="L65" s="33"/>
      <c r="M65" s="33"/>
      <c r="N65" s="33"/>
      <c r="O65" s="33"/>
      <c r="P65" s="33"/>
      <c r="Q65" s="33"/>
      <c r="R65" s="33"/>
      <c r="S65" s="33"/>
      <c r="T65" s="33"/>
      <c r="U65" s="33"/>
      <c r="V65" s="33"/>
      <c r="W65" s="33"/>
      <c r="X65" s="33"/>
      <c r="Y65" s="33"/>
      <c r="Z65" s="33"/>
      <c r="AA65" s="33"/>
    </row>
    <row r="66" ht="15.75" customHeight="1">
      <c r="B66" s="32" t="s">
        <v>21</v>
      </c>
      <c r="C66" s="32" t="s">
        <v>22</v>
      </c>
      <c r="D66" s="32" t="s">
        <v>23</v>
      </c>
      <c r="E66" s="32" t="s">
        <v>242</v>
      </c>
      <c r="F66" s="32" t="s">
        <v>23</v>
      </c>
      <c r="G66" s="32" t="s">
        <v>287</v>
      </c>
      <c r="H66" s="33"/>
      <c r="I66" s="33"/>
      <c r="J66" s="33"/>
      <c r="K66" s="33"/>
      <c r="L66" s="33"/>
      <c r="M66" s="33"/>
      <c r="N66" s="33"/>
      <c r="O66" s="33"/>
      <c r="P66" s="33"/>
      <c r="Q66" s="33"/>
      <c r="R66" s="33"/>
      <c r="S66" s="33"/>
      <c r="T66" s="33"/>
      <c r="U66" s="33"/>
      <c r="V66" s="33"/>
      <c r="W66" s="33"/>
      <c r="X66" s="33"/>
      <c r="Y66" s="33"/>
      <c r="Z66" s="33"/>
      <c r="AA66" s="33"/>
    </row>
    <row r="67" ht="15.75" customHeight="1">
      <c r="B67" s="32" t="s">
        <v>26</v>
      </c>
      <c r="C67" s="32" t="s">
        <v>36</v>
      </c>
      <c r="D67" s="32" t="s">
        <v>23</v>
      </c>
      <c r="E67" s="32" t="s">
        <v>38</v>
      </c>
      <c r="F67" s="32" t="s">
        <v>23</v>
      </c>
      <c r="G67" s="32" t="s">
        <v>348</v>
      </c>
      <c r="H67" s="33"/>
      <c r="I67" s="33"/>
      <c r="J67" s="33"/>
      <c r="K67" s="33"/>
      <c r="L67" s="33"/>
      <c r="M67" s="33"/>
      <c r="N67" s="33"/>
      <c r="O67" s="33"/>
      <c r="P67" s="33"/>
      <c r="Q67" s="33"/>
      <c r="R67" s="33"/>
      <c r="S67" s="33"/>
      <c r="T67" s="33"/>
      <c r="U67" s="33"/>
      <c r="V67" s="33"/>
      <c r="W67" s="33"/>
      <c r="X67" s="33"/>
      <c r="Y67" s="33"/>
      <c r="Z67" s="33"/>
      <c r="AA67" s="33"/>
    </row>
    <row r="68" ht="15.75" customHeight="1">
      <c r="B68" s="32" t="s">
        <v>28</v>
      </c>
      <c r="C68" s="32" t="s">
        <v>23</v>
      </c>
      <c r="D68" s="32" t="s">
        <v>23</v>
      </c>
      <c r="E68" s="32" t="s">
        <v>23</v>
      </c>
      <c r="F68" s="32" t="s">
        <v>23</v>
      </c>
      <c r="G68" s="32" t="s">
        <v>23</v>
      </c>
      <c r="H68" s="33"/>
      <c r="I68" s="33"/>
      <c r="J68" s="33"/>
      <c r="K68" s="33"/>
      <c r="L68" s="33"/>
      <c r="M68" s="33"/>
      <c r="N68" s="33"/>
      <c r="O68" s="33"/>
      <c r="P68" s="33"/>
      <c r="Q68" s="33"/>
      <c r="R68" s="33"/>
      <c r="S68" s="33"/>
      <c r="T68" s="33"/>
      <c r="U68" s="33"/>
      <c r="V68" s="33"/>
      <c r="W68" s="33"/>
      <c r="X68" s="33"/>
      <c r="Y68" s="33"/>
      <c r="Z68" s="33"/>
      <c r="AA68" s="33"/>
    </row>
    <row r="69" ht="15.75" customHeight="1">
      <c r="A69" s="28" t="s">
        <v>76</v>
      </c>
      <c r="B69" s="29" t="s">
        <v>3</v>
      </c>
      <c r="C69" s="29" t="s">
        <v>4</v>
      </c>
      <c r="D69" s="29" t="s">
        <v>5</v>
      </c>
      <c r="E69" s="29" t="s">
        <v>6</v>
      </c>
      <c r="F69" s="29" t="s">
        <v>7</v>
      </c>
      <c r="G69" s="29" t="s">
        <v>8</v>
      </c>
      <c r="H69" s="30"/>
      <c r="I69" s="30"/>
      <c r="J69" s="30"/>
      <c r="K69" s="30"/>
      <c r="L69" s="30"/>
      <c r="M69" s="30"/>
      <c r="N69" s="30"/>
      <c r="O69" s="30"/>
      <c r="P69" s="30"/>
      <c r="Q69" s="30"/>
      <c r="R69" s="30"/>
      <c r="S69" s="30"/>
      <c r="T69" s="30"/>
      <c r="U69" s="30"/>
      <c r="V69" s="30"/>
      <c r="W69" s="30"/>
      <c r="X69" s="30"/>
      <c r="Y69" s="30"/>
      <c r="Z69" s="30"/>
      <c r="AA69" s="30"/>
    </row>
    <row r="70" ht="15.75" customHeight="1">
      <c r="B70" s="29" t="s">
        <v>9</v>
      </c>
      <c r="C70" s="29" t="s">
        <v>349</v>
      </c>
      <c r="D70" s="29" t="s">
        <v>350</v>
      </c>
      <c r="E70" s="29" t="s">
        <v>351</v>
      </c>
      <c r="F70" s="29" t="s">
        <v>351</v>
      </c>
      <c r="G70" s="29" t="s">
        <v>352</v>
      </c>
      <c r="H70" s="30"/>
      <c r="I70" s="30"/>
      <c r="J70" s="30"/>
      <c r="K70" s="30"/>
      <c r="L70" s="30"/>
      <c r="M70" s="30"/>
      <c r="N70" s="30"/>
      <c r="O70" s="30"/>
      <c r="P70" s="30"/>
      <c r="Q70" s="30"/>
      <c r="R70" s="30"/>
      <c r="S70" s="30"/>
      <c r="T70" s="30"/>
      <c r="U70" s="30"/>
      <c r="V70" s="30"/>
      <c r="W70" s="30"/>
      <c r="X70" s="30"/>
      <c r="Y70" s="30"/>
      <c r="Z70" s="30"/>
      <c r="AA70" s="30"/>
    </row>
    <row r="71" ht="15.75" customHeight="1">
      <c r="B71" s="29" t="s">
        <v>15</v>
      </c>
      <c r="C71" s="29" t="s">
        <v>353</v>
      </c>
      <c r="D71" s="29" t="s">
        <v>354</v>
      </c>
      <c r="E71" s="29" t="s">
        <v>18</v>
      </c>
      <c r="F71" s="29" t="s">
        <v>355</v>
      </c>
      <c r="G71" s="29" t="s">
        <v>356</v>
      </c>
      <c r="H71" s="30"/>
      <c r="I71" s="30"/>
      <c r="J71" s="30"/>
      <c r="K71" s="30"/>
      <c r="L71" s="30"/>
      <c r="M71" s="30"/>
      <c r="N71" s="30"/>
      <c r="O71" s="30"/>
      <c r="P71" s="30"/>
      <c r="Q71" s="30"/>
      <c r="R71" s="30"/>
      <c r="S71" s="30"/>
      <c r="T71" s="30"/>
      <c r="U71" s="30"/>
      <c r="V71" s="30"/>
      <c r="W71" s="30"/>
      <c r="X71" s="30"/>
      <c r="Y71" s="30"/>
      <c r="Z71" s="30"/>
      <c r="AA71" s="30"/>
    </row>
    <row r="72" ht="15.75" customHeight="1">
      <c r="B72" s="29" t="s">
        <v>21</v>
      </c>
      <c r="C72" s="29" t="s">
        <v>22</v>
      </c>
      <c r="D72" s="29" t="s">
        <v>23</v>
      </c>
      <c r="E72" s="29" t="s">
        <v>242</v>
      </c>
      <c r="F72" s="29" t="s">
        <v>23</v>
      </c>
      <c r="G72" s="29" t="s">
        <v>287</v>
      </c>
      <c r="H72" s="30"/>
      <c r="I72" s="30"/>
      <c r="J72" s="30"/>
      <c r="K72" s="30"/>
      <c r="L72" s="30"/>
      <c r="M72" s="30"/>
      <c r="N72" s="30"/>
      <c r="O72" s="30"/>
      <c r="P72" s="30"/>
      <c r="Q72" s="30"/>
      <c r="R72" s="30"/>
      <c r="S72" s="30"/>
      <c r="T72" s="30"/>
      <c r="U72" s="30"/>
      <c r="V72" s="30"/>
      <c r="W72" s="30"/>
      <c r="X72" s="30"/>
      <c r="Y72" s="30"/>
      <c r="Z72" s="30"/>
      <c r="AA72" s="30"/>
    </row>
    <row r="73" ht="15.75" customHeight="1">
      <c r="B73" s="29" t="s">
        <v>26</v>
      </c>
      <c r="C73" s="29" t="s">
        <v>353</v>
      </c>
      <c r="D73" s="29" t="s">
        <v>23</v>
      </c>
      <c r="E73" s="29" t="s">
        <v>18</v>
      </c>
      <c r="F73" s="29" t="s">
        <v>23</v>
      </c>
      <c r="G73" s="29" t="s">
        <v>357</v>
      </c>
      <c r="H73" s="30"/>
      <c r="I73" s="30"/>
      <c r="J73" s="30"/>
      <c r="K73" s="30"/>
      <c r="L73" s="30"/>
      <c r="M73" s="30"/>
      <c r="N73" s="30"/>
      <c r="O73" s="30"/>
      <c r="P73" s="30"/>
      <c r="Q73" s="30"/>
      <c r="R73" s="30"/>
      <c r="S73" s="30"/>
      <c r="T73" s="30"/>
      <c r="U73" s="30"/>
      <c r="V73" s="30"/>
      <c r="W73" s="30"/>
      <c r="X73" s="30"/>
      <c r="Y73" s="30"/>
      <c r="Z73" s="30"/>
      <c r="AA73" s="30"/>
    </row>
    <row r="74" ht="15.75" customHeight="1">
      <c r="B74" s="29" t="s">
        <v>28</v>
      </c>
      <c r="C74" s="29" t="s">
        <v>23</v>
      </c>
      <c r="D74" s="29" t="s">
        <v>23</v>
      </c>
      <c r="E74" s="29" t="s">
        <v>23</v>
      </c>
      <c r="F74" s="29" t="s">
        <v>23</v>
      </c>
      <c r="G74" s="29" t="s">
        <v>23</v>
      </c>
      <c r="H74" s="30"/>
      <c r="I74" s="30"/>
      <c r="J74" s="30"/>
      <c r="K74" s="30"/>
      <c r="L74" s="30"/>
      <c r="M74" s="30"/>
      <c r="N74" s="30"/>
      <c r="O74" s="30"/>
      <c r="P74" s="30"/>
      <c r="Q74" s="30"/>
      <c r="R74" s="30"/>
      <c r="S74" s="30"/>
      <c r="T74" s="30"/>
      <c r="U74" s="30"/>
      <c r="V74" s="30"/>
      <c r="W74" s="30"/>
      <c r="X74" s="30"/>
      <c r="Y74" s="30"/>
      <c r="Z74" s="30"/>
      <c r="AA74" s="30"/>
    </row>
    <row r="75" ht="15.75" customHeight="1">
      <c r="A75" s="31" t="s">
        <v>41</v>
      </c>
      <c r="B75" s="32" t="s">
        <v>3</v>
      </c>
      <c r="C75" s="32" t="s">
        <v>4</v>
      </c>
      <c r="D75" s="32" t="s">
        <v>5</v>
      </c>
      <c r="E75" s="32" t="s">
        <v>6</v>
      </c>
      <c r="F75" s="32" t="s">
        <v>7</v>
      </c>
      <c r="G75" s="32" t="s">
        <v>8</v>
      </c>
      <c r="H75" s="33"/>
      <c r="I75" s="33"/>
      <c r="J75" s="33"/>
      <c r="K75" s="33"/>
      <c r="L75" s="33"/>
      <c r="M75" s="33"/>
      <c r="N75" s="33"/>
      <c r="O75" s="33"/>
      <c r="P75" s="33"/>
      <c r="Q75" s="33"/>
      <c r="R75" s="33"/>
      <c r="S75" s="33"/>
      <c r="T75" s="33"/>
      <c r="U75" s="33"/>
      <c r="V75" s="33"/>
      <c r="W75" s="33"/>
      <c r="X75" s="33"/>
      <c r="Y75" s="33"/>
      <c r="Z75" s="33"/>
      <c r="AA75" s="33"/>
    </row>
    <row r="76" ht="15.75" customHeight="1">
      <c r="B76" s="32" t="s">
        <v>9</v>
      </c>
      <c r="C76" s="32" t="s">
        <v>358</v>
      </c>
      <c r="D76" s="32" t="s">
        <v>359</v>
      </c>
      <c r="E76" s="32" t="s">
        <v>360</v>
      </c>
      <c r="F76" s="32" t="s">
        <v>361</v>
      </c>
      <c r="G76" s="32" t="s">
        <v>362</v>
      </c>
      <c r="H76" s="33"/>
      <c r="I76" s="33"/>
      <c r="J76" s="33"/>
      <c r="K76" s="33"/>
      <c r="L76" s="33"/>
      <c r="M76" s="33"/>
      <c r="N76" s="33"/>
      <c r="O76" s="33"/>
      <c r="P76" s="33"/>
      <c r="Q76" s="33"/>
      <c r="R76" s="33"/>
      <c r="S76" s="33"/>
      <c r="T76" s="33"/>
      <c r="U76" s="33"/>
      <c r="V76" s="33"/>
      <c r="W76" s="33"/>
      <c r="X76" s="33"/>
      <c r="Y76" s="33"/>
      <c r="Z76" s="33"/>
      <c r="AA76" s="33"/>
    </row>
    <row r="77" ht="15.75" customHeight="1">
      <c r="B77" s="32" t="s">
        <v>15</v>
      </c>
      <c r="C77" s="32" t="s">
        <v>363</v>
      </c>
      <c r="D77" s="32" t="s">
        <v>364</v>
      </c>
      <c r="E77" s="32" t="s">
        <v>18</v>
      </c>
      <c r="F77" s="32" t="s">
        <v>365</v>
      </c>
      <c r="G77" s="32" t="s">
        <v>348</v>
      </c>
      <c r="H77" s="33"/>
      <c r="I77" s="33"/>
      <c r="J77" s="33"/>
      <c r="K77" s="33"/>
      <c r="L77" s="33"/>
      <c r="M77" s="33"/>
      <c r="N77" s="33"/>
      <c r="O77" s="33"/>
      <c r="P77" s="33"/>
      <c r="Q77" s="33"/>
      <c r="R77" s="33"/>
      <c r="S77" s="33"/>
      <c r="T77" s="33"/>
      <c r="U77" s="33"/>
      <c r="V77" s="33"/>
      <c r="W77" s="33"/>
      <c r="X77" s="33"/>
      <c r="Y77" s="33"/>
      <c r="Z77" s="33"/>
      <c r="AA77" s="33"/>
    </row>
    <row r="78" ht="15.75" customHeight="1">
      <c r="B78" s="32" t="s">
        <v>21</v>
      </c>
      <c r="C78" s="32" t="s">
        <v>22</v>
      </c>
      <c r="D78" s="32" t="s">
        <v>23</v>
      </c>
      <c r="E78" s="32" t="s">
        <v>242</v>
      </c>
      <c r="F78" s="32" t="s">
        <v>23</v>
      </c>
      <c r="G78" s="32" t="s">
        <v>287</v>
      </c>
      <c r="H78" s="33"/>
      <c r="I78" s="33"/>
      <c r="J78" s="33"/>
      <c r="K78" s="33"/>
      <c r="L78" s="33"/>
      <c r="M78" s="33"/>
      <c r="N78" s="33"/>
      <c r="O78" s="33"/>
      <c r="P78" s="33"/>
      <c r="Q78" s="33"/>
      <c r="R78" s="33"/>
      <c r="S78" s="33"/>
      <c r="T78" s="33"/>
      <c r="U78" s="33"/>
      <c r="V78" s="33"/>
      <c r="W78" s="33"/>
      <c r="X78" s="33"/>
      <c r="Y78" s="33"/>
      <c r="Z78" s="33"/>
      <c r="AA78" s="33"/>
    </row>
    <row r="79" ht="15.75" customHeight="1">
      <c r="B79" s="32" t="s">
        <v>26</v>
      </c>
      <c r="C79" s="32" t="s">
        <v>363</v>
      </c>
      <c r="D79" s="32" t="s">
        <v>23</v>
      </c>
      <c r="E79" s="32" t="s">
        <v>18</v>
      </c>
      <c r="F79" s="32" t="s">
        <v>23</v>
      </c>
      <c r="G79" s="32" t="s">
        <v>348</v>
      </c>
      <c r="H79" s="33"/>
      <c r="I79" s="33"/>
      <c r="J79" s="33"/>
      <c r="K79" s="33"/>
      <c r="L79" s="33"/>
      <c r="M79" s="33"/>
      <c r="N79" s="33"/>
      <c r="O79" s="33"/>
      <c r="P79" s="33"/>
      <c r="Q79" s="33"/>
      <c r="R79" s="33"/>
      <c r="S79" s="33"/>
      <c r="T79" s="33"/>
      <c r="U79" s="33"/>
      <c r="V79" s="33"/>
      <c r="W79" s="33"/>
      <c r="X79" s="33"/>
      <c r="Y79" s="33"/>
      <c r="Z79" s="33"/>
      <c r="AA79" s="33"/>
    </row>
    <row r="80" ht="15.75" customHeight="1">
      <c r="B80" s="32" t="s">
        <v>28</v>
      </c>
      <c r="C80" s="32" t="s">
        <v>23</v>
      </c>
      <c r="D80" s="32" t="s">
        <v>23</v>
      </c>
      <c r="E80" s="32" t="s">
        <v>23</v>
      </c>
      <c r="F80" s="32" t="s">
        <v>23</v>
      </c>
      <c r="G80" s="32" t="s">
        <v>23</v>
      </c>
      <c r="H80" s="33"/>
      <c r="I80" s="33"/>
      <c r="J80" s="33"/>
      <c r="K80" s="33"/>
      <c r="L80" s="33"/>
      <c r="M80" s="33"/>
      <c r="N80" s="33"/>
      <c r="O80" s="33"/>
      <c r="P80" s="33"/>
      <c r="Q80" s="33"/>
      <c r="R80" s="33"/>
      <c r="S80" s="33"/>
      <c r="T80" s="33"/>
      <c r="U80" s="33"/>
      <c r="V80" s="33"/>
      <c r="W80" s="33"/>
      <c r="X80" s="33"/>
      <c r="Y80" s="33"/>
      <c r="Z80" s="33"/>
      <c r="AA80" s="33"/>
    </row>
    <row r="81" ht="15.75" customHeight="1">
      <c r="A81" s="28" t="s">
        <v>109</v>
      </c>
      <c r="B81" s="29" t="s">
        <v>3</v>
      </c>
      <c r="C81" s="29" t="s">
        <v>4</v>
      </c>
      <c r="D81" s="29" t="s">
        <v>5</v>
      </c>
      <c r="E81" s="29" t="s">
        <v>6</v>
      </c>
      <c r="F81" s="29" t="s">
        <v>7</v>
      </c>
      <c r="G81" s="29" t="s">
        <v>8</v>
      </c>
      <c r="H81" s="30"/>
      <c r="I81" s="30"/>
      <c r="J81" s="30"/>
      <c r="K81" s="30"/>
      <c r="L81" s="30"/>
      <c r="M81" s="30"/>
      <c r="N81" s="30"/>
      <c r="O81" s="30"/>
      <c r="P81" s="30"/>
      <c r="Q81" s="30"/>
      <c r="R81" s="30"/>
      <c r="S81" s="30"/>
      <c r="T81" s="30"/>
      <c r="U81" s="30"/>
      <c r="V81" s="30"/>
      <c r="W81" s="30"/>
      <c r="X81" s="30"/>
      <c r="Y81" s="30"/>
      <c r="Z81" s="30"/>
      <c r="AA81" s="30"/>
    </row>
    <row r="82" ht="15.75" customHeight="1">
      <c r="B82" s="29" t="s">
        <v>9</v>
      </c>
      <c r="C82" s="29" t="s">
        <v>366</v>
      </c>
      <c r="D82" s="29" t="s">
        <v>367</v>
      </c>
      <c r="E82" s="29" t="s">
        <v>368</v>
      </c>
      <c r="F82" s="29" t="s">
        <v>369</v>
      </c>
      <c r="G82" s="29" t="s">
        <v>370</v>
      </c>
      <c r="H82" s="30"/>
      <c r="I82" s="30"/>
      <c r="J82" s="30"/>
      <c r="K82" s="30"/>
      <c r="L82" s="30"/>
      <c r="M82" s="30"/>
      <c r="N82" s="30"/>
      <c r="O82" s="30"/>
      <c r="P82" s="30"/>
      <c r="Q82" s="30"/>
      <c r="R82" s="30"/>
      <c r="S82" s="30"/>
      <c r="T82" s="30"/>
      <c r="U82" s="30"/>
      <c r="V82" s="30"/>
      <c r="W82" s="30"/>
      <c r="X82" s="30"/>
      <c r="Y82" s="30"/>
      <c r="Z82" s="30"/>
      <c r="AA82" s="30"/>
    </row>
    <row r="83" ht="15.75" customHeight="1">
      <c r="B83" s="29" t="s">
        <v>15</v>
      </c>
      <c r="C83" s="29" t="s">
        <v>371</v>
      </c>
      <c r="D83" s="29" t="s">
        <v>372</v>
      </c>
      <c r="E83" s="29" t="s">
        <v>18</v>
      </c>
      <c r="F83" s="29" t="s">
        <v>373</v>
      </c>
      <c r="G83" s="29" t="s">
        <v>348</v>
      </c>
      <c r="H83" s="30"/>
      <c r="I83" s="30"/>
      <c r="J83" s="30"/>
      <c r="K83" s="30"/>
      <c r="L83" s="30"/>
      <c r="M83" s="30"/>
      <c r="N83" s="30"/>
      <c r="O83" s="30"/>
      <c r="P83" s="30"/>
      <c r="Q83" s="30"/>
      <c r="R83" s="30"/>
      <c r="S83" s="30"/>
      <c r="T83" s="30"/>
      <c r="U83" s="30"/>
      <c r="V83" s="30"/>
      <c r="W83" s="30"/>
      <c r="X83" s="30"/>
      <c r="Y83" s="30"/>
      <c r="Z83" s="30"/>
      <c r="AA83" s="30"/>
    </row>
    <row r="84" ht="15.75" customHeight="1">
      <c r="B84" s="29" t="s">
        <v>21</v>
      </c>
      <c r="C84" s="29" t="s">
        <v>22</v>
      </c>
      <c r="D84" s="29" t="s">
        <v>23</v>
      </c>
      <c r="E84" s="29" t="s">
        <v>242</v>
      </c>
      <c r="F84" s="29" t="s">
        <v>23</v>
      </c>
      <c r="G84" s="29" t="s">
        <v>287</v>
      </c>
      <c r="H84" s="30"/>
      <c r="I84" s="30"/>
      <c r="J84" s="30"/>
      <c r="K84" s="30"/>
      <c r="L84" s="30"/>
      <c r="M84" s="30"/>
      <c r="N84" s="30"/>
      <c r="O84" s="30"/>
      <c r="P84" s="30"/>
      <c r="Q84" s="30"/>
      <c r="R84" s="30"/>
      <c r="S84" s="30"/>
      <c r="T84" s="30"/>
      <c r="U84" s="30"/>
      <c r="V84" s="30"/>
      <c r="W84" s="30"/>
      <c r="X84" s="30"/>
      <c r="Y84" s="30"/>
      <c r="Z84" s="30"/>
      <c r="AA84" s="30"/>
    </row>
    <row r="85" ht="15.75" customHeight="1">
      <c r="B85" s="29" t="s">
        <v>26</v>
      </c>
      <c r="C85" s="29" t="s">
        <v>371</v>
      </c>
      <c r="D85" s="29" t="s">
        <v>23</v>
      </c>
      <c r="E85" s="29" t="s">
        <v>18</v>
      </c>
      <c r="F85" s="29" t="s">
        <v>23</v>
      </c>
      <c r="G85" s="29" t="s">
        <v>348</v>
      </c>
      <c r="H85" s="30"/>
      <c r="I85" s="30"/>
      <c r="J85" s="30"/>
      <c r="K85" s="30"/>
      <c r="L85" s="30"/>
      <c r="M85" s="30"/>
      <c r="N85" s="30"/>
      <c r="O85" s="30"/>
      <c r="P85" s="30"/>
      <c r="Q85" s="30"/>
      <c r="R85" s="30"/>
      <c r="S85" s="30"/>
      <c r="T85" s="30"/>
      <c r="U85" s="30"/>
      <c r="V85" s="30"/>
      <c r="W85" s="30"/>
      <c r="X85" s="30"/>
      <c r="Y85" s="30"/>
      <c r="Z85" s="30"/>
      <c r="AA85" s="30"/>
    </row>
    <row r="86" ht="15.75" customHeight="1">
      <c r="B86" s="29" t="s">
        <v>28</v>
      </c>
      <c r="C86" s="29" t="s">
        <v>23</v>
      </c>
      <c r="D86" s="29" t="s">
        <v>23</v>
      </c>
      <c r="E86" s="29" t="s">
        <v>23</v>
      </c>
      <c r="F86" s="29" t="s">
        <v>23</v>
      </c>
      <c r="G86" s="29" t="s">
        <v>23</v>
      </c>
      <c r="H86" s="30"/>
      <c r="I86" s="30"/>
      <c r="J86" s="30"/>
      <c r="K86" s="30"/>
      <c r="L86" s="30"/>
      <c r="M86" s="30"/>
      <c r="N86" s="30"/>
      <c r="O86" s="30"/>
      <c r="P86" s="30"/>
      <c r="Q86" s="30"/>
      <c r="R86" s="30"/>
      <c r="S86" s="30"/>
      <c r="T86" s="30"/>
      <c r="U86" s="30"/>
      <c r="V86" s="30"/>
      <c r="W86" s="30"/>
      <c r="X86" s="30"/>
      <c r="Y86" s="30"/>
      <c r="Z86" s="30"/>
      <c r="AA86" s="30"/>
    </row>
    <row r="87" ht="15.75" customHeight="1">
      <c r="A87" s="31" t="s">
        <v>120</v>
      </c>
      <c r="B87" s="32" t="s">
        <v>3</v>
      </c>
      <c r="C87" s="32" t="s">
        <v>4</v>
      </c>
      <c r="D87" s="32" t="s">
        <v>5</v>
      </c>
      <c r="E87" s="32" t="s">
        <v>6</v>
      </c>
      <c r="F87" s="32" t="s">
        <v>7</v>
      </c>
      <c r="G87" s="32" t="s">
        <v>8</v>
      </c>
      <c r="H87" s="33"/>
      <c r="I87" s="33"/>
      <c r="J87" s="33"/>
      <c r="K87" s="33"/>
      <c r="L87" s="33"/>
      <c r="M87" s="33"/>
      <c r="N87" s="33"/>
      <c r="O87" s="33"/>
      <c r="P87" s="33"/>
      <c r="Q87" s="33"/>
      <c r="R87" s="33"/>
      <c r="S87" s="33"/>
      <c r="T87" s="33"/>
      <c r="U87" s="33"/>
      <c r="V87" s="33"/>
      <c r="W87" s="33"/>
      <c r="X87" s="33"/>
      <c r="Y87" s="33"/>
      <c r="Z87" s="33"/>
      <c r="AA87" s="33"/>
    </row>
    <row r="88" ht="15.75" customHeight="1">
      <c r="B88" s="32" t="s">
        <v>9</v>
      </c>
      <c r="C88" s="32" t="s">
        <v>374</v>
      </c>
      <c r="D88" s="32" t="s">
        <v>375</v>
      </c>
      <c r="E88" s="32" t="s">
        <v>376</v>
      </c>
      <c r="F88" s="32" t="s">
        <v>377</v>
      </c>
      <c r="G88" s="32" t="s">
        <v>378</v>
      </c>
      <c r="H88" s="33"/>
      <c r="I88" s="33"/>
      <c r="J88" s="33"/>
      <c r="K88" s="33"/>
      <c r="L88" s="33"/>
      <c r="M88" s="33"/>
      <c r="N88" s="33"/>
      <c r="O88" s="33"/>
      <c r="P88" s="33"/>
      <c r="Q88" s="33"/>
      <c r="R88" s="33"/>
      <c r="S88" s="33"/>
      <c r="T88" s="33"/>
      <c r="U88" s="33"/>
      <c r="V88" s="33"/>
      <c r="W88" s="33"/>
      <c r="X88" s="33"/>
      <c r="Y88" s="33"/>
      <c r="Z88" s="33"/>
      <c r="AA88" s="33"/>
    </row>
    <row r="89" ht="15.75" customHeight="1">
      <c r="B89" s="32" t="s">
        <v>15</v>
      </c>
      <c r="C89" s="32" t="s">
        <v>379</v>
      </c>
      <c r="D89" s="32" t="s">
        <v>380</v>
      </c>
      <c r="E89" s="32" t="s">
        <v>128</v>
      </c>
      <c r="F89" s="32" t="s">
        <v>381</v>
      </c>
      <c r="G89" s="32" t="s">
        <v>382</v>
      </c>
      <c r="H89" s="33"/>
      <c r="I89" s="33"/>
      <c r="J89" s="33"/>
      <c r="K89" s="33"/>
      <c r="L89" s="33"/>
      <c r="M89" s="33"/>
      <c r="N89" s="33"/>
      <c r="O89" s="33"/>
      <c r="P89" s="33"/>
      <c r="Q89" s="33"/>
      <c r="R89" s="33"/>
      <c r="S89" s="33"/>
      <c r="T89" s="33"/>
      <c r="U89" s="33"/>
      <c r="V89" s="33"/>
      <c r="W89" s="33"/>
      <c r="X89" s="33"/>
      <c r="Y89" s="33"/>
      <c r="Z89" s="33"/>
      <c r="AA89" s="33"/>
    </row>
    <row r="90" ht="15.75" customHeight="1">
      <c r="B90" s="32" t="s">
        <v>21</v>
      </c>
      <c r="C90" s="32" t="s">
        <v>22</v>
      </c>
      <c r="D90" s="32" t="s">
        <v>23</v>
      </c>
      <c r="E90" s="32" t="s">
        <v>242</v>
      </c>
      <c r="F90" s="32" t="s">
        <v>23</v>
      </c>
      <c r="G90" s="32" t="s">
        <v>287</v>
      </c>
      <c r="H90" s="33"/>
      <c r="I90" s="33"/>
      <c r="J90" s="33"/>
      <c r="K90" s="33"/>
      <c r="L90" s="33"/>
      <c r="M90" s="33"/>
      <c r="N90" s="33"/>
      <c r="O90" s="33"/>
      <c r="P90" s="33"/>
      <c r="Q90" s="33"/>
      <c r="R90" s="33"/>
      <c r="S90" s="33"/>
      <c r="T90" s="33"/>
      <c r="U90" s="33"/>
      <c r="V90" s="33"/>
      <c r="W90" s="33"/>
      <c r="X90" s="33"/>
      <c r="Y90" s="33"/>
      <c r="Z90" s="33"/>
      <c r="AA90" s="33"/>
    </row>
    <row r="91" ht="15.75" customHeight="1">
      <c r="B91" s="32" t="s">
        <v>26</v>
      </c>
      <c r="C91" s="32" t="s">
        <v>379</v>
      </c>
      <c r="D91" s="32" t="s">
        <v>23</v>
      </c>
      <c r="E91" s="32" t="s">
        <v>128</v>
      </c>
      <c r="F91" s="32" t="s">
        <v>23</v>
      </c>
      <c r="G91" s="32" t="s">
        <v>382</v>
      </c>
      <c r="H91" s="33"/>
      <c r="I91" s="33"/>
      <c r="J91" s="33"/>
      <c r="K91" s="33"/>
      <c r="L91" s="33"/>
      <c r="M91" s="33"/>
      <c r="N91" s="33"/>
      <c r="O91" s="33"/>
      <c r="P91" s="33"/>
      <c r="Q91" s="33"/>
      <c r="R91" s="33"/>
      <c r="S91" s="33"/>
      <c r="T91" s="33"/>
      <c r="U91" s="33"/>
      <c r="V91" s="33"/>
      <c r="W91" s="33"/>
      <c r="X91" s="33"/>
      <c r="Y91" s="33"/>
      <c r="Z91" s="33"/>
      <c r="AA91" s="33"/>
    </row>
    <row r="92" ht="15.75" customHeight="1">
      <c r="B92" s="32" t="s">
        <v>28</v>
      </c>
      <c r="C92" s="32" t="s">
        <v>383</v>
      </c>
      <c r="D92" s="32" t="s">
        <v>23</v>
      </c>
      <c r="E92" s="32" t="s">
        <v>23</v>
      </c>
      <c r="F92" s="32" t="s">
        <v>23</v>
      </c>
      <c r="G92" s="32" t="s">
        <v>23</v>
      </c>
      <c r="H92" s="33"/>
      <c r="I92" s="33"/>
      <c r="J92" s="33"/>
      <c r="K92" s="33"/>
      <c r="L92" s="33"/>
      <c r="M92" s="33"/>
      <c r="N92" s="33"/>
      <c r="O92" s="33"/>
      <c r="P92" s="33"/>
      <c r="Q92" s="33"/>
      <c r="R92" s="33"/>
      <c r="S92" s="33"/>
      <c r="T92" s="33"/>
      <c r="U92" s="33"/>
      <c r="V92" s="33"/>
      <c r="W92" s="33"/>
      <c r="X92" s="33"/>
      <c r="Y92" s="33"/>
      <c r="Z92" s="33"/>
      <c r="AA92" s="33"/>
    </row>
    <row r="93" ht="15.75" customHeight="1">
      <c r="A93" s="28" t="s">
        <v>180</v>
      </c>
      <c r="B93" s="29" t="s">
        <v>3</v>
      </c>
      <c r="C93" s="29" t="s">
        <v>4</v>
      </c>
      <c r="D93" s="29" t="s">
        <v>5</v>
      </c>
      <c r="E93" s="29" t="s">
        <v>6</v>
      </c>
      <c r="F93" s="29" t="s">
        <v>7</v>
      </c>
      <c r="G93" s="29" t="s">
        <v>8</v>
      </c>
      <c r="H93" s="30"/>
      <c r="I93" s="30"/>
      <c r="J93" s="30"/>
      <c r="K93" s="30"/>
      <c r="L93" s="30"/>
      <c r="M93" s="30"/>
      <c r="N93" s="30"/>
      <c r="O93" s="30"/>
      <c r="P93" s="30"/>
      <c r="Q93" s="30"/>
      <c r="R93" s="30"/>
      <c r="S93" s="30"/>
      <c r="T93" s="30"/>
      <c r="U93" s="30"/>
      <c r="V93" s="30"/>
      <c r="W93" s="30"/>
      <c r="X93" s="30"/>
      <c r="Y93" s="30"/>
      <c r="Z93" s="30"/>
      <c r="AA93" s="30"/>
    </row>
    <row r="94" ht="15.75" customHeight="1">
      <c r="B94" s="29" t="s">
        <v>9</v>
      </c>
      <c r="C94" s="29" t="s">
        <v>384</v>
      </c>
      <c r="D94" s="29" t="s">
        <v>385</v>
      </c>
      <c r="E94" s="29" t="s">
        <v>386</v>
      </c>
      <c r="F94" s="29" t="s">
        <v>385</v>
      </c>
      <c r="G94" s="29" t="s">
        <v>385</v>
      </c>
      <c r="H94" s="30"/>
      <c r="I94" s="30"/>
      <c r="J94" s="30"/>
      <c r="K94" s="30"/>
      <c r="L94" s="30"/>
      <c r="M94" s="30"/>
      <c r="N94" s="30"/>
      <c r="O94" s="30"/>
      <c r="P94" s="30"/>
      <c r="Q94" s="30"/>
      <c r="R94" s="30"/>
      <c r="S94" s="30"/>
      <c r="T94" s="30"/>
      <c r="U94" s="30"/>
      <c r="V94" s="30"/>
      <c r="W94" s="30"/>
      <c r="X94" s="30"/>
      <c r="Y94" s="30"/>
      <c r="Z94" s="30"/>
      <c r="AA94" s="30"/>
    </row>
    <row r="95" ht="15.75" customHeight="1">
      <c r="B95" s="29" t="s">
        <v>15</v>
      </c>
      <c r="C95" s="29" t="s">
        <v>387</v>
      </c>
      <c r="D95" s="29" t="s">
        <v>385</v>
      </c>
      <c r="E95" s="29" t="s">
        <v>18</v>
      </c>
      <c r="F95" s="29" t="s">
        <v>385</v>
      </c>
      <c r="G95" s="29" t="s">
        <v>385</v>
      </c>
      <c r="H95" s="30"/>
      <c r="I95" s="30"/>
      <c r="J95" s="30"/>
      <c r="K95" s="30"/>
      <c r="L95" s="30"/>
      <c r="M95" s="30"/>
      <c r="N95" s="30"/>
      <c r="O95" s="30"/>
      <c r="P95" s="30"/>
      <c r="Q95" s="30"/>
      <c r="R95" s="30"/>
      <c r="S95" s="30"/>
      <c r="T95" s="30"/>
      <c r="U95" s="30"/>
      <c r="V95" s="30"/>
      <c r="W95" s="30"/>
      <c r="X95" s="30"/>
      <c r="Y95" s="30"/>
      <c r="Z95" s="30"/>
      <c r="AA95" s="30"/>
    </row>
    <row r="96" ht="15.75" customHeight="1">
      <c r="B96" s="29" t="s">
        <v>21</v>
      </c>
      <c r="C96" s="29" t="s">
        <v>22</v>
      </c>
      <c r="D96" s="29" t="s">
        <v>23</v>
      </c>
      <c r="E96" s="29" t="s">
        <v>242</v>
      </c>
      <c r="F96" s="29" t="s">
        <v>23</v>
      </c>
      <c r="G96" s="29" t="s">
        <v>287</v>
      </c>
      <c r="H96" s="30"/>
      <c r="I96" s="30"/>
      <c r="J96" s="30"/>
      <c r="K96" s="30"/>
      <c r="L96" s="30"/>
      <c r="M96" s="30"/>
      <c r="N96" s="30"/>
      <c r="O96" s="30"/>
      <c r="P96" s="30"/>
      <c r="Q96" s="30"/>
      <c r="R96" s="30"/>
      <c r="S96" s="30"/>
      <c r="T96" s="30"/>
      <c r="U96" s="30"/>
      <c r="V96" s="30"/>
      <c r="W96" s="30"/>
      <c r="X96" s="30"/>
      <c r="Y96" s="30"/>
      <c r="Z96" s="30"/>
      <c r="AA96" s="30"/>
    </row>
    <row r="97" ht="15.75" customHeight="1">
      <c r="B97" s="29" t="s">
        <v>26</v>
      </c>
      <c r="C97" s="29" t="s">
        <v>387</v>
      </c>
      <c r="D97" s="29" t="s">
        <v>23</v>
      </c>
      <c r="E97" s="29" t="s">
        <v>18</v>
      </c>
      <c r="F97" s="29" t="s">
        <v>23</v>
      </c>
      <c r="G97" s="29" t="s">
        <v>385</v>
      </c>
      <c r="H97" s="30"/>
      <c r="I97" s="30"/>
      <c r="J97" s="30"/>
      <c r="K97" s="30"/>
      <c r="L97" s="30"/>
      <c r="M97" s="30"/>
      <c r="N97" s="30"/>
      <c r="O97" s="30"/>
      <c r="P97" s="30"/>
      <c r="Q97" s="30"/>
      <c r="R97" s="30"/>
      <c r="S97" s="30"/>
      <c r="T97" s="30"/>
      <c r="U97" s="30"/>
      <c r="V97" s="30"/>
      <c r="W97" s="30"/>
      <c r="X97" s="30"/>
      <c r="Y97" s="30"/>
      <c r="Z97" s="30"/>
      <c r="AA97" s="30"/>
    </row>
    <row r="98" ht="15.75" customHeight="1">
      <c r="B98" s="29" t="s">
        <v>28</v>
      </c>
      <c r="C98" s="29" t="s">
        <v>23</v>
      </c>
      <c r="D98" s="29" t="s">
        <v>23</v>
      </c>
      <c r="E98" s="29" t="s">
        <v>23</v>
      </c>
      <c r="F98" s="29" t="s">
        <v>23</v>
      </c>
      <c r="G98" s="29" t="s">
        <v>385</v>
      </c>
      <c r="H98" s="30"/>
      <c r="I98" s="30"/>
      <c r="J98" s="30"/>
      <c r="K98" s="30"/>
      <c r="L98" s="30"/>
      <c r="M98" s="30"/>
      <c r="N98" s="30"/>
      <c r="O98" s="30"/>
      <c r="P98" s="30"/>
      <c r="Q98" s="30"/>
      <c r="R98" s="30"/>
      <c r="S98" s="30"/>
      <c r="T98" s="30"/>
      <c r="U98" s="30"/>
      <c r="V98" s="30"/>
      <c r="W98" s="30"/>
      <c r="X98" s="30"/>
      <c r="Y98" s="30"/>
      <c r="Z98" s="30"/>
      <c r="AA98" s="30"/>
    </row>
    <row r="99" ht="15.75" customHeight="1">
      <c r="A99" s="31" t="s">
        <v>199</v>
      </c>
      <c r="B99" s="32" t="s">
        <v>3</v>
      </c>
      <c r="C99" s="32" t="s">
        <v>4</v>
      </c>
      <c r="D99" s="32" t="s">
        <v>5</v>
      </c>
      <c r="E99" s="32" t="s">
        <v>6</v>
      </c>
      <c r="F99" s="32" t="s">
        <v>7</v>
      </c>
      <c r="G99" s="32" t="s">
        <v>8</v>
      </c>
      <c r="H99" s="33"/>
      <c r="I99" s="33"/>
      <c r="J99" s="33"/>
      <c r="K99" s="33"/>
      <c r="L99" s="33"/>
      <c r="M99" s="33"/>
      <c r="N99" s="33"/>
      <c r="O99" s="33"/>
      <c r="P99" s="33"/>
      <c r="Q99" s="33"/>
      <c r="R99" s="33"/>
      <c r="S99" s="33"/>
      <c r="T99" s="33"/>
      <c r="U99" s="33"/>
      <c r="V99" s="33"/>
      <c r="W99" s="33"/>
      <c r="X99" s="33"/>
      <c r="Y99" s="33"/>
      <c r="Z99" s="33"/>
      <c r="AA99" s="33"/>
    </row>
    <row r="100" ht="15.75" customHeight="1">
      <c r="B100" s="32" t="s">
        <v>9</v>
      </c>
      <c r="C100" s="32" t="s">
        <v>388</v>
      </c>
      <c r="D100" s="32" t="s">
        <v>389</v>
      </c>
      <c r="E100" s="32" t="s">
        <v>390</v>
      </c>
      <c r="F100" s="32" t="s">
        <v>391</v>
      </c>
      <c r="G100" s="32" t="s">
        <v>392</v>
      </c>
      <c r="H100" s="33"/>
      <c r="I100" s="33"/>
      <c r="J100" s="33"/>
      <c r="K100" s="33"/>
      <c r="L100" s="33"/>
      <c r="M100" s="33"/>
      <c r="N100" s="33"/>
      <c r="O100" s="33"/>
      <c r="P100" s="33"/>
      <c r="Q100" s="33"/>
      <c r="R100" s="33"/>
      <c r="S100" s="33"/>
      <c r="T100" s="33"/>
      <c r="U100" s="33"/>
      <c r="V100" s="33"/>
      <c r="W100" s="33"/>
      <c r="X100" s="33"/>
      <c r="Y100" s="33"/>
      <c r="Z100" s="33"/>
      <c r="AA100" s="33"/>
    </row>
    <row r="101" ht="15.75" customHeight="1">
      <c r="B101" s="32" t="s">
        <v>15</v>
      </c>
      <c r="C101" s="32" t="s">
        <v>393</v>
      </c>
      <c r="D101" s="32" t="s">
        <v>394</v>
      </c>
      <c r="E101" s="32" t="s">
        <v>207</v>
      </c>
      <c r="F101" s="32" t="s">
        <v>395</v>
      </c>
      <c r="G101" s="32" t="s">
        <v>396</v>
      </c>
      <c r="H101" s="33"/>
      <c r="I101" s="33"/>
      <c r="J101" s="33"/>
      <c r="K101" s="33"/>
      <c r="L101" s="33"/>
      <c r="M101" s="33"/>
      <c r="N101" s="33"/>
      <c r="O101" s="33"/>
      <c r="P101" s="33"/>
      <c r="Q101" s="33"/>
      <c r="R101" s="33"/>
      <c r="S101" s="33"/>
      <c r="T101" s="33"/>
      <c r="U101" s="33"/>
      <c r="V101" s="33"/>
      <c r="W101" s="33"/>
      <c r="X101" s="33"/>
      <c r="Y101" s="33"/>
      <c r="Z101" s="33"/>
      <c r="AA101" s="33"/>
    </row>
    <row r="102" ht="15.75" customHeight="1">
      <c r="B102" s="32" t="s">
        <v>21</v>
      </c>
      <c r="C102" s="32" t="s">
        <v>22</v>
      </c>
      <c r="D102" s="32" t="s">
        <v>23</v>
      </c>
      <c r="E102" s="32" t="s">
        <v>242</v>
      </c>
      <c r="F102" s="32" t="s">
        <v>23</v>
      </c>
      <c r="G102" s="32" t="s">
        <v>287</v>
      </c>
      <c r="H102" s="33"/>
      <c r="I102" s="33"/>
      <c r="J102" s="33"/>
      <c r="K102" s="33"/>
      <c r="L102" s="33"/>
      <c r="M102" s="33"/>
      <c r="N102" s="33"/>
      <c r="O102" s="33"/>
      <c r="P102" s="33"/>
      <c r="Q102" s="33"/>
      <c r="R102" s="33"/>
      <c r="S102" s="33"/>
      <c r="T102" s="33"/>
      <c r="U102" s="33"/>
      <c r="V102" s="33"/>
      <c r="W102" s="33"/>
      <c r="X102" s="33"/>
      <c r="Y102" s="33"/>
      <c r="Z102" s="33"/>
      <c r="AA102" s="33"/>
    </row>
    <row r="103" ht="15.75" customHeight="1">
      <c r="B103" s="32" t="s">
        <v>26</v>
      </c>
      <c r="C103" s="32" t="s">
        <v>397</v>
      </c>
      <c r="D103" s="32" t="s">
        <v>23</v>
      </c>
      <c r="E103" s="32" t="s">
        <v>207</v>
      </c>
      <c r="F103" s="32" t="s">
        <v>23</v>
      </c>
      <c r="G103" s="32" t="s">
        <v>398</v>
      </c>
      <c r="H103" s="33"/>
      <c r="I103" s="33"/>
      <c r="J103" s="33"/>
      <c r="K103" s="33"/>
      <c r="L103" s="33"/>
      <c r="M103" s="33"/>
      <c r="N103" s="33"/>
      <c r="O103" s="33"/>
      <c r="P103" s="33"/>
      <c r="Q103" s="33"/>
      <c r="R103" s="33"/>
      <c r="S103" s="33"/>
      <c r="T103" s="33"/>
      <c r="U103" s="33"/>
      <c r="V103" s="33"/>
      <c r="W103" s="33"/>
      <c r="X103" s="33"/>
      <c r="Y103" s="33"/>
      <c r="Z103" s="33"/>
      <c r="AA103" s="33"/>
    </row>
    <row r="104" ht="15.75" customHeight="1">
      <c r="B104" s="32" t="s">
        <v>28</v>
      </c>
      <c r="C104" s="32" t="s">
        <v>23</v>
      </c>
      <c r="D104" s="32" t="s">
        <v>23</v>
      </c>
      <c r="E104" s="32" t="s">
        <v>23</v>
      </c>
      <c r="F104" s="32" t="s">
        <v>23</v>
      </c>
      <c r="G104" s="32" t="s">
        <v>23</v>
      </c>
      <c r="H104" s="33"/>
      <c r="I104" s="33"/>
      <c r="J104" s="33"/>
      <c r="K104" s="33"/>
      <c r="L104" s="33"/>
      <c r="M104" s="33"/>
      <c r="N104" s="33"/>
      <c r="O104" s="33"/>
      <c r="P104" s="33"/>
      <c r="Q104" s="33"/>
      <c r="R104" s="33"/>
      <c r="S104" s="33"/>
      <c r="T104" s="33"/>
      <c r="U104" s="33"/>
      <c r="V104" s="33"/>
      <c r="W104" s="33"/>
      <c r="X104" s="33"/>
      <c r="Y104" s="33"/>
      <c r="Z104" s="33"/>
      <c r="AA104" s="33"/>
    </row>
    <row r="105" ht="15.75" customHeight="1">
      <c r="A105" s="28" t="s">
        <v>211</v>
      </c>
      <c r="B105" s="29" t="s">
        <v>3</v>
      </c>
      <c r="C105" s="29" t="s">
        <v>4</v>
      </c>
      <c r="D105" s="29" t="s">
        <v>5</v>
      </c>
      <c r="E105" s="29" t="s">
        <v>6</v>
      </c>
      <c r="F105" s="29" t="s">
        <v>7</v>
      </c>
      <c r="G105" s="29" t="s">
        <v>8</v>
      </c>
      <c r="H105" s="30"/>
      <c r="I105" s="30"/>
      <c r="J105" s="30"/>
      <c r="K105" s="30"/>
      <c r="L105" s="30"/>
      <c r="M105" s="30"/>
      <c r="N105" s="30"/>
      <c r="O105" s="30"/>
      <c r="P105" s="30"/>
      <c r="Q105" s="30"/>
      <c r="R105" s="30"/>
      <c r="S105" s="30"/>
      <c r="T105" s="30"/>
      <c r="U105" s="30"/>
      <c r="V105" s="30"/>
      <c r="W105" s="30"/>
      <c r="X105" s="30"/>
      <c r="Y105" s="30"/>
      <c r="Z105" s="30"/>
      <c r="AA105" s="30"/>
    </row>
    <row r="106" ht="15.75" customHeight="1">
      <c r="B106" s="29" t="s">
        <v>9</v>
      </c>
      <c r="C106" s="29" t="s">
        <v>399</v>
      </c>
      <c r="D106" s="29" t="s">
        <v>385</v>
      </c>
      <c r="E106" s="29" t="s">
        <v>400</v>
      </c>
      <c r="F106" s="29" t="s">
        <v>401</v>
      </c>
      <c r="G106" s="29" t="s">
        <v>402</v>
      </c>
      <c r="H106" s="30"/>
      <c r="I106" s="30"/>
      <c r="J106" s="30"/>
      <c r="K106" s="30"/>
      <c r="L106" s="30"/>
      <c r="M106" s="30"/>
      <c r="N106" s="30"/>
      <c r="O106" s="30"/>
      <c r="P106" s="30"/>
      <c r="Q106" s="30"/>
      <c r="R106" s="30"/>
      <c r="S106" s="30"/>
      <c r="T106" s="30"/>
      <c r="U106" s="30"/>
      <c r="V106" s="30"/>
      <c r="W106" s="30"/>
      <c r="X106" s="30"/>
      <c r="Y106" s="30"/>
      <c r="Z106" s="30"/>
      <c r="AA106" s="30"/>
    </row>
    <row r="107" ht="15.75" customHeight="1">
      <c r="B107" s="29" t="s">
        <v>15</v>
      </c>
      <c r="C107" s="29" t="s">
        <v>403</v>
      </c>
      <c r="D107" s="29" t="s">
        <v>385</v>
      </c>
      <c r="E107" s="29" t="s">
        <v>18</v>
      </c>
      <c r="F107" s="29" t="s">
        <v>404</v>
      </c>
      <c r="G107" s="29" t="s">
        <v>398</v>
      </c>
      <c r="H107" s="30"/>
      <c r="I107" s="30"/>
      <c r="J107" s="30"/>
      <c r="K107" s="30"/>
      <c r="L107" s="30"/>
      <c r="M107" s="30"/>
      <c r="N107" s="30"/>
      <c r="O107" s="30"/>
      <c r="P107" s="30"/>
      <c r="Q107" s="30"/>
      <c r="R107" s="30"/>
      <c r="S107" s="30"/>
      <c r="T107" s="30"/>
      <c r="U107" s="30"/>
      <c r="V107" s="30"/>
      <c r="W107" s="30"/>
      <c r="X107" s="30"/>
      <c r="Y107" s="30"/>
      <c r="Z107" s="30"/>
      <c r="AA107" s="30"/>
    </row>
    <row r="108" ht="15.75" customHeight="1">
      <c r="B108" s="29" t="s">
        <v>21</v>
      </c>
      <c r="C108" s="29" t="s">
        <v>22</v>
      </c>
      <c r="D108" s="29" t="s">
        <v>23</v>
      </c>
      <c r="E108" s="29" t="s">
        <v>242</v>
      </c>
      <c r="F108" s="29" t="s">
        <v>23</v>
      </c>
      <c r="G108" s="29" t="s">
        <v>287</v>
      </c>
      <c r="H108" s="30"/>
      <c r="I108" s="30"/>
      <c r="J108" s="30"/>
      <c r="K108" s="30"/>
      <c r="L108" s="30"/>
      <c r="M108" s="30"/>
      <c r="N108" s="30"/>
      <c r="O108" s="30"/>
      <c r="P108" s="30"/>
      <c r="Q108" s="30"/>
      <c r="R108" s="30"/>
      <c r="S108" s="30"/>
      <c r="T108" s="30"/>
      <c r="U108" s="30"/>
      <c r="V108" s="30"/>
      <c r="W108" s="30"/>
      <c r="X108" s="30"/>
      <c r="Y108" s="30"/>
      <c r="Z108" s="30"/>
      <c r="AA108" s="30"/>
    </row>
    <row r="109" ht="15.75" customHeight="1">
      <c r="B109" s="29" t="s">
        <v>26</v>
      </c>
      <c r="C109" s="29" t="s">
        <v>403</v>
      </c>
      <c r="D109" s="29" t="s">
        <v>23</v>
      </c>
      <c r="E109" s="29" t="s">
        <v>18</v>
      </c>
      <c r="F109" s="29" t="s">
        <v>23</v>
      </c>
      <c r="G109" s="29" t="s">
        <v>398</v>
      </c>
      <c r="H109" s="30"/>
      <c r="I109" s="30"/>
      <c r="J109" s="30"/>
      <c r="K109" s="30"/>
      <c r="L109" s="30"/>
      <c r="M109" s="30"/>
      <c r="N109" s="30"/>
      <c r="O109" s="30"/>
      <c r="P109" s="30"/>
      <c r="Q109" s="30"/>
      <c r="R109" s="30"/>
      <c r="S109" s="30"/>
      <c r="T109" s="30"/>
      <c r="U109" s="30"/>
      <c r="V109" s="30"/>
      <c r="W109" s="30"/>
      <c r="X109" s="30"/>
      <c r="Y109" s="30"/>
      <c r="Z109" s="30"/>
      <c r="AA109" s="30"/>
    </row>
    <row r="110" ht="15.75" customHeight="1">
      <c r="B110" s="29" t="s">
        <v>28</v>
      </c>
      <c r="C110" s="29" t="s">
        <v>405</v>
      </c>
      <c r="D110" s="29" t="s">
        <v>23</v>
      </c>
      <c r="E110" s="29" t="s">
        <v>23</v>
      </c>
      <c r="F110" s="29" t="s">
        <v>23</v>
      </c>
      <c r="G110" s="29" t="s">
        <v>23</v>
      </c>
      <c r="H110" s="30"/>
      <c r="I110" s="30"/>
      <c r="J110" s="30"/>
      <c r="K110" s="30"/>
      <c r="L110" s="30"/>
      <c r="M110" s="30"/>
      <c r="N110" s="30"/>
      <c r="O110" s="30"/>
      <c r="P110" s="30"/>
      <c r="Q110" s="30"/>
      <c r="R110" s="30"/>
      <c r="S110" s="30"/>
      <c r="T110" s="30"/>
      <c r="U110" s="30"/>
      <c r="V110" s="30"/>
      <c r="W110" s="30"/>
      <c r="X110" s="30"/>
      <c r="Y110" s="30"/>
      <c r="Z110" s="30"/>
      <c r="AA110" s="30"/>
    </row>
    <row r="111" ht="15.75" customHeight="1">
      <c r="A111" s="31" t="s">
        <v>406</v>
      </c>
      <c r="B111" s="32" t="s">
        <v>3</v>
      </c>
      <c r="C111" s="32" t="s">
        <v>4</v>
      </c>
      <c r="D111" s="32" t="s">
        <v>5</v>
      </c>
      <c r="E111" s="32" t="s">
        <v>6</v>
      </c>
      <c r="F111" s="32" t="s">
        <v>7</v>
      </c>
      <c r="G111" s="32" t="s">
        <v>8</v>
      </c>
      <c r="H111" s="33"/>
      <c r="I111" s="33"/>
      <c r="J111" s="33"/>
      <c r="K111" s="33"/>
      <c r="L111" s="33"/>
      <c r="M111" s="33"/>
      <c r="N111" s="33"/>
      <c r="O111" s="33"/>
      <c r="P111" s="33"/>
      <c r="Q111" s="33"/>
      <c r="R111" s="33"/>
      <c r="S111" s="33"/>
      <c r="T111" s="33"/>
      <c r="U111" s="33"/>
      <c r="V111" s="33"/>
      <c r="W111" s="33"/>
      <c r="X111" s="33"/>
      <c r="Y111" s="33"/>
      <c r="Z111" s="33"/>
      <c r="AA111" s="33"/>
    </row>
    <row r="112" ht="15.75" customHeight="1">
      <c r="B112" s="32" t="s">
        <v>9</v>
      </c>
      <c r="C112" s="32" t="s">
        <v>407</v>
      </c>
      <c r="D112" s="32" t="s">
        <v>408</v>
      </c>
      <c r="E112" s="32" t="s">
        <v>409</v>
      </c>
      <c r="F112" s="32" t="s">
        <v>410</v>
      </c>
      <c r="G112" s="32" t="s">
        <v>411</v>
      </c>
      <c r="H112" s="33"/>
      <c r="I112" s="33"/>
      <c r="J112" s="33"/>
      <c r="K112" s="33"/>
      <c r="L112" s="33"/>
      <c r="M112" s="33"/>
      <c r="N112" s="33"/>
      <c r="O112" s="33"/>
      <c r="P112" s="33"/>
      <c r="Q112" s="33"/>
      <c r="R112" s="33"/>
      <c r="S112" s="33"/>
      <c r="T112" s="33"/>
      <c r="U112" s="33"/>
      <c r="V112" s="33"/>
      <c r="W112" s="33"/>
      <c r="X112" s="33"/>
      <c r="Y112" s="33"/>
      <c r="Z112" s="33"/>
      <c r="AA112" s="33"/>
    </row>
    <row r="113" ht="15.75" customHeight="1">
      <c r="B113" s="32" t="s">
        <v>15</v>
      </c>
      <c r="C113" s="32" t="s">
        <v>412</v>
      </c>
      <c r="D113" s="32" t="s">
        <v>413</v>
      </c>
      <c r="E113" s="32" t="s">
        <v>414</v>
      </c>
      <c r="F113" s="32" t="s">
        <v>415</v>
      </c>
      <c r="G113" s="32" t="s">
        <v>416</v>
      </c>
      <c r="H113" s="33"/>
      <c r="I113" s="33"/>
      <c r="J113" s="33"/>
      <c r="K113" s="33"/>
      <c r="L113" s="33"/>
      <c r="M113" s="33"/>
      <c r="N113" s="33"/>
      <c r="O113" s="33"/>
      <c r="P113" s="33"/>
      <c r="Q113" s="33"/>
      <c r="R113" s="33"/>
      <c r="S113" s="33"/>
      <c r="T113" s="33"/>
      <c r="U113" s="33"/>
      <c r="V113" s="33"/>
      <c r="W113" s="33"/>
      <c r="X113" s="33"/>
      <c r="Y113" s="33"/>
      <c r="Z113" s="33"/>
      <c r="AA113" s="33"/>
    </row>
    <row r="114" ht="15.75" customHeight="1">
      <c r="B114" s="32" t="s">
        <v>21</v>
      </c>
      <c r="C114" s="32" t="s">
        <v>22</v>
      </c>
      <c r="D114" s="32" t="s">
        <v>23</v>
      </c>
      <c r="E114" s="32" t="s">
        <v>242</v>
      </c>
      <c r="F114" s="32" t="s">
        <v>23</v>
      </c>
      <c r="G114" s="32" t="s">
        <v>287</v>
      </c>
      <c r="H114" s="33"/>
      <c r="I114" s="33"/>
      <c r="J114" s="33"/>
      <c r="K114" s="33"/>
      <c r="L114" s="33"/>
      <c r="M114" s="33"/>
      <c r="N114" s="33"/>
      <c r="O114" s="33"/>
      <c r="P114" s="33"/>
      <c r="Q114" s="33"/>
      <c r="R114" s="33"/>
      <c r="S114" s="33"/>
      <c r="T114" s="33"/>
      <c r="U114" s="33"/>
      <c r="V114" s="33"/>
      <c r="W114" s="33"/>
      <c r="X114" s="33"/>
      <c r="Y114" s="33"/>
      <c r="Z114" s="33"/>
      <c r="AA114" s="33"/>
    </row>
    <row r="115" ht="15.75" customHeight="1">
      <c r="B115" s="32" t="s">
        <v>26</v>
      </c>
      <c r="C115" s="32" t="s">
        <v>412</v>
      </c>
      <c r="D115" s="32" t="s">
        <v>23</v>
      </c>
      <c r="E115" s="32" t="s">
        <v>417</v>
      </c>
      <c r="F115" s="32" t="s">
        <v>23</v>
      </c>
      <c r="G115" s="32" t="s">
        <v>416</v>
      </c>
      <c r="H115" s="33"/>
      <c r="I115" s="33"/>
      <c r="J115" s="33"/>
      <c r="K115" s="33"/>
      <c r="L115" s="33"/>
      <c r="M115" s="33"/>
      <c r="N115" s="33"/>
      <c r="O115" s="33"/>
      <c r="P115" s="33"/>
      <c r="Q115" s="33"/>
      <c r="R115" s="33"/>
      <c r="S115" s="33"/>
      <c r="T115" s="33"/>
      <c r="U115" s="33"/>
      <c r="V115" s="33"/>
      <c r="W115" s="33"/>
      <c r="X115" s="33"/>
      <c r="Y115" s="33"/>
      <c r="Z115" s="33"/>
      <c r="AA115" s="33"/>
    </row>
    <row r="116" ht="15.75" customHeight="1">
      <c r="B116" s="32" t="s">
        <v>28</v>
      </c>
      <c r="C116" s="32" t="s">
        <v>23</v>
      </c>
      <c r="D116" s="32" t="s">
        <v>23</v>
      </c>
      <c r="E116" s="32" t="s">
        <v>417</v>
      </c>
      <c r="F116" s="32" t="s">
        <v>23</v>
      </c>
      <c r="G116" s="32" t="s">
        <v>23</v>
      </c>
      <c r="H116" s="33"/>
      <c r="I116" s="33"/>
      <c r="J116" s="33"/>
      <c r="K116" s="33"/>
      <c r="L116" s="33"/>
      <c r="M116" s="33"/>
      <c r="N116" s="33"/>
      <c r="O116" s="33"/>
      <c r="P116" s="33"/>
      <c r="Q116" s="33"/>
      <c r="R116" s="33"/>
      <c r="S116" s="33"/>
      <c r="T116" s="33"/>
      <c r="U116" s="33"/>
      <c r="V116" s="33"/>
      <c r="W116" s="33"/>
      <c r="X116" s="33"/>
      <c r="Y116" s="33"/>
      <c r="Z116" s="33"/>
      <c r="AA116" s="33"/>
    </row>
    <row r="117" ht="15.75" customHeight="1">
      <c r="A117" s="28" t="s">
        <v>234</v>
      </c>
      <c r="B117" s="29" t="s">
        <v>3</v>
      </c>
      <c r="C117" s="29" t="s">
        <v>4</v>
      </c>
      <c r="D117" s="29" t="s">
        <v>5</v>
      </c>
      <c r="E117" s="29" t="s">
        <v>6</v>
      </c>
      <c r="F117" s="29" t="s">
        <v>7</v>
      </c>
      <c r="G117" s="29" t="s">
        <v>8</v>
      </c>
      <c r="H117" s="30"/>
      <c r="I117" s="30"/>
      <c r="J117" s="30"/>
      <c r="K117" s="30"/>
      <c r="L117" s="30"/>
      <c r="M117" s="30"/>
      <c r="N117" s="30"/>
      <c r="O117" s="30"/>
      <c r="P117" s="30"/>
      <c r="Q117" s="30"/>
      <c r="R117" s="30"/>
      <c r="S117" s="30"/>
      <c r="T117" s="30"/>
      <c r="U117" s="30"/>
      <c r="V117" s="30"/>
      <c r="W117" s="30"/>
      <c r="X117" s="30"/>
      <c r="Y117" s="30"/>
      <c r="Z117" s="30"/>
      <c r="AA117" s="30"/>
    </row>
    <row r="118" ht="15.75" customHeight="1">
      <c r="B118" s="29" t="s">
        <v>9</v>
      </c>
      <c r="C118" s="29" t="s">
        <v>418</v>
      </c>
      <c r="D118" s="29" t="s">
        <v>385</v>
      </c>
      <c r="E118" s="29" t="s">
        <v>419</v>
      </c>
      <c r="F118" s="29" t="s">
        <v>420</v>
      </c>
      <c r="G118" s="29" t="s">
        <v>385</v>
      </c>
      <c r="H118" s="30"/>
      <c r="I118" s="30"/>
      <c r="J118" s="30"/>
      <c r="K118" s="30"/>
      <c r="L118" s="30"/>
      <c r="M118" s="30"/>
      <c r="N118" s="30"/>
      <c r="O118" s="30"/>
      <c r="P118" s="30"/>
      <c r="Q118" s="30"/>
      <c r="R118" s="30"/>
      <c r="S118" s="30"/>
      <c r="T118" s="30"/>
      <c r="U118" s="30"/>
      <c r="V118" s="30"/>
      <c r="W118" s="30"/>
      <c r="X118" s="30"/>
      <c r="Y118" s="30"/>
      <c r="Z118" s="30"/>
      <c r="AA118" s="30"/>
    </row>
    <row r="119" ht="15.75" customHeight="1">
      <c r="B119" s="29" t="s">
        <v>15</v>
      </c>
      <c r="C119" s="29" t="s">
        <v>421</v>
      </c>
      <c r="D119" s="29" t="s">
        <v>385</v>
      </c>
      <c r="E119" s="29" t="s">
        <v>240</v>
      </c>
      <c r="F119" s="29" t="s">
        <v>385</v>
      </c>
      <c r="G119" s="29" t="s">
        <v>385</v>
      </c>
      <c r="H119" s="30"/>
      <c r="I119" s="30"/>
      <c r="J119" s="30"/>
      <c r="K119" s="30"/>
      <c r="L119" s="30"/>
      <c r="M119" s="30"/>
      <c r="N119" s="30"/>
      <c r="O119" s="30"/>
      <c r="P119" s="30"/>
      <c r="Q119" s="30"/>
      <c r="R119" s="30"/>
      <c r="S119" s="30"/>
      <c r="T119" s="30"/>
      <c r="U119" s="30"/>
      <c r="V119" s="30"/>
      <c r="W119" s="30"/>
      <c r="X119" s="30"/>
      <c r="Y119" s="30"/>
      <c r="Z119" s="30"/>
      <c r="AA119" s="30"/>
    </row>
    <row r="120" ht="15.75" customHeight="1">
      <c r="B120" s="29" t="s">
        <v>21</v>
      </c>
      <c r="C120" s="29" t="s">
        <v>22</v>
      </c>
      <c r="D120" s="29" t="s">
        <v>23</v>
      </c>
      <c r="E120" s="29" t="s">
        <v>242</v>
      </c>
      <c r="F120" s="29" t="s">
        <v>23</v>
      </c>
      <c r="G120" s="29" t="s">
        <v>287</v>
      </c>
      <c r="H120" s="30"/>
      <c r="I120" s="30"/>
      <c r="J120" s="30"/>
      <c r="K120" s="30"/>
      <c r="L120" s="30"/>
      <c r="M120" s="30"/>
      <c r="N120" s="30"/>
      <c r="O120" s="30"/>
      <c r="P120" s="30"/>
      <c r="Q120" s="30"/>
      <c r="R120" s="30"/>
      <c r="S120" s="30"/>
      <c r="T120" s="30"/>
      <c r="U120" s="30"/>
      <c r="V120" s="30"/>
      <c r="W120" s="30"/>
      <c r="X120" s="30"/>
      <c r="Y120" s="30"/>
      <c r="Z120" s="30"/>
      <c r="AA120" s="30"/>
    </row>
    <row r="121" ht="15.75" customHeight="1">
      <c r="B121" s="29" t="s">
        <v>26</v>
      </c>
      <c r="C121" s="29" t="s">
        <v>385</v>
      </c>
      <c r="D121" s="29" t="s">
        <v>23</v>
      </c>
      <c r="E121" s="29" t="s">
        <v>240</v>
      </c>
      <c r="F121" s="29" t="s">
        <v>23</v>
      </c>
      <c r="G121" s="29" t="s">
        <v>385</v>
      </c>
      <c r="H121" s="30"/>
      <c r="I121" s="30"/>
      <c r="J121" s="30"/>
      <c r="K121" s="30"/>
      <c r="L121" s="30"/>
      <c r="M121" s="30"/>
      <c r="N121" s="30"/>
      <c r="O121" s="30"/>
      <c r="P121" s="30"/>
      <c r="Q121" s="30"/>
      <c r="R121" s="30"/>
      <c r="S121" s="30"/>
      <c r="T121" s="30"/>
      <c r="U121" s="30"/>
      <c r="V121" s="30"/>
      <c r="W121" s="30"/>
      <c r="X121" s="30"/>
      <c r="Y121" s="30"/>
      <c r="Z121" s="30"/>
      <c r="AA121" s="30"/>
    </row>
    <row r="122" ht="15.75" customHeight="1">
      <c r="B122" s="29" t="s">
        <v>28</v>
      </c>
      <c r="C122" s="29" t="s">
        <v>385</v>
      </c>
      <c r="D122" s="29" t="s">
        <v>23</v>
      </c>
      <c r="E122" s="29" t="s">
        <v>240</v>
      </c>
      <c r="F122" s="29" t="s">
        <v>23</v>
      </c>
      <c r="G122" s="29" t="s">
        <v>385</v>
      </c>
      <c r="H122" s="30"/>
      <c r="I122" s="30"/>
      <c r="J122" s="30"/>
      <c r="K122" s="30"/>
      <c r="L122" s="30"/>
      <c r="M122" s="30"/>
      <c r="N122" s="30"/>
      <c r="O122" s="30"/>
      <c r="P122" s="30"/>
      <c r="Q122" s="30"/>
      <c r="R122" s="30"/>
      <c r="S122" s="30"/>
      <c r="T122" s="30"/>
      <c r="U122" s="30"/>
      <c r="V122" s="30"/>
      <c r="W122" s="30"/>
      <c r="X122" s="30"/>
      <c r="Y122" s="30"/>
      <c r="Z122" s="30"/>
      <c r="AA122" s="30"/>
    </row>
    <row r="123" ht="15.75" customHeight="1">
      <c r="A123" s="31" t="s">
        <v>422</v>
      </c>
      <c r="B123" s="32" t="s">
        <v>3</v>
      </c>
      <c r="C123" s="32" t="s">
        <v>4</v>
      </c>
      <c r="D123" s="32" t="s">
        <v>5</v>
      </c>
      <c r="E123" s="32" t="s">
        <v>6</v>
      </c>
      <c r="F123" s="32" t="s">
        <v>7</v>
      </c>
      <c r="G123" s="32" t="s">
        <v>8</v>
      </c>
      <c r="H123" s="33"/>
      <c r="I123" s="33"/>
      <c r="J123" s="33"/>
      <c r="K123" s="33"/>
      <c r="L123" s="33"/>
      <c r="M123" s="33"/>
      <c r="N123" s="33"/>
      <c r="O123" s="33"/>
      <c r="P123" s="33"/>
      <c r="Q123" s="33"/>
      <c r="R123" s="33"/>
      <c r="S123" s="33"/>
      <c r="T123" s="33"/>
      <c r="U123" s="33"/>
      <c r="V123" s="33"/>
      <c r="W123" s="33"/>
      <c r="X123" s="33"/>
      <c r="Y123" s="33"/>
      <c r="Z123" s="33"/>
      <c r="AA123" s="33"/>
    </row>
    <row r="124" ht="15.75" customHeight="1">
      <c r="B124" s="32" t="s">
        <v>9</v>
      </c>
      <c r="C124" s="32" t="s">
        <v>423</v>
      </c>
      <c r="D124" s="32" t="s">
        <v>424</v>
      </c>
      <c r="E124" s="32" t="s">
        <v>425</v>
      </c>
      <c r="F124" s="32" t="s">
        <v>426</v>
      </c>
      <c r="G124" s="32" t="s">
        <v>427</v>
      </c>
      <c r="H124" s="33"/>
      <c r="I124" s="33"/>
      <c r="J124" s="33"/>
      <c r="K124" s="33"/>
      <c r="L124" s="33"/>
      <c r="M124" s="33"/>
      <c r="N124" s="33"/>
      <c r="O124" s="33"/>
      <c r="P124" s="33"/>
      <c r="Q124" s="33"/>
      <c r="R124" s="33"/>
      <c r="S124" s="33"/>
      <c r="T124" s="33"/>
      <c r="U124" s="33"/>
      <c r="V124" s="33"/>
      <c r="W124" s="33"/>
      <c r="X124" s="33"/>
      <c r="Y124" s="33"/>
      <c r="Z124" s="33"/>
      <c r="AA124" s="33"/>
    </row>
    <row r="125" ht="15.75" customHeight="1">
      <c r="B125" s="32" t="s">
        <v>15</v>
      </c>
      <c r="C125" s="32" t="s">
        <v>428</v>
      </c>
      <c r="D125" s="32" t="s">
        <v>429</v>
      </c>
      <c r="E125" s="32" t="s">
        <v>18</v>
      </c>
      <c r="F125" s="32" t="s">
        <v>430</v>
      </c>
      <c r="G125" s="32" t="s">
        <v>287</v>
      </c>
      <c r="H125" s="33"/>
      <c r="I125" s="33"/>
      <c r="J125" s="33"/>
      <c r="K125" s="33"/>
      <c r="L125" s="33"/>
      <c r="M125" s="33"/>
      <c r="N125" s="33"/>
      <c r="O125" s="33"/>
      <c r="P125" s="33"/>
      <c r="Q125" s="33"/>
      <c r="R125" s="33"/>
      <c r="S125" s="33"/>
      <c r="T125" s="33"/>
      <c r="U125" s="33"/>
      <c r="V125" s="33"/>
      <c r="W125" s="33"/>
      <c r="X125" s="33"/>
      <c r="Y125" s="33"/>
      <c r="Z125" s="33"/>
      <c r="AA125" s="33"/>
    </row>
    <row r="126" ht="15.75" customHeight="1">
      <c r="B126" s="32" t="s">
        <v>21</v>
      </c>
      <c r="C126" s="32" t="s">
        <v>22</v>
      </c>
      <c r="D126" s="32" t="s">
        <v>23</v>
      </c>
      <c r="E126" s="32" t="s">
        <v>242</v>
      </c>
      <c r="F126" s="32" t="s">
        <v>23</v>
      </c>
      <c r="G126" s="32" t="s">
        <v>287</v>
      </c>
      <c r="H126" s="33"/>
      <c r="I126" s="33"/>
      <c r="J126" s="33"/>
      <c r="K126" s="33"/>
      <c r="L126" s="33"/>
      <c r="M126" s="33"/>
      <c r="N126" s="33"/>
      <c r="O126" s="33"/>
      <c r="P126" s="33"/>
      <c r="Q126" s="33"/>
      <c r="R126" s="33"/>
      <c r="S126" s="33"/>
      <c r="T126" s="33"/>
      <c r="U126" s="33"/>
      <c r="V126" s="33"/>
      <c r="W126" s="33"/>
      <c r="X126" s="33"/>
      <c r="Y126" s="33"/>
      <c r="Z126" s="33"/>
      <c r="AA126" s="33"/>
    </row>
    <row r="127" ht="15.75" customHeight="1">
      <c r="B127" s="32" t="s">
        <v>26</v>
      </c>
      <c r="C127" s="32" t="s">
        <v>428</v>
      </c>
      <c r="D127" s="32" t="s">
        <v>23</v>
      </c>
      <c r="E127" s="32" t="s">
        <v>18</v>
      </c>
      <c r="F127" s="32" t="s">
        <v>23</v>
      </c>
      <c r="G127" s="32" t="s">
        <v>287</v>
      </c>
      <c r="H127" s="33"/>
      <c r="I127" s="33"/>
      <c r="J127" s="33"/>
      <c r="K127" s="33"/>
      <c r="L127" s="33"/>
      <c r="M127" s="33"/>
      <c r="N127" s="33"/>
      <c r="O127" s="33"/>
      <c r="P127" s="33"/>
      <c r="Q127" s="33"/>
      <c r="R127" s="33"/>
      <c r="S127" s="33"/>
      <c r="T127" s="33"/>
      <c r="U127" s="33"/>
      <c r="V127" s="33"/>
      <c r="W127" s="33"/>
      <c r="X127" s="33"/>
      <c r="Y127" s="33"/>
      <c r="Z127" s="33"/>
      <c r="AA127" s="33"/>
    </row>
    <row r="128" ht="15.75" customHeight="1">
      <c r="B128" s="32" t="s">
        <v>28</v>
      </c>
      <c r="C128" s="32" t="s">
        <v>289</v>
      </c>
      <c r="D128" s="32" t="s">
        <v>23</v>
      </c>
      <c r="E128" s="32" t="s">
        <v>23</v>
      </c>
      <c r="F128" s="32" t="s">
        <v>23</v>
      </c>
      <c r="G128" s="32" t="s">
        <v>23</v>
      </c>
      <c r="H128" s="33"/>
      <c r="I128" s="33"/>
      <c r="J128" s="33"/>
      <c r="K128" s="33"/>
      <c r="L128" s="33"/>
      <c r="M128" s="33"/>
      <c r="N128" s="33"/>
      <c r="O128" s="33"/>
      <c r="P128" s="33"/>
      <c r="Q128" s="33"/>
      <c r="R128" s="33"/>
      <c r="S128" s="33"/>
      <c r="T128" s="33"/>
      <c r="U128" s="33"/>
      <c r="V128" s="33"/>
      <c r="W128" s="33"/>
      <c r="X128" s="33"/>
      <c r="Y128" s="33"/>
      <c r="Z128" s="33"/>
      <c r="AA128" s="33"/>
    </row>
    <row r="129" ht="15.75" customHeight="1"/>
  </sheetData>
  <mergeCells count="18">
    <mergeCell ref="A21:A26"/>
    <mergeCell ref="A27:A32"/>
    <mergeCell ref="A33:A38"/>
    <mergeCell ref="A39:A44"/>
    <mergeCell ref="A45:A50"/>
    <mergeCell ref="A51:A56"/>
    <mergeCell ref="A57:A62"/>
    <mergeCell ref="A105:A110"/>
    <mergeCell ref="A111:A116"/>
    <mergeCell ref="A117:A122"/>
    <mergeCell ref="A123:A128"/>
    <mergeCell ref="A63:A68"/>
    <mergeCell ref="A69:A74"/>
    <mergeCell ref="A75:A80"/>
    <mergeCell ref="A81:A86"/>
    <mergeCell ref="A87:A92"/>
    <mergeCell ref="A93:A98"/>
    <mergeCell ref="A99:A104"/>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34" t="s">
        <v>431</v>
      </c>
      <c r="B1" s="34" t="s">
        <v>432</v>
      </c>
      <c r="C1" s="34" t="s">
        <v>433</v>
      </c>
      <c r="D1" s="35" t="s">
        <v>434</v>
      </c>
      <c r="E1" s="34" t="s">
        <v>435</v>
      </c>
      <c r="F1" s="36" t="s">
        <v>436</v>
      </c>
      <c r="G1" s="34" t="s">
        <v>437</v>
      </c>
      <c r="H1" s="37" t="s">
        <v>438</v>
      </c>
      <c r="I1" s="34" t="s">
        <v>439</v>
      </c>
      <c r="J1" s="38" t="s">
        <v>440</v>
      </c>
      <c r="K1" s="34" t="s">
        <v>441</v>
      </c>
      <c r="L1" s="39" t="s">
        <v>442</v>
      </c>
    </row>
    <row r="2">
      <c r="A2" s="40" t="s">
        <v>443</v>
      </c>
      <c r="B2" s="41" t="s">
        <v>444</v>
      </c>
      <c r="C2" s="41" t="s">
        <v>59</v>
      </c>
      <c r="D2" s="42" t="s">
        <v>445</v>
      </c>
      <c r="E2" s="41" t="s">
        <v>446</v>
      </c>
      <c r="F2" s="43" t="s">
        <v>447</v>
      </c>
      <c r="G2" s="41" t="s">
        <v>448</v>
      </c>
      <c r="H2" s="44" t="s">
        <v>449</v>
      </c>
      <c r="I2" s="41" t="s">
        <v>149</v>
      </c>
      <c r="J2" s="45" t="s">
        <v>450</v>
      </c>
      <c r="K2" s="41" t="s">
        <v>18</v>
      </c>
      <c r="L2" s="46" t="s">
        <v>451</v>
      </c>
    </row>
    <row r="3">
      <c r="A3" s="40" t="s">
        <v>452</v>
      </c>
      <c r="B3" s="41" t="s">
        <v>444</v>
      </c>
      <c r="C3" s="42" t="s">
        <v>453</v>
      </c>
      <c r="D3" s="42" t="s">
        <v>454</v>
      </c>
      <c r="E3" s="43" t="s">
        <v>455</v>
      </c>
      <c r="F3" s="43" t="s">
        <v>456</v>
      </c>
      <c r="G3" s="47" t="s">
        <v>457</v>
      </c>
      <c r="H3" s="44" t="s">
        <v>458</v>
      </c>
      <c r="I3" s="41" t="s">
        <v>459</v>
      </c>
      <c r="J3" s="45" t="s">
        <v>460</v>
      </c>
      <c r="K3" s="44" t="s">
        <v>18</v>
      </c>
      <c r="L3" s="46" t="s">
        <v>461</v>
      </c>
    </row>
    <row r="4">
      <c r="A4" s="40" t="s">
        <v>462</v>
      </c>
      <c r="B4" s="41" t="s">
        <v>444</v>
      </c>
      <c r="C4" s="41" t="s">
        <v>463</v>
      </c>
      <c r="D4" s="42" t="s">
        <v>464</v>
      </c>
      <c r="E4" s="41" t="s">
        <v>465</v>
      </c>
      <c r="F4" s="43" t="s">
        <v>466</v>
      </c>
      <c r="G4" s="41" t="s">
        <v>300</v>
      </c>
      <c r="H4" s="44" t="s">
        <v>467</v>
      </c>
      <c r="I4" s="41" t="s">
        <v>468</v>
      </c>
      <c r="J4" s="45" t="s">
        <v>469</v>
      </c>
      <c r="K4" s="41" t="s">
        <v>18</v>
      </c>
      <c r="L4" s="46" t="s">
        <v>470</v>
      </c>
    </row>
    <row r="5">
      <c r="A5" s="40" t="s">
        <v>471</v>
      </c>
      <c r="B5" s="41" t="s">
        <v>444</v>
      </c>
      <c r="C5" s="41" t="s">
        <v>472</v>
      </c>
      <c r="D5" s="42" t="s">
        <v>473</v>
      </c>
      <c r="E5" s="41" t="s">
        <v>474</v>
      </c>
      <c r="F5" s="43" t="s">
        <v>475</v>
      </c>
      <c r="G5" s="41" t="s">
        <v>476</v>
      </c>
      <c r="H5" s="44" t="s">
        <v>477</v>
      </c>
      <c r="I5" s="41" t="s">
        <v>478</v>
      </c>
      <c r="J5" s="45" t="s">
        <v>479</v>
      </c>
      <c r="K5" s="41" t="s">
        <v>18</v>
      </c>
      <c r="L5" s="46" t="s">
        <v>480</v>
      </c>
    </row>
    <row r="6">
      <c r="A6" s="40" t="s">
        <v>481</v>
      </c>
      <c r="B6" s="41" t="s">
        <v>444</v>
      </c>
      <c r="C6" s="41" t="s">
        <v>482</v>
      </c>
      <c r="D6" s="42" t="s">
        <v>483</v>
      </c>
      <c r="E6" s="41" t="s">
        <v>484</v>
      </c>
      <c r="F6" s="43" t="s">
        <v>485</v>
      </c>
      <c r="G6" s="41" t="s">
        <v>486</v>
      </c>
      <c r="H6" s="44" t="s">
        <v>487</v>
      </c>
      <c r="I6" s="41" t="s">
        <v>488</v>
      </c>
      <c r="J6" s="45" t="s">
        <v>489</v>
      </c>
      <c r="K6" s="41" t="s">
        <v>18</v>
      </c>
      <c r="L6" s="46" t="s">
        <v>461</v>
      </c>
    </row>
    <row r="7">
      <c r="A7" s="40" t="s">
        <v>490</v>
      </c>
      <c r="B7" s="41" t="s">
        <v>444</v>
      </c>
      <c r="C7" s="41" t="s">
        <v>491</v>
      </c>
      <c r="D7" s="42" t="s">
        <v>492</v>
      </c>
      <c r="E7" s="41" t="s">
        <v>493</v>
      </c>
      <c r="F7" s="43" t="s">
        <v>494</v>
      </c>
      <c r="G7" s="41" t="s">
        <v>495</v>
      </c>
      <c r="H7" s="44" t="s">
        <v>496</v>
      </c>
      <c r="I7" s="41" t="s">
        <v>497</v>
      </c>
      <c r="J7" s="45" t="s">
        <v>498</v>
      </c>
      <c r="K7" s="41" t="s">
        <v>240</v>
      </c>
      <c r="L7" s="46" t="s">
        <v>499</v>
      </c>
    </row>
    <row r="8">
      <c r="A8" s="40" t="s">
        <v>500</v>
      </c>
      <c r="B8" s="41" t="s">
        <v>444</v>
      </c>
      <c r="C8" s="41" t="s">
        <v>501</v>
      </c>
      <c r="D8" s="42" t="s">
        <v>502</v>
      </c>
      <c r="E8" s="41" t="s">
        <v>503</v>
      </c>
      <c r="F8" s="43" t="s">
        <v>504</v>
      </c>
      <c r="G8" s="41" t="s">
        <v>274</v>
      </c>
      <c r="H8" s="44" t="s">
        <v>505</v>
      </c>
      <c r="I8" s="41" t="s">
        <v>506</v>
      </c>
      <c r="J8" s="45" t="s">
        <v>507</v>
      </c>
      <c r="K8" s="41" t="s">
        <v>18</v>
      </c>
      <c r="L8" s="46" t="s">
        <v>461</v>
      </c>
    </row>
    <row r="9">
      <c r="A9" s="40" t="s">
        <v>508</v>
      </c>
      <c r="B9" s="41" t="s">
        <v>444</v>
      </c>
      <c r="C9" s="41" t="s">
        <v>509</v>
      </c>
      <c r="D9" s="42" t="s">
        <v>510</v>
      </c>
      <c r="E9" s="41">
        <v>19.497</v>
      </c>
      <c r="F9" s="43" t="s">
        <v>511</v>
      </c>
      <c r="G9" s="41" t="s">
        <v>512</v>
      </c>
      <c r="H9" s="44" t="s">
        <v>513</v>
      </c>
      <c r="I9" s="41" t="s">
        <v>514</v>
      </c>
      <c r="J9" s="45" t="s">
        <v>515</v>
      </c>
      <c r="K9" s="41" t="s">
        <v>516</v>
      </c>
      <c r="L9" s="46" t="s">
        <v>517</v>
      </c>
    </row>
    <row r="10">
      <c r="A10" s="40" t="s">
        <v>518</v>
      </c>
      <c r="B10" s="41" t="s">
        <v>444</v>
      </c>
      <c r="C10" s="41" t="s">
        <v>519</v>
      </c>
      <c r="D10" s="42" t="s">
        <v>520</v>
      </c>
      <c r="E10" s="41" t="s">
        <v>521</v>
      </c>
      <c r="F10" s="43" t="s">
        <v>522</v>
      </c>
      <c r="G10" s="41" t="s">
        <v>523</v>
      </c>
      <c r="H10" s="44" t="s">
        <v>524</v>
      </c>
      <c r="I10" s="41" t="s">
        <v>525</v>
      </c>
      <c r="J10" s="45" t="s">
        <v>526</v>
      </c>
      <c r="K10" s="41" t="s">
        <v>18</v>
      </c>
      <c r="L10" s="46" t="s">
        <v>527</v>
      </c>
    </row>
    <row r="11">
      <c r="A11" s="40" t="s">
        <v>528</v>
      </c>
      <c r="B11" s="41" t="s">
        <v>444</v>
      </c>
      <c r="C11" s="41" t="s">
        <v>529</v>
      </c>
      <c r="D11" s="42" t="s">
        <v>530</v>
      </c>
      <c r="E11" s="41" t="s">
        <v>531</v>
      </c>
      <c r="F11" s="43" t="s">
        <v>532</v>
      </c>
      <c r="G11" s="41" t="s">
        <v>533</v>
      </c>
      <c r="H11" s="44" t="s">
        <v>534</v>
      </c>
      <c r="I11" s="41" t="s">
        <v>535</v>
      </c>
      <c r="J11" s="45" t="s">
        <v>536</v>
      </c>
      <c r="K11" s="41" t="s">
        <v>128</v>
      </c>
      <c r="L11" s="46" t="s">
        <v>537</v>
      </c>
    </row>
    <row r="12">
      <c r="A12" s="40" t="s">
        <v>538</v>
      </c>
      <c r="B12" s="41" t="s">
        <v>444</v>
      </c>
      <c r="C12" s="41">
        <v>1.0</v>
      </c>
      <c r="D12" s="42" t="s">
        <v>539</v>
      </c>
      <c r="E12" s="41" t="s">
        <v>540</v>
      </c>
      <c r="F12" s="43" t="s">
        <v>541</v>
      </c>
      <c r="G12" s="41" t="s">
        <v>542</v>
      </c>
      <c r="H12" s="44" t="s">
        <v>543</v>
      </c>
      <c r="I12" s="41" t="s">
        <v>544</v>
      </c>
      <c r="J12" s="45" t="s">
        <v>545</v>
      </c>
      <c r="K12" s="41" t="s">
        <v>18</v>
      </c>
      <c r="L12" s="46" t="s">
        <v>546</v>
      </c>
    </row>
    <row r="13">
      <c r="A13" s="40" t="s">
        <v>547</v>
      </c>
      <c r="B13" s="41" t="s">
        <v>444</v>
      </c>
      <c r="C13" s="41" t="s">
        <v>548</v>
      </c>
      <c r="D13" s="42" t="s">
        <v>549</v>
      </c>
      <c r="E13" s="41" t="s">
        <v>550</v>
      </c>
      <c r="F13" s="43" t="s">
        <v>551</v>
      </c>
      <c r="G13" s="41" t="s">
        <v>552</v>
      </c>
      <c r="H13" s="44" t="s">
        <v>553</v>
      </c>
      <c r="I13" s="41" t="s">
        <v>554</v>
      </c>
      <c r="J13" s="45" t="s">
        <v>555</v>
      </c>
      <c r="K13" s="41" t="s">
        <v>18</v>
      </c>
      <c r="L13" s="46" t="s">
        <v>556</v>
      </c>
    </row>
    <row r="14">
      <c r="A14" s="40" t="s">
        <v>557</v>
      </c>
      <c r="B14" s="41" t="s">
        <v>444</v>
      </c>
      <c r="C14" s="41" t="s">
        <v>558</v>
      </c>
      <c r="D14" s="42" t="s">
        <v>559</v>
      </c>
      <c r="E14" s="41" t="s">
        <v>560</v>
      </c>
      <c r="F14" s="43" t="s">
        <v>561</v>
      </c>
      <c r="G14" s="41" t="s">
        <v>562</v>
      </c>
      <c r="H14" s="44" t="s">
        <v>563</v>
      </c>
      <c r="I14" s="41" t="s">
        <v>564</v>
      </c>
      <c r="J14" s="45" t="s">
        <v>565</v>
      </c>
      <c r="K14" s="41" t="s">
        <v>566</v>
      </c>
      <c r="L14" s="46" t="s">
        <v>567</v>
      </c>
    </row>
    <row r="15">
      <c r="A15" s="40" t="s">
        <v>568</v>
      </c>
      <c r="B15" s="41" t="s">
        <v>444</v>
      </c>
      <c r="C15" s="41" t="s">
        <v>569</v>
      </c>
      <c r="D15" s="42" t="s">
        <v>570</v>
      </c>
      <c r="E15" s="41" t="s">
        <v>571</v>
      </c>
      <c r="F15" s="43" t="s">
        <v>572</v>
      </c>
      <c r="G15" s="41" t="s">
        <v>573</v>
      </c>
      <c r="H15" s="44" t="s">
        <v>574</v>
      </c>
      <c r="I15" s="41" t="s">
        <v>575</v>
      </c>
      <c r="J15" s="45" t="s">
        <v>576</v>
      </c>
      <c r="K15" s="41" t="s">
        <v>18</v>
      </c>
      <c r="L15" s="46" t="s">
        <v>527</v>
      </c>
    </row>
    <row r="16">
      <c r="A16" s="40" t="s">
        <v>577</v>
      </c>
      <c r="B16" s="41" t="s">
        <v>444</v>
      </c>
      <c r="C16" s="41" t="s">
        <v>578</v>
      </c>
      <c r="D16" s="42" t="s">
        <v>579</v>
      </c>
      <c r="E16" s="41" t="s">
        <v>580</v>
      </c>
      <c r="F16" s="43" t="s">
        <v>581</v>
      </c>
      <c r="G16" s="41" t="s">
        <v>582</v>
      </c>
      <c r="H16" s="44" t="s">
        <v>583</v>
      </c>
      <c r="I16" s="41" t="s">
        <v>356</v>
      </c>
      <c r="J16" s="45" t="s">
        <v>584</v>
      </c>
      <c r="K16" s="41" t="s">
        <v>18</v>
      </c>
      <c r="L16" s="46" t="s">
        <v>461</v>
      </c>
    </row>
    <row r="17">
      <c r="A17" s="40" t="s">
        <v>585</v>
      </c>
      <c r="B17" s="41" t="s">
        <v>444</v>
      </c>
      <c r="C17" s="41" t="s">
        <v>586</v>
      </c>
      <c r="D17" s="42" t="s">
        <v>587</v>
      </c>
      <c r="E17" s="41" t="s">
        <v>347</v>
      </c>
      <c r="F17" s="43" t="s">
        <v>588</v>
      </c>
      <c r="G17" s="41" t="s">
        <v>589</v>
      </c>
      <c r="H17" s="44" t="s">
        <v>590</v>
      </c>
      <c r="I17" s="41" t="s">
        <v>591</v>
      </c>
      <c r="J17" s="45" t="s">
        <v>592</v>
      </c>
      <c r="K17" s="41" t="s">
        <v>38</v>
      </c>
      <c r="L17" s="46" t="s">
        <v>593</v>
      </c>
    </row>
    <row r="18">
      <c r="A18" s="40" t="s">
        <v>594</v>
      </c>
      <c r="B18" s="41" t="s">
        <v>444</v>
      </c>
      <c r="C18" s="41" t="s">
        <v>595</v>
      </c>
      <c r="D18" s="42" t="s">
        <v>596</v>
      </c>
      <c r="E18" s="41" t="s">
        <v>597</v>
      </c>
      <c r="F18" s="43" t="s">
        <v>598</v>
      </c>
      <c r="G18" s="41" t="s">
        <v>599</v>
      </c>
      <c r="H18" s="44" t="s">
        <v>600</v>
      </c>
      <c r="I18" s="41" t="s">
        <v>601</v>
      </c>
      <c r="J18" s="45" t="s">
        <v>602</v>
      </c>
      <c r="K18" s="41" t="s">
        <v>18</v>
      </c>
      <c r="L18" s="46" t="s">
        <v>461</v>
      </c>
    </row>
    <row r="19">
      <c r="A19" s="40" t="s">
        <v>603</v>
      </c>
      <c r="B19" s="41" t="s">
        <v>444</v>
      </c>
      <c r="C19" s="41" t="s">
        <v>604</v>
      </c>
      <c r="D19" s="42" t="s">
        <v>605</v>
      </c>
      <c r="E19" s="41" t="s">
        <v>606</v>
      </c>
      <c r="F19" s="43" t="s">
        <v>607</v>
      </c>
      <c r="G19" s="41" t="s">
        <v>608</v>
      </c>
      <c r="H19" s="44" t="s">
        <v>609</v>
      </c>
      <c r="I19" s="41" t="s">
        <v>610</v>
      </c>
      <c r="J19" s="45" t="s">
        <v>611</v>
      </c>
      <c r="K19" s="41" t="s">
        <v>612</v>
      </c>
      <c r="L19" s="46" t="s">
        <v>613</v>
      </c>
    </row>
    <row r="20">
      <c r="A20" s="40" t="s">
        <v>614</v>
      </c>
      <c r="B20" s="41" t="s">
        <v>444</v>
      </c>
      <c r="C20" s="41" t="s">
        <v>615</v>
      </c>
      <c r="D20" s="42" t="s">
        <v>616</v>
      </c>
      <c r="E20" s="41">
        <v>300.0</v>
      </c>
      <c r="F20" s="43" t="s">
        <v>617</v>
      </c>
      <c r="G20" s="41" t="s">
        <v>618</v>
      </c>
      <c r="H20" s="44" t="s">
        <v>619</v>
      </c>
      <c r="I20" s="41" t="s">
        <v>620</v>
      </c>
      <c r="J20" s="45" t="s">
        <v>621</v>
      </c>
      <c r="K20" s="41" t="s">
        <v>18</v>
      </c>
      <c r="L20" s="46" t="s">
        <v>622</v>
      </c>
    </row>
    <row r="21">
      <c r="A21" s="40" t="s">
        <v>623</v>
      </c>
      <c r="B21" s="41" t="s">
        <v>444</v>
      </c>
      <c r="C21" s="41" t="s">
        <v>624</v>
      </c>
      <c r="D21" s="42" t="s">
        <v>625</v>
      </c>
      <c r="E21" s="41">
        <v>22.429</v>
      </c>
      <c r="F21" s="43" t="s">
        <v>626</v>
      </c>
      <c r="G21" s="41" t="s">
        <v>627</v>
      </c>
      <c r="H21" s="44" t="s">
        <v>628</v>
      </c>
      <c r="I21" s="41" t="s">
        <v>629</v>
      </c>
      <c r="J21" s="45" t="s">
        <v>630</v>
      </c>
      <c r="K21" s="41" t="s">
        <v>631</v>
      </c>
      <c r="L21" s="46" t="s">
        <v>632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sheetData>
    <row r="1">
      <c r="A1" s="48" t="s">
        <v>431</v>
      </c>
      <c r="B1" s="48" t="s">
        <v>432</v>
      </c>
      <c r="C1" s="48" t="s">
        <v>433</v>
      </c>
      <c r="D1" s="35">
        <v>0.0</v>
      </c>
      <c r="E1" s="48" t="s">
        <v>435</v>
      </c>
      <c r="F1" s="36" t="s">
        <v>436</v>
      </c>
      <c r="G1" s="48" t="s">
        <v>437</v>
      </c>
      <c r="H1" s="37" t="s">
        <v>438</v>
      </c>
      <c r="I1" s="48" t="s">
        <v>439</v>
      </c>
      <c r="J1" s="38" t="s">
        <v>440</v>
      </c>
      <c r="K1" s="48" t="s">
        <v>441</v>
      </c>
      <c r="L1" s="39" t="s">
        <v>442</v>
      </c>
    </row>
    <row r="2">
      <c r="A2" s="48" t="s">
        <v>443</v>
      </c>
      <c r="B2" s="49" t="s">
        <v>444</v>
      </c>
      <c r="C2" s="49" t="s">
        <v>633</v>
      </c>
      <c r="D2" s="42" t="s">
        <v>634</v>
      </c>
      <c r="E2" s="49" t="s">
        <v>635</v>
      </c>
      <c r="F2" s="43" t="s">
        <v>636</v>
      </c>
      <c r="G2" s="49" t="s">
        <v>149</v>
      </c>
      <c r="H2" s="44" t="s">
        <v>637</v>
      </c>
      <c r="I2" s="49" t="s">
        <v>339</v>
      </c>
      <c r="J2" s="45" t="s">
        <v>638</v>
      </c>
      <c r="K2" s="49" t="s">
        <v>18</v>
      </c>
      <c r="L2" s="46" t="s">
        <v>639</v>
      </c>
    </row>
    <row r="3">
      <c r="A3" s="48" t="s">
        <v>452</v>
      </c>
      <c r="B3" s="49" t="s">
        <v>444</v>
      </c>
      <c r="C3" s="49" t="s">
        <v>640</v>
      </c>
      <c r="D3" s="42" t="s">
        <v>641</v>
      </c>
      <c r="E3" s="49" t="s">
        <v>642</v>
      </c>
      <c r="F3" s="43" t="s">
        <v>643</v>
      </c>
      <c r="G3" s="49" t="s">
        <v>644</v>
      </c>
      <c r="H3" s="44" t="s">
        <v>645</v>
      </c>
      <c r="I3" s="49" t="s">
        <v>646</v>
      </c>
      <c r="J3" s="45" t="s">
        <v>647</v>
      </c>
      <c r="K3" s="49" t="s">
        <v>18</v>
      </c>
      <c r="L3" s="46" t="s">
        <v>648</v>
      </c>
    </row>
    <row r="4">
      <c r="A4" s="48" t="s">
        <v>462</v>
      </c>
      <c r="B4" s="49" t="s">
        <v>444</v>
      </c>
      <c r="C4" s="49" t="s">
        <v>649</v>
      </c>
      <c r="D4" s="42" t="s">
        <v>650</v>
      </c>
      <c r="E4" s="49">
        <v>34.0</v>
      </c>
      <c r="F4" s="43" t="s">
        <v>651</v>
      </c>
      <c r="G4" s="49" t="s">
        <v>300</v>
      </c>
      <c r="H4" s="44" t="s">
        <v>652</v>
      </c>
      <c r="I4" s="49" t="s">
        <v>653</v>
      </c>
      <c r="J4" s="45" t="s">
        <v>654</v>
      </c>
      <c r="K4" s="49" t="s">
        <v>18</v>
      </c>
      <c r="L4" s="46" t="s">
        <v>18</v>
      </c>
    </row>
    <row r="5">
      <c r="A5" s="48" t="s">
        <v>471</v>
      </c>
      <c r="B5" s="49" t="s">
        <v>444</v>
      </c>
      <c r="C5" s="49" t="s">
        <v>655</v>
      </c>
      <c r="D5" s="42" t="s">
        <v>656</v>
      </c>
      <c r="E5" s="49" t="s">
        <v>474</v>
      </c>
      <c r="F5" s="43" t="s">
        <v>657</v>
      </c>
      <c r="G5" s="49" t="s">
        <v>658</v>
      </c>
      <c r="H5" s="44" t="s">
        <v>659</v>
      </c>
      <c r="I5" s="49" t="s">
        <v>660</v>
      </c>
      <c r="J5" s="45" t="s">
        <v>661</v>
      </c>
      <c r="K5" s="49" t="s">
        <v>18</v>
      </c>
      <c r="L5" s="46" t="s">
        <v>662</v>
      </c>
    </row>
    <row r="6">
      <c r="A6" s="48" t="s">
        <v>481</v>
      </c>
      <c r="B6" s="49" t="s">
        <v>444</v>
      </c>
      <c r="C6" s="49" t="s">
        <v>663</v>
      </c>
      <c r="D6" s="42" t="s">
        <v>664</v>
      </c>
      <c r="E6" s="49" t="s">
        <v>484</v>
      </c>
      <c r="F6" s="43" t="s">
        <v>665</v>
      </c>
      <c r="G6" s="49" t="s">
        <v>666</v>
      </c>
      <c r="H6" s="44" t="s">
        <v>667</v>
      </c>
      <c r="I6" s="49" t="s">
        <v>668</v>
      </c>
      <c r="J6" s="45" t="s">
        <v>669</v>
      </c>
      <c r="K6" s="49" t="s">
        <v>18</v>
      </c>
      <c r="L6" s="46" t="s">
        <v>18</v>
      </c>
    </row>
    <row r="7">
      <c r="A7" s="48" t="s">
        <v>670</v>
      </c>
      <c r="B7" s="49" t="s">
        <v>444</v>
      </c>
      <c r="C7" s="49" t="s">
        <v>671</v>
      </c>
      <c r="D7" s="42" t="s">
        <v>672</v>
      </c>
      <c r="E7" s="49" t="s">
        <v>503</v>
      </c>
      <c r="F7" s="43" t="s">
        <v>673</v>
      </c>
      <c r="G7" s="49" t="s">
        <v>674</v>
      </c>
      <c r="H7" s="44" t="s">
        <v>675</v>
      </c>
      <c r="I7" s="49" t="s">
        <v>676</v>
      </c>
      <c r="J7" s="45" t="s">
        <v>677</v>
      </c>
      <c r="K7" s="49" t="s">
        <v>240</v>
      </c>
      <c r="L7" s="46" t="s">
        <v>678</v>
      </c>
    </row>
    <row r="8">
      <c r="A8" s="48" t="s">
        <v>500</v>
      </c>
      <c r="B8" s="49" t="s">
        <v>444</v>
      </c>
      <c r="C8" s="49" t="s">
        <v>679</v>
      </c>
      <c r="D8" s="42" t="s">
        <v>680</v>
      </c>
      <c r="E8" s="49" t="s">
        <v>503</v>
      </c>
      <c r="F8" s="43" t="s">
        <v>681</v>
      </c>
      <c r="G8" s="49" t="s">
        <v>682</v>
      </c>
      <c r="H8" s="44" t="s">
        <v>683</v>
      </c>
      <c r="I8" s="49" t="s">
        <v>684</v>
      </c>
      <c r="J8" s="45" t="s">
        <v>685</v>
      </c>
      <c r="K8" s="49" t="s">
        <v>18</v>
      </c>
      <c r="L8" s="46" t="s">
        <v>686</v>
      </c>
    </row>
    <row r="9">
      <c r="A9" s="48" t="s">
        <v>508</v>
      </c>
      <c r="B9" s="49" t="s">
        <v>444</v>
      </c>
      <c r="C9" s="49" t="s">
        <v>687</v>
      </c>
      <c r="D9" s="42" t="s">
        <v>688</v>
      </c>
      <c r="E9" s="49">
        <v>19.497</v>
      </c>
      <c r="F9" s="43" t="s">
        <v>689</v>
      </c>
      <c r="G9" s="49" t="s">
        <v>512</v>
      </c>
      <c r="H9" s="44" t="s">
        <v>690</v>
      </c>
      <c r="I9" s="49" t="s">
        <v>20</v>
      </c>
      <c r="J9" s="45" t="s">
        <v>691</v>
      </c>
      <c r="K9" s="49" t="s">
        <v>207</v>
      </c>
      <c r="L9" s="46" t="s">
        <v>692</v>
      </c>
    </row>
    <row r="10">
      <c r="A10" s="48" t="s">
        <v>518</v>
      </c>
      <c r="B10" s="49" t="s">
        <v>444</v>
      </c>
      <c r="C10" s="49" t="s">
        <v>693</v>
      </c>
      <c r="D10" s="42" t="s">
        <v>694</v>
      </c>
      <c r="E10" s="49" t="s">
        <v>521</v>
      </c>
      <c r="F10" s="43" t="s">
        <v>695</v>
      </c>
      <c r="G10" s="49" t="s">
        <v>696</v>
      </c>
      <c r="H10" s="44" t="s">
        <v>697</v>
      </c>
      <c r="I10" s="49" t="s">
        <v>698</v>
      </c>
      <c r="J10" s="45" t="s">
        <v>699</v>
      </c>
      <c r="K10" s="49" t="s">
        <v>18</v>
      </c>
      <c r="L10" s="46" t="s">
        <v>700</v>
      </c>
    </row>
    <row r="11">
      <c r="A11" s="48" t="s">
        <v>528</v>
      </c>
      <c r="B11" s="49" t="s">
        <v>444</v>
      </c>
      <c r="C11" s="49" t="s">
        <v>701</v>
      </c>
      <c r="D11" s="42" t="s">
        <v>702</v>
      </c>
      <c r="E11" s="49" t="s">
        <v>703</v>
      </c>
      <c r="F11" s="43" t="s">
        <v>704</v>
      </c>
      <c r="G11" s="49" t="s">
        <v>533</v>
      </c>
      <c r="H11" s="44" t="s">
        <v>705</v>
      </c>
      <c r="I11" s="49" t="s">
        <v>706</v>
      </c>
      <c r="J11" s="45" t="s">
        <v>707</v>
      </c>
      <c r="K11" s="49" t="s">
        <v>128</v>
      </c>
      <c r="L11" s="46" t="s">
        <v>128</v>
      </c>
    </row>
    <row r="12">
      <c r="A12" s="48" t="s">
        <v>538</v>
      </c>
      <c r="B12" s="49" t="s">
        <v>444</v>
      </c>
      <c r="C12" s="49" t="s">
        <v>708</v>
      </c>
      <c r="D12" s="42" t="s">
        <v>709</v>
      </c>
      <c r="E12" s="49">
        <v>1000.0</v>
      </c>
      <c r="F12" s="43" t="s">
        <v>710</v>
      </c>
      <c r="G12" s="49" t="s">
        <v>711</v>
      </c>
      <c r="H12" s="44" t="s">
        <v>712</v>
      </c>
      <c r="I12" s="49" t="s">
        <v>713</v>
      </c>
      <c r="J12" s="45" t="s">
        <v>714</v>
      </c>
      <c r="K12" s="49" t="s">
        <v>18</v>
      </c>
      <c r="L12" s="46" t="s">
        <v>18</v>
      </c>
    </row>
    <row r="13">
      <c r="A13" s="48" t="s">
        <v>547</v>
      </c>
      <c r="B13" s="49" t="s">
        <v>444</v>
      </c>
      <c r="C13" s="49" t="s">
        <v>715</v>
      </c>
      <c r="D13" s="42" t="s">
        <v>716</v>
      </c>
      <c r="E13" s="49" t="s">
        <v>717</v>
      </c>
      <c r="F13" s="43" t="s">
        <v>718</v>
      </c>
      <c r="G13" s="49" t="s">
        <v>552</v>
      </c>
      <c r="H13" s="44" t="s">
        <v>719</v>
      </c>
      <c r="I13" s="49" t="s">
        <v>720</v>
      </c>
      <c r="J13" s="45" t="s">
        <v>721</v>
      </c>
      <c r="K13" s="49" t="s">
        <v>18</v>
      </c>
      <c r="L13" s="46" t="s">
        <v>722</v>
      </c>
    </row>
    <row r="14">
      <c r="A14" s="48" t="s">
        <v>557</v>
      </c>
      <c r="B14" s="49" t="s">
        <v>444</v>
      </c>
      <c r="C14" s="49" t="s">
        <v>723</v>
      </c>
      <c r="D14" s="42" t="s">
        <v>724</v>
      </c>
      <c r="E14" s="49" t="s">
        <v>560</v>
      </c>
      <c r="F14" s="43" t="s">
        <v>725</v>
      </c>
      <c r="G14" s="49" t="s">
        <v>562</v>
      </c>
      <c r="H14" s="44" t="s">
        <v>726</v>
      </c>
      <c r="I14" s="49" t="s">
        <v>564</v>
      </c>
      <c r="J14" s="45" t="s">
        <v>727</v>
      </c>
      <c r="K14" s="49" t="s">
        <v>18</v>
      </c>
      <c r="L14" s="46" t="s">
        <v>728</v>
      </c>
    </row>
    <row r="15">
      <c r="A15" s="48" t="s">
        <v>568</v>
      </c>
      <c r="B15" s="49" t="s">
        <v>444</v>
      </c>
      <c r="C15" s="49" t="s">
        <v>729</v>
      </c>
      <c r="D15" s="42" t="s">
        <v>730</v>
      </c>
      <c r="E15" s="49" t="s">
        <v>571</v>
      </c>
      <c r="F15" s="43" t="s">
        <v>731</v>
      </c>
      <c r="G15" s="49" t="s">
        <v>732</v>
      </c>
      <c r="H15" s="44" t="s">
        <v>733</v>
      </c>
      <c r="I15" s="49" t="s">
        <v>734</v>
      </c>
      <c r="J15" s="45" t="s">
        <v>735</v>
      </c>
      <c r="K15" s="49" t="s">
        <v>18</v>
      </c>
      <c r="L15" s="46" t="s">
        <v>18</v>
      </c>
    </row>
    <row r="16">
      <c r="A16" s="48" t="s">
        <v>577</v>
      </c>
      <c r="B16" s="49" t="s">
        <v>444</v>
      </c>
      <c r="C16" s="49" t="s">
        <v>736</v>
      </c>
      <c r="D16" s="42" t="s">
        <v>737</v>
      </c>
      <c r="E16" s="49" t="s">
        <v>738</v>
      </c>
      <c r="F16" s="43" t="s">
        <v>739</v>
      </c>
      <c r="G16" s="49" t="s">
        <v>740</v>
      </c>
      <c r="H16" s="44" t="s">
        <v>741</v>
      </c>
      <c r="I16" s="49" t="s">
        <v>356</v>
      </c>
      <c r="J16" s="45" t="s">
        <v>742</v>
      </c>
      <c r="K16" s="49" t="s">
        <v>18</v>
      </c>
      <c r="L16" s="46" t="s">
        <v>743</v>
      </c>
      <c r="O16" s="15">
        <v>1.0</v>
      </c>
    </row>
    <row r="17">
      <c r="A17" s="48" t="s">
        <v>585</v>
      </c>
      <c r="B17" s="49" t="s">
        <v>444</v>
      </c>
      <c r="C17" s="49" t="s">
        <v>744</v>
      </c>
      <c r="D17" s="42" t="s">
        <v>745</v>
      </c>
      <c r="E17" s="49" t="s">
        <v>347</v>
      </c>
      <c r="F17" s="43" t="s">
        <v>746</v>
      </c>
      <c r="G17" s="49" t="s">
        <v>589</v>
      </c>
      <c r="H17" s="44" t="s">
        <v>747</v>
      </c>
      <c r="I17" s="49" t="s">
        <v>748</v>
      </c>
      <c r="J17" s="45" t="s">
        <v>749</v>
      </c>
      <c r="K17" s="49" t="s">
        <v>38</v>
      </c>
      <c r="L17" s="46" t="s">
        <v>750</v>
      </c>
    </row>
    <row r="18">
      <c r="A18" s="48" t="s">
        <v>594</v>
      </c>
      <c r="B18" s="49" t="s">
        <v>444</v>
      </c>
      <c r="C18" s="49" t="s">
        <v>751</v>
      </c>
      <c r="D18" s="42" t="s">
        <v>752</v>
      </c>
      <c r="E18" s="49" t="s">
        <v>753</v>
      </c>
      <c r="F18" s="43" t="s">
        <v>754</v>
      </c>
      <c r="G18" s="49" t="s">
        <v>274</v>
      </c>
      <c r="H18" s="44" t="s">
        <v>755</v>
      </c>
      <c r="I18" s="49" t="s">
        <v>756</v>
      </c>
      <c r="J18" s="45" t="s">
        <v>757</v>
      </c>
      <c r="K18" s="49" t="s">
        <v>18</v>
      </c>
      <c r="L18" s="46" t="s">
        <v>758</v>
      </c>
    </row>
    <row r="19">
      <c r="A19" s="48" t="s">
        <v>603</v>
      </c>
      <c r="B19" s="49" t="s">
        <v>444</v>
      </c>
      <c r="C19" s="49" t="s">
        <v>759</v>
      </c>
      <c r="D19" s="42" t="s">
        <v>760</v>
      </c>
      <c r="E19" s="49" t="s">
        <v>606</v>
      </c>
      <c r="F19" s="43" t="s">
        <v>607</v>
      </c>
      <c r="G19" s="49" t="s">
        <v>761</v>
      </c>
      <c r="H19" s="44" t="s">
        <v>762</v>
      </c>
      <c r="I19" s="49" t="s">
        <v>763</v>
      </c>
      <c r="J19" s="45" t="s">
        <v>764</v>
      </c>
      <c r="K19" s="49" t="s">
        <v>18</v>
      </c>
      <c r="L19" s="46" t="s">
        <v>743</v>
      </c>
    </row>
    <row r="20">
      <c r="A20" s="48" t="s">
        <v>614</v>
      </c>
      <c r="B20" s="49" t="s">
        <v>444</v>
      </c>
      <c r="C20" s="49" t="s">
        <v>765</v>
      </c>
      <c r="D20" s="42" t="s">
        <v>766</v>
      </c>
      <c r="E20" s="49" t="s">
        <v>767</v>
      </c>
      <c r="F20" s="43" t="s">
        <v>768</v>
      </c>
      <c r="G20" s="49" t="s">
        <v>769</v>
      </c>
      <c r="H20" s="44" t="s">
        <v>770</v>
      </c>
      <c r="I20" s="49" t="s">
        <v>620</v>
      </c>
      <c r="J20" s="45" t="s">
        <v>771</v>
      </c>
      <c r="K20" s="49" t="s">
        <v>18</v>
      </c>
      <c r="L20" s="46" t="s">
        <v>772</v>
      </c>
    </row>
    <row r="21">
      <c r="A21" s="48" t="s">
        <v>623</v>
      </c>
      <c r="B21" s="49" t="s">
        <v>444</v>
      </c>
      <c r="C21" s="49" t="s">
        <v>773</v>
      </c>
      <c r="D21" s="42" t="s">
        <v>774</v>
      </c>
      <c r="E21" s="49">
        <v>22.429</v>
      </c>
      <c r="F21" s="43" t="s">
        <v>775</v>
      </c>
      <c r="G21" s="49" t="s">
        <v>776</v>
      </c>
      <c r="H21" s="44" t="s">
        <v>777</v>
      </c>
      <c r="I21" s="49" t="s">
        <v>778</v>
      </c>
      <c r="J21" s="45" t="s">
        <v>779</v>
      </c>
      <c r="K21" s="49" t="s">
        <v>780</v>
      </c>
      <c r="L21" s="46" t="s">
        <v>781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9" max="9" width="51.0"/>
  </cols>
  <sheetData>
    <row r="1">
      <c r="A1" s="50">
        <v>0.0</v>
      </c>
      <c r="B1" s="50" t="s">
        <v>433</v>
      </c>
      <c r="C1" s="35" t="s">
        <v>434</v>
      </c>
      <c r="D1" s="50" t="s">
        <v>435</v>
      </c>
      <c r="E1" s="36" t="s">
        <v>436</v>
      </c>
      <c r="F1" s="50" t="s">
        <v>437</v>
      </c>
      <c r="G1" s="37" t="s">
        <v>438</v>
      </c>
      <c r="H1" s="50" t="s">
        <v>439</v>
      </c>
      <c r="I1" s="38" t="s">
        <v>440</v>
      </c>
      <c r="J1" s="50" t="s">
        <v>441</v>
      </c>
      <c r="K1" s="39" t="s">
        <v>442</v>
      </c>
    </row>
    <row r="2">
      <c r="A2" s="50" t="s">
        <v>528</v>
      </c>
      <c r="B2" s="51" t="s">
        <v>782</v>
      </c>
      <c r="C2" s="42" t="s">
        <v>783</v>
      </c>
      <c r="D2" s="51" t="s">
        <v>703</v>
      </c>
      <c r="E2" s="43" t="s">
        <v>704</v>
      </c>
      <c r="F2" s="51" t="s">
        <v>533</v>
      </c>
      <c r="G2" s="44" t="s">
        <v>784</v>
      </c>
      <c r="H2" s="51" t="s">
        <v>785</v>
      </c>
      <c r="I2" s="45" t="s">
        <v>786</v>
      </c>
      <c r="J2" s="51" t="s">
        <v>128</v>
      </c>
      <c r="K2" s="46" t="s">
        <v>787</v>
      </c>
    </row>
    <row r="3">
      <c r="A3" s="50" t="s">
        <v>603</v>
      </c>
      <c r="B3" s="51" t="s">
        <v>788</v>
      </c>
      <c r="C3" s="42" t="s">
        <v>789</v>
      </c>
      <c r="D3" s="51" t="s">
        <v>790</v>
      </c>
      <c r="E3" s="43" t="s">
        <v>791</v>
      </c>
      <c r="F3" s="51" t="s">
        <v>792</v>
      </c>
      <c r="G3" s="44" t="s">
        <v>793</v>
      </c>
      <c r="H3" s="51" t="s">
        <v>794</v>
      </c>
      <c r="I3" s="45" t="s">
        <v>795</v>
      </c>
      <c r="J3" s="51" t="s">
        <v>18</v>
      </c>
      <c r="K3" s="46" t="s">
        <v>796</v>
      </c>
    </row>
    <row r="4">
      <c r="A4" s="50" t="s">
        <v>471</v>
      </c>
      <c r="B4" s="51" t="s">
        <v>797</v>
      </c>
      <c r="C4" s="42" t="s">
        <v>798</v>
      </c>
      <c r="D4" s="51" t="s">
        <v>799</v>
      </c>
      <c r="E4" s="43" t="s">
        <v>800</v>
      </c>
      <c r="F4" s="51" t="s">
        <v>801</v>
      </c>
      <c r="G4" s="44" t="s">
        <v>802</v>
      </c>
      <c r="H4" s="51" t="s">
        <v>660</v>
      </c>
      <c r="I4" s="45" t="s">
        <v>803</v>
      </c>
      <c r="J4" s="51" t="s">
        <v>18</v>
      </c>
      <c r="K4" s="46" t="s">
        <v>804</v>
      </c>
    </row>
    <row r="5">
      <c r="A5" s="50" t="s">
        <v>805</v>
      </c>
      <c r="B5" s="51" t="s">
        <v>806</v>
      </c>
      <c r="C5" s="42" t="s">
        <v>807</v>
      </c>
      <c r="D5" s="51" t="s">
        <v>808</v>
      </c>
      <c r="E5" s="43"/>
      <c r="F5" s="51" t="s">
        <v>809</v>
      </c>
      <c r="G5" s="44" t="s">
        <v>810</v>
      </c>
      <c r="H5" s="51" t="s">
        <v>811</v>
      </c>
      <c r="I5" s="45" t="s">
        <v>812</v>
      </c>
      <c r="J5" s="51" t="s">
        <v>18</v>
      </c>
      <c r="K5" s="46" t="s">
        <v>813</v>
      </c>
    </row>
    <row r="6">
      <c r="A6" s="50" t="s">
        <v>462</v>
      </c>
      <c r="B6" s="51" t="s">
        <v>814</v>
      </c>
      <c r="C6" s="42" t="s">
        <v>815</v>
      </c>
      <c r="D6" s="51" t="s">
        <v>465</v>
      </c>
      <c r="E6" s="43" t="s">
        <v>816</v>
      </c>
      <c r="F6" s="51" t="s">
        <v>300</v>
      </c>
      <c r="G6" s="44" t="s">
        <v>817</v>
      </c>
      <c r="H6" s="51" t="s">
        <v>653</v>
      </c>
      <c r="I6" s="45" t="s">
        <v>818</v>
      </c>
      <c r="J6" s="51" t="s">
        <v>819</v>
      </c>
      <c r="K6" s="46" t="s">
        <v>820</v>
      </c>
    </row>
    <row r="7">
      <c r="A7" s="50" t="s">
        <v>585</v>
      </c>
      <c r="B7" s="51" t="s">
        <v>821</v>
      </c>
      <c r="C7" s="42" t="s">
        <v>822</v>
      </c>
      <c r="D7" s="51" t="s">
        <v>347</v>
      </c>
      <c r="E7" s="43" t="s">
        <v>823</v>
      </c>
      <c r="F7" s="51" t="s">
        <v>824</v>
      </c>
      <c r="G7" s="44" t="s">
        <v>825</v>
      </c>
      <c r="H7" s="51" t="s">
        <v>826</v>
      </c>
      <c r="I7" s="45" t="s">
        <v>827</v>
      </c>
      <c r="J7" s="51" t="s">
        <v>38</v>
      </c>
      <c r="K7" s="46" t="s">
        <v>828</v>
      </c>
    </row>
    <row r="8">
      <c r="A8" s="50" t="s">
        <v>594</v>
      </c>
      <c r="B8" s="51" t="s">
        <v>595</v>
      </c>
      <c r="C8" s="42" t="s">
        <v>829</v>
      </c>
      <c r="D8" s="51" t="s">
        <v>830</v>
      </c>
      <c r="E8" s="43" t="s">
        <v>831</v>
      </c>
      <c r="F8" s="51" t="s">
        <v>274</v>
      </c>
      <c r="G8" s="44" t="s">
        <v>832</v>
      </c>
      <c r="H8" s="51" t="s">
        <v>833</v>
      </c>
      <c r="I8" s="45" t="s">
        <v>834</v>
      </c>
      <c r="J8" s="51" t="s">
        <v>18</v>
      </c>
      <c r="K8" s="46" t="s">
        <v>835</v>
      </c>
    </row>
    <row r="9">
      <c r="A9" s="50" t="s">
        <v>623</v>
      </c>
      <c r="B9" s="51" t="s">
        <v>836</v>
      </c>
      <c r="C9" s="42" t="s">
        <v>837</v>
      </c>
      <c r="D9" s="51" t="s">
        <v>838</v>
      </c>
      <c r="E9" s="43" t="s">
        <v>839</v>
      </c>
      <c r="F9" s="51" t="s">
        <v>840</v>
      </c>
      <c r="G9" s="44" t="s">
        <v>841</v>
      </c>
      <c r="H9" s="51" t="s">
        <v>842</v>
      </c>
      <c r="I9" s="45" t="s">
        <v>843</v>
      </c>
      <c r="J9" s="51" t="s">
        <v>844</v>
      </c>
      <c r="K9" s="46" t="s">
        <v>845</v>
      </c>
    </row>
    <row r="10">
      <c r="A10" s="50" t="s">
        <v>443</v>
      </c>
      <c r="B10" s="51" t="s">
        <v>846</v>
      </c>
      <c r="C10" s="42" t="s">
        <v>847</v>
      </c>
      <c r="D10" s="51" t="s">
        <v>848</v>
      </c>
      <c r="E10" s="43" t="s">
        <v>849</v>
      </c>
      <c r="F10" s="51" t="s">
        <v>149</v>
      </c>
      <c r="G10" s="44" t="s">
        <v>850</v>
      </c>
      <c r="H10" s="51" t="s">
        <v>851</v>
      </c>
      <c r="I10" s="45" t="s">
        <v>852</v>
      </c>
      <c r="J10" s="51" t="s">
        <v>18</v>
      </c>
      <c r="K10" s="46" t="s">
        <v>853</v>
      </c>
    </row>
    <row r="11">
      <c r="A11" s="50" t="s">
        <v>500</v>
      </c>
      <c r="B11" s="51" t="s">
        <v>854</v>
      </c>
      <c r="C11" s="42" t="s">
        <v>855</v>
      </c>
      <c r="D11" s="51" t="s">
        <v>503</v>
      </c>
      <c r="E11" s="43" t="s">
        <v>856</v>
      </c>
      <c r="F11" s="51" t="s">
        <v>857</v>
      </c>
      <c r="G11" s="44" t="s">
        <v>858</v>
      </c>
      <c r="H11" s="51" t="s">
        <v>859</v>
      </c>
      <c r="I11" s="45" t="s">
        <v>860</v>
      </c>
      <c r="J11" s="51" t="s">
        <v>18</v>
      </c>
      <c r="K11" s="46" t="s">
        <v>861</v>
      </c>
    </row>
    <row r="12">
      <c r="A12" s="50" t="s">
        <v>614</v>
      </c>
      <c r="B12" s="51" t="s">
        <v>765</v>
      </c>
      <c r="C12" s="42" t="s">
        <v>862</v>
      </c>
      <c r="D12" s="51" t="s">
        <v>767</v>
      </c>
      <c r="E12" s="43" t="s">
        <v>863</v>
      </c>
      <c r="F12" s="51" t="s">
        <v>864</v>
      </c>
      <c r="G12" s="44" t="s">
        <v>865</v>
      </c>
      <c r="H12" s="51" t="s">
        <v>866</v>
      </c>
      <c r="I12" s="45" t="s">
        <v>867</v>
      </c>
      <c r="J12" s="51" t="s">
        <v>18</v>
      </c>
      <c r="K12" s="46" t="s">
        <v>868</v>
      </c>
    </row>
    <row r="13">
      <c r="A13" s="50" t="s">
        <v>481</v>
      </c>
      <c r="B13" s="51" t="s">
        <v>869</v>
      </c>
      <c r="C13" s="42" t="s">
        <v>870</v>
      </c>
      <c r="D13" s="51" t="s">
        <v>484</v>
      </c>
      <c r="E13" s="43" t="s">
        <v>871</v>
      </c>
      <c r="F13" s="51" t="s">
        <v>872</v>
      </c>
      <c r="G13" s="44" t="s">
        <v>873</v>
      </c>
      <c r="H13" s="51" t="s">
        <v>874</v>
      </c>
      <c r="I13" s="45" t="s">
        <v>875</v>
      </c>
      <c r="J13" s="51" t="s">
        <v>18</v>
      </c>
      <c r="K13" s="46" t="s">
        <v>876</v>
      </c>
    </row>
    <row r="14">
      <c r="A14" s="50" t="s">
        <v>518</v>
      </c>
      <c r="B14" s="51" t="s">
        <v>877</v>
      </c>
      <c r="C14" s="42" t="s">
        <v>878</v>
      </c>
      <c r="D14" s="51" t="s">
        <v>879</v>
      </c>
      <c r="E14" s="43" t="s">
        <v>880</v>
      </c>
      <c r="F14" s="51" t="s">
        <v>696</v>
      </c>
      <c r="G14" s="44" t="s">
        <v>881</v>
      </c>
      <c r="H14" s="51" t="s">
        <v>882</v>
      </c>
      <c r="I14" s="45" t="s">
        <v>883</v>
      </c>
      <c r="J14" s="51" t="s">
        <v>18</v>
      </c>
      <c r="K14" s="46" t="s">
        <v>884</v>
      </c>
    </row>
    <row r="15">
      <c r="A15" s="50" t="s">
        <v>885</v>
      </c>
      <c r="B15" s="51" t="s">
        <v>886</v>
      </c>
      <c r="C15" s="42" t="s">
        <v>887</v>
      </c>
      <c r="D15" s="51">
        <v>3380.0</v>
      </c>
      <c r="E15" s="43" t="s">
        <v>888</v>
      </c>
      <c r="F15" s="51" t="s">
        <v>542</v>
      </c>
      <c r="G15" s="44" t="s">
        <v>889</v>
      </c>
      <c r="H15" s="51" t="s">
        <v>713</v>
      </c>
      <c r="I15" s="45" t="s">
        <v>890</v>
      </c>
      <c r="J15" s="51" t="s">
        <v>18</v>
      </c>
      <c r="K15" s="46" t="s">
        <v>891</v>
      </c>
    </row>
    <row r="16">
      <c r="A16" s="50" t="s">
        <v>568</v>
      </c>
      <c r="B16" s="51" t="s">
        <v>892</v>
      </c>
      <c r="C16" s="42" t="s">
        <v>893</v>
      </c>
      <c r="D16" s="51" t="s">
        <v>571</v>
      </c>
      <c r="E16" s="43" t="s">
        <v>894</v>
      </c>
      <c r="F16" s="51" t="s">
        <v>895</v>
      </c>
      <c r="G16" s="44" t="s">
        <v>896</v>
      </c>
      <c r="H16" s="51" t="s">
        <v>897</v>
      </c>
      <c r="I16" s="45" t="s">
        <v>898</v>
      </c>
      <c r="J16" s="51" t="s">
        <v>18</v>
      </c>
      <c r="K16" s="46" t="s">
        <v>899</v>
      </c>
    </row>
    <row r="17">
      <c r="A17" s="50" t="s">
        <v>670</v>
      </c>
      <c r="B17" s="51" t="s">
        <v>900</v>
      </c>
      <c r="C17" s="42" t="s">
        <v>901</v>
      </c>
      <c r="D17" s="51" t="s">
        <v>902</v>
      </c>
      <c r="E17" s="43" t="s">
        <v>903</v>
      </c>
      <c r="F17" s="51" t="s">
        <v>904</v>
      </c>
      <c r="G17" s="44" t="s">
        <v>905</v>
      </c>
      <c r="H17" s="51" t="s">
        <v>906</v>
      </c>
      <c r="I17" s="45" t="s">
        <v>907</v>
      </c>
      <c r="J17" s="51" t="s">
        <v>240</v>
      </c>
      <c r="K17" s="46" t="s">
        <v>908</v>
      </c>
    </row>
    <row r="18">
      <c r="A18" s="50" t="s">
        <v>557</v>
      </c>
      <c r="B18" s="51" t="s">
        <v>909</v>
      </c>
      <c r="C18" s="42" t="s">
        <v>910</v>
      </c>
      <c r="D18" s="51" t="s">
        <v>560</v>
      </c>
      <c r="E18" s="43" t="s">
        <v>911</v>
      </c>
      <c r="F18" s="51" t="s">
        <v>562</v>
      </c>
      <c r="G18" s="44" t="s">
        <v>912</v>
      </c>
      <c r="H18" s="51" t="s">
        <v>564</v>
      </c>
      <c r="I18" s="45" t="s">
        <v>913</v>
      </c>
      <c r="J18" s="51" t="s">
        <v>18</v>
      </c>
      <c r="K18" s="46" t="s">
        <v>914</v>
      </c>
    </row>
    <row r="19">
      <c r="A19" s="50" t="s">
        <v>577</v>
      </c>
      <c r="B19" s="51" t="s">
        <v>915</v>
      </c>
      <c r="C19" s="42" t="s">
        <v>916</v>
      </c>
      <c r="D19" s="51" t="s">
        <v>738</v>
      </c>
      <c r="E19" s="43" t="s">
        <v>917</v>
      </c>
      <c r="F19" s="51" t="s">
        <v>582</v>
      </c>
      <c r="G19" s="44" t="s">
        <v>918</v>
      </c>
      <c r="H19" s="51" t="s">
        <v>919</v>
      </c>
      <c r="I19" s="45" t="s">
        <v>920</v>
      </c>
      <c r="J19" s="51" t="s">
        <v>18</v>
      </c>
      <c r="K19" s="46" t="s">
        <v>921</v>
      </c>
    </row>
    <row r="20">
      <c r="A20" s="50" t="s">
        <v>508</v>
      </c>
      <c r="B20" s="51" t="s">
        <v>922</v>
      </c>
      <c r="C20" s="42" t="s">
        <v>923</v>
      </c>
      <c r="D20" s="51">
        <v>19.497</v>
      </c>
      <c r="E20" s="43" t="s">
        <v>924</v>
      </c>
      <c r="F20" s="51" t="s">
        <v>925</v>
      </c>
      <c r="G20" s="44" t="s">
        <v>926</v>
      </c>
      <c r="H20" s="51" t="s">
        <v>20</v>
      </c>
      <c r="I20" s="45" t="s">
        <v>927</v>
      </c>
      <c r="J20" s="51" t="s">
        <v>207</v>
      </c>
      <c r="K20" s="46" t="s">
        <v>928</v>
      </c>
    </row>
    <row r="21">
      <c r="A21" s="50" t="s">
        <v>547</v>
      </c>
      <c r="B21" s="51" t="s">
        <v>929</v>
      </c>
      <c r="C21" s="42" t="s">
        <v>930</v>
      </c>
      <c r="D21" s="51">
        <v>48.644</v>
      </c>
      <c r="E21" s="43" t="s">
        <v>931</v>
      </c>
      <c r="F21" s="51" t="s">
        <v>932</v>
      </c>
      <c r="G21" s="44" t="s">
        <v>933</v>
      </c>
      <c r="H21" s="51" t="s">
        <v>720</v>
      </c>
      <c r="I21" s="45"/>
      <c r="J21" s="51" t="s">
        <v>18</v>
      </c>
      <c r="K21" s="46" t="s">
        <v>934</v>
      </c>
    </row>
    <row r="22">
      <c r="I22" s="15">
        <v>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805</v>
      </c>
      <c r="B1" s="52" t="s">
        <v>935</v>
      </c>
      <c r="F1" s="53" t="s">
        <v>936</v>
      </c>
      <c r="J1" s="54" t="s">
        <v>937</v>
      </c>
      <c r="N1" s="55" t="s">
        <v>938</v>
      </c>
      <c r="R1" s="56" t="s">
        <v>939</v>
      </c>
    </row>
    <row r="2">
      <c r="B2" s="57" t="s">
        <v>412</v>
      </c>
      <c r="E2" s="58"/>
      <c r="F2" s="59" t="s">
        <v>940</v>
      </c>
      <c r="J2" s="57" t="s">
        <v>941</v>
      </c>
      <c r="M2" s="58"/>
      <c r="N2" s="57" t="s">
        <v>231</v>
      </c>
      <c r="Q2" s="58"/>
      <c r="R2" s="57" t="s">
        <v>942</v>
      </c>
      <c r="U2" s="58"/>
    </row>
    <row r="3">
      <c r="B3" s="60" t="s">
        <v>943</v>
      </c>
      <c r="C3" s="61" t="s">
        <v>944</v>
      </c>
      <c r="D3" s="61" t="s">
        <v>945</v>
      </c>
      <c r="E3" s="62"/>
      <c r="F3" s="60" t="s">
        <v>943</v>
      </c>
      <c r="G3" s="61" t="s">
        <v>944</v>
      </c>
      <c r="H3" s="61" t="s">
        <v>945</v>
      </c>
      <c r="I3" s="62"/>
      <c r="J3" s="60" t="s">
        <v>943</v>
      </c>
      <c r="K3" s="61" t="s">
        <v>944</v>
      </c>
      <c r="L3" s="61" t="s">
        <v>945</v>
      </c>
      <c r="M3" s="62"/>
      <c r="N3" s="60" t="s">
        <v>943</v>
      </c>
      <c r="O3" s="61" t="s">
        <v>944</v>
      </c>
      <c r="P3" s="61" t="s">
        <v>945</v>
      </c>
      <c r="Q3" s="62"/>
      <c r="R3" s="60" t="s">
        <v>943</v>
      </c>
      <c r="S3" s="61" t="s">
        <v>944</v>
      </c>
      <c r="T3" s="61" t="s">
        <v>945</v>
      </c>
      <c r="U3" s="62"/>
      <c r="V3" s="60" t="s">
        <v>943</v>
      </c>
      <c r="W3" s="61" t="s">
        <v>944</v>
      </c>
      <c r="X3" s="61" t="s">
        <v>945</v>
      </c>
    </row>
    <row r="4">
      <c r="A4" s="8" t="s">
        <v>946</v>
      </c>
      <c r="B4" s="63">
        <v>1.0</v>
      </c>
      <c r="C4" s="7">
        <v>1.0</v>
      </c>
      <c r="D4" s="7">
        <v>1.0</v>
      </c>
      <c r="E4" s="64"/>
      <c r="F4" s="63">
        <v>1.0</v>
      </c>
      <c r="G4" s="7">
        <v>1.0</v>
      </c>
      <c r="H4" s="7">
        <v>1.0</v>
      </c>
      <c r="I4" s="64"/>
      <c r="J4" s="63">
        <v>1.0</v>
      </c>
      <c r="K4" s="7">
        <v>1.0</v>
      </c>
      <c r="L4" s="7">
        <v>1.0</v>
      </c>
      <c r="M4" s="64"/>
      <c r="N4" s="63">
        <v>1.0</v>
      </c>
      <c r="O4" s="7">
        <v>0.0</v>
      </c>
      <c r="P4" s="7">
        <v>1.0</v>
      </c>
      <c r="Q4" s="64"/>
      <c r="R4" s="63">
        <v>1.0</v>
      </c>
      <c r="S4" s="7">
        <v>1.0</v>
      </c>
      <c r="T4" s="7">
        <v>1.0</v>
      </c>
      <c r="U4" s="64"/>
      <c r="V4" s="65">
        <f t="shared" ref="V4:X4" si="1">SUM(B4,F4,J4,N4,R4)</f>
        <v>5</v>
      </c>
      <c r="W4" s="65">
        <f t="shared" si="1"/>
        <v>4</v>
      </c>
      <c r="X4" s="65">
        <f t="shared" si="1"/>
        <v>5</v>
      </c>
      <c r="Z4" s="65">
        <f>'review 1 - annotator 2 - eval'!V4</f>
        <v>5</v>
      </c>
      <c r="AA4" s="65">
        <f>'review 1 - annotator 2 - eval'!W4</f>
        <v>5</v>
      </c>
      <c r="AB4" s="65">
        <f>'review 1 - annotator 2 - eval'!X4</f>
        <v>5</v>
      </c>
    </row>
    <row r="5">
      <c r="A5" s="8" t="s">
        <v>947</v>
      </c>
      <c r="B5" s="63">
        <v>1.0</v>
      </c>
      <c r="C5" s="7">
        <v>1.0</v>
      </c>
      <c r="D5" s="7">
        <v>1.0</v>
      </c>
      <c r="E5" s="64"/>
      <c r="F5" s="63">
        <v>1.0</v>
      </c>
      <c r="G5" s="7">
        <v>1.0</v>
      </c>
      <c r="H5" s="7">
        <v>1.0</v>
      </c>
      <c r="I5" s="64"/>
      <c r="J5" s="63">
        <v>1.0</v>
      </c>
      <c r="K5" s="7">
        <v>1.0</v>
      </c>
      <c r="L5" s="7">
        <v>1.0</v>
      </c>
      <c r="M5" s="64"/>
      <c r="N5" s="63">
        <v>1.0</v>
      </c>
      <c r="O5" s="7">
        <v>0.0</v>
      </c>
      <c r="P5" s="7">
        <v>1.0</v>
      </c>
      <c r="Q5" s="64"/>
      <c r="R5" s="63">
        <v>1.0</v>
      </c>
      <c r="S5" s="7">
        <v>1.0</v>
      </c>
      <c r="T5" s="7">
        <v>1.0</v>
      </c>
      <c r="U5" s="64"/>
      <c r="V5" s="65">
        <f t="shared" ref="V5:X5" si="2">SUM(B5,F5,J5,N5,R5)</f>
        <v>5</v>
      </c>
      <c r="W5" s="65">
        <f t="shared" si="2"/>
        <v>4</v>
      </c>
      <c r="X5" s="65">
        <f t="shared" si="2"/>
        <v>5</v>
      </c>
      <c r="Z5" s="65">
        <f>'review 1 - annotator 2 - eval'!V5</f>
        <v>5</v>
      </c>
      <c r="AA5" s="65">
        <f>'review 1 - annotator 2 - eval'!W5</f>
        <v>5</v>
      </c>
      <c r="AB5" s="65">
        <f>'review 1 - annotator 2 - eval'!X5</f>
        <v>5</v>
      </c>
    </row>
    <row r="6">
      <c r="A6" s="8" t="s">
        <v>948</v>
      </c>
      <c r="B6" s="63">
        <v>1.0</v>
      </c>
      <c r="C6" s="7">
        <v>1.0</v>
      </c>
      <c r="D6" s="7">
        <v>1.0</v>
      </c>
      <c r="E6" s="64"/>
      <c r="F6" s="63">
        <v>0.0</v>
      </c>
      <c r="G6" s="7">
        <v>1.0</v>
      </c>
      <c r="H6" s="7">
        <v>1.0</v>
      </c>
      <c r="I6" s="64"/>
      <c r="J6" s="63">
        <v>1.0</v>
      </c>
      <c r="K6" s="7">
        <v>1.0</v>
      </c>
      <c r="L6" s="7">
        <v>1.0</v>
      </c>
      <c r="M6" s="64"/>
      <c r="N6" s="63">
        <v>0.0</v>
      </c>
      <c r="O6" s="7">
        <v>0.0</v>
      </c>
      <c r="P6" s="7">
        <v>1.0</v>
      </c>
      <c r="Q6" s="64"/>
      <c r="R6" s="63">
        <v>1.0</v>
      </c>
      <c r="S6" s="7">
        <v>1.0</v>
      </c>
      <c r="T6" s="7">
        <v>1.0</v>
      </c>
      <c r="U6" s="64"/>
      <c r="V6" s="65">
        <f t="shared" ref="V6:X6" si="3">SUM(B6,F6,J6,N6,R6)</f>
        <v>3</v>
      </c>
      <c r="W6" s="65">
        <f t="shared" si="3"/>
        <v>4</v>
      </c>
      <c r="X6" s="65">
        <f t="shared" si="3"/>
        <v>5</v>
      </c>
      <c r="Z6" s="65">
        <f>'review 1 - annotator 2 - eval'!V6</f>
        <v>3</v>
      </c>
      <c r="AA6" s="65">
        <f>'review 1 - annotator 2 - eval'!W6</f>
        <v>3</v>
      </c>
      <c r="AB6" s="65">
        <f>'review 1 - annotator 2 - eval'!X6</f>
        <v>5</v>
      </c>
    </row>
    <row r="7">
      <c r="A7" s="8" t="s">
        <v>949</v>
      </c>
      <c r="B7" s="63">
        <v>1.0</v>
      </c>
      <c r="C7" s="7">
        <v>1.0</v>
      </c>
      <c r="D7" s="7">
        <v>1.0</v>
      </c>
      <c r="E7" s="64"/>
      <c r="F7" s="63">
        <v>1.0</v>
      </c>
      <c r="G7" s="7">
        <v>1.0</v>
      </c>
      <c r="H7" s="7">
        <v>1.0</v>
      </c>
      <c r="I7" s="64"/>
      <c r="J7" s="63">
        <v>1.0</v>
      </c>
      <c r="K7" s="7">
        <v>1.0</v>
      </c>
      <c r="L7" s="7">
        <v>1.0</v>
      </c>
      <c r="M7" s="64"/>
      <c r="N7" s="63">
        <v>1.0</v>
      </c>
      <c r="O7" s="7">
        <v>0.0</v>
      </c>
      <c r="P7" s="7">
        <v>1.0</v>
      </c>
      <c r="Q7" s="64"/>
      <c r="R7" s="63">
        <v>1.0</v>
      </c>
      <c r="S7" s="7">
        <v>1.0</v>
      </c>
      <c r="T7" s="7">
        <v>1.0</v>
      </c>
      <c r="U7" s="64"/>
      <c r="V7" s="65">
        <f t="shared" ref="V7:X7" si="4">SUM(B7,F7,J7,N7,R7)</f>
        <v>5</v>
      </c>
      <c r="W7" s="65">
        <f t="shared" si="4"/>
        <v>4</v>
      </c>
      <c r="X7" s="65">
        <f t="shared" si="4"/>
        <v>5</v>
      </c>
      <c r="Z7" s="65">
        <f>'review 1 - annotator 2 - eval'!V7</f>
        <v>5</v>
      </c>
      <c r="AA7" s="65">
        <f>'review 1 - annotator 2 - eval'!W7</f>
        <v>5</v>
      </c>
      <c r="AB7" s="65">
        <f>'review 1 - annotator 2 - eval'!X7</f>
        <v>5</v>
      </c>
    </row>
    <row r="8">
      <c r="A8" s="8" t="s">
        <v>950</v>
      </c>
      <c r="B8" s="63">
        <v>1.0</v>
      </c>
      <c r="C8" s="7">
        <v>0.0</v>
      </c>
      <c r="D8" s="7">
        <v>1.0</v>
      </c>
      <c r="E8" s="64"/>
      <c r="F8" s="63">
        <v>0.0</v>
      </c>
      <c r="G8" s="7">
        <v>1.0</v>
      </c>
      <c r="H8" s="7">
        <v>1.0</v>
      </c>
      <c r="I8" s="64"/>
      <c r="J8" s="63">
        <v>1.0</v>
      </c>
      <c r="K8" s="7">
        <v>1.0</v>
      </c>
      <c r="L8" s="7">
        <v>1.0</v>
      </c>
      <c r="M8" s="64"/>
      <c r="N8" s="63">
        <v>1.0</v>
      </c>
      <c r="O8" s="7">
        <v>0.0</v>
      </c>
      <c r="P8" s="7">
        <v>1.0</v>
      </c>
      <c r="Q8" s="64"/>
      <c r="R8" s="63">
        <v>1.0</v>
      </c>
      <c r="S8" s="7">
        <v>1.0</v>
      </c>
      <c r="T8" s="7">
        <v>1.0</v>
      </c>
      <c r="U8" s="64"/>
      <c r="V8" s="65">
        <f t="shared" ref="V8:X8" si="5">SUM(B8,F8,J8,N8,R8)</f>
        <v>4</v>
      </c>
      <c r="W8" s="65">
        <f t="shared" si="5"/>
        <v>3</v>
      </c>
      <c r="X8" s="65">
        <f t="shared" si="5"/>
        <v>5</v>
      </c>
      <c r="Z8" s="65">
        <f>'review 1 - annotator 2 - eval'!V8</f>
        <v>4</v>
      </c>
      <c r="AA8" s="65">
        <f>'review 1 - annotator 2 - eval'!W8</f>
        <v>5</v>
      </c>
      <c r="AB8" s="65">
        <f>'review 1 - annotator 2 - eval'!X8</f>
        <v>5</v>
      </c>
    </row>
    <row r="9">
      <c r="A9" s="8" t="s">
        <v>951</v>
      </c>
      <c r="B9" s="63">
        <v>1.0</v>
      </c>
      <c r="C9" s="7">
        <v>1.0</v>
      </c>
      <c r="D9" s="7">
        <v>1.0</v>
      </c>
      <c r="E9" s="64"/>
      <c r="F9" s="63">
        <v>1.0</v>
      </c>
      <c r="G9" s="7">
        <v>1.0</v>
      </c>
      <c r="H9" s="7">
        <v>1.0</v>
      </c>
      <c r="I9" s="64"/>
      <c r="J9" s="63">
        <v>1.0</v>
      </c>
      <c r="K9" s="7">
        <v>1.0</v>
      </c>
      <c r="L9" s="7">
        <v>1.0</v>
      </c>
      <c r="M9" s="64"/>
      <c r="N9" s="63">
        <v>1.0</v>
      </c>
      <c r="O9" s="7">
        <v>0.0</v>
      </c>
      <c r="P9" s="7">
        <v>1.0</v>
      </c>
      <c r="Q9" s="64"/>
      <c r="R9" s="63">
        <v>1.0</v>
      </c>
      <c r="S9" s="7">
        <v>1.0</v>
      </c>
      <c r="T9" s="7">
        <v>1.0</v>
      </c>
      <c r="U9" s="64"/>
      <c r="V9" s="65">
        <f t="shared" ref="V9:X9" si="6">SUM(B9,F9,J9,N9,R9)</f>
        <v>5</v>
      </c>
      <c r="W9" s="65">
        <f t="shared" si="6"/>
        <v>4</v>
      </c>
      <c r="X9" s="65">
        <f t="shared" si="6"/>
        <v>5</v>
      </c>
      <c r="Z9" s="65">
        <f>'review 1 - annotator 2 - eval'!V9</f>
        <v>5</v>
      </c>
      <c r="AA9" s="65">
        <f>'review 1 - annotator 2 - eval'!W9</f>
        <v>5</v>
      </c>
      <c r="AB9" s="65">
        <f>'review 1 - annotator 2 - eval'!X9</f>
        <v>5</v>
      </c>
    </row>
    <row r="10">
      <c r="A10" s="8" t="s">
        <v>952</v>
      </c>
      <c r="B10" s="66">
        <v>1.0</v>
      </c>
      <c r="C10" s="67">
        <v>1.0</v>
      </c>
      <c r="D10" s="67">
        <v>1.0</v>
      </c>
      <c r="E10" s="68"/>
      <c r="F10" s="66">
        <v>1.0</v>
      </c>
      <c r="G10" s="67">
        <v>1.0</v>
      </c>
      <c r="H10" s="67">
        <v>1.0</v>
      </c>
      <c r="I10" s="68"/>
      <c r="J10" s="66">
        <v>1.0</v>
      </c>
      <c r="K10" s="67">
        <v>1.0</v>
      </c>
      <c r="L10" s="67">
        <v>1.0</v>
      </c>
      <c r="M10" s="68"/>
      <c r="N10" s="66">
        <v>1.0</v>
      </c>
      <c r="O10" s="67">
        <v>0.0</v>
      </c>
      <c r="P10" s="67">
        <v>1.0</v>
      </c>
      <c r="Q10" s="68"/>
      <c r="R10" s="66">
        <v>1.0</v>
      </c>
      <c r="S10" s="67">
        <v>1.0</v>
      </c>
      <c r="T10" s="67">
        <v>1.0</v>
      </c>
      <c r="U10" s="68"/>
      <c r="V10" s="65">
        <f t="shared" ref="V10:X10" si="7">SUM(B10,F10,J10,N10,R10)</f>
        <v>5</v>
      </c>
      <c r="W10" s="65">
        <f t="shared" si="7"/>
        <v>4</v>
      </c>
      <c r="X10" s="65">
        <f t="shared" si="7"/>
        <v>5</v>
      </c>
      <c r="Z10" s="65">
        <f>'review 1 - annotator 2 - eval'!V10</f>
        <v>5</v>
      </c>
      <c r="AA10" s="65">
        <f>'review 1 - annotator 2 - eval'!W10</f>
        <v>5</v>
      </c>
      <c r="AB10" s="65">
        <f>'review 1 - annotator 2 - eval'!X10</f>
        <v>5</v>
      </c>
    </row>
    <row r="11">
      <c r="A11" s="26" t="s">
        <v>443</v>
      </c>
      <c r="B11" s="52" t="s">
        <v>935</v>
      </c>
      <c r="F11" s="53" t="s">
        <v>936</v>
      </c>
      <c r="J11" s="54" t="s">
        <v>937</v>
      </c>
      <c r="N11" s="55" t="s">
        <v>938</v>
      </c>
      <c r="R11" s="56" t="s">
        <v>939</v>
      </c>
      <c r="Z11" s="65" t="str">
        <f>'review 1 - annotator 2 - eval'!V11</f>
        <v/>
      </c>
      <c r="AA11" s="65" t="str">
        <f>'review 1 - annotator 2 - eval'!W11</f>
        <v/>
      </c>
      <c r="AB11" s="65" t="str">
        <f>'review 1 - annotator 2 - eval'!X11</f>
        <v/>
      </c>
    </row>
    <row r="12">
      <c r="B12" s="57" t="s">
        <v>58</v>
      </c>
      <c r="E12" s="58"/>
      <c r="F12" s="57" t="s">
        <v>59</v>
      </c>
      <c r="I12" s="58"/>
      <c r="J12" s="57" t="s">
        <v>18</v>
      </c>
      <c r="M12" s="58"/>
      <c r="N12" s="57" t="s">
        <v>60</v>
      </c>
      <c r="Q12" s="58"/>
      <c r="R12" s="57" t="s">
        <v>61</v>
      </c>
      <c r="U12" s="58"/>
      <c r="Z12" s="65" t="str">
        <f>'review 1 - annotator 2 - eval'!V12</f>
        <v/>
      </c>
      <c r="AA12" s="65" t="str">
        <f>'review 1 - annotator 2 - eval'!W12</f>
        <v/>
      </c>
      <c r="AB12" s="65" t="str">
        <f>'review 1 - annotator 2 - eval'!X12</f>
        <v/>
      </c>
    </row>
    <row r="13">
      <c r="B13" s="60" t="s">
        <v>943</v>
      </c>
      <c r="C13" s="61" t="s">
        <v>944</v>
      </c>
      <c r="D13" s="61" t="s">
        <v>945</v>
      </c>
      <c r="E13" s="62"/>
      <c r="F13" s="60" t="s">
        <v>943</v>
      </c>
      <c r="G13" s="61" t="s">
        <v>944</v>
      </c>
      <c r="H13" s="61" t="s">
        <v>945</v>
      </c>
      <c r="I13" s="62"/>
      <c r="J13" s="60" t="s">
        <v>943</v>
      </c>
      <c r="K13" s="61" t="s">
        <v>944</v>
      </c>
      <c r="L13" s="61" t="s">
        <v>945</v>
      </c>
      <c r="M13" s="62"/>
      <c r="N13" s="60" t="s">
        <v>943</v>
      </c>
      <c r="O13" s="61" t="s">
        <v>944</v>
      </c>
      <c r="P13" s="61" t="s">
        <v>945</v>
      </c>
      <c r="Q13" s="62"/>
      <c r="R13" s="60" t="s">
        <v>943</v>
      </c>
      <c r="S13" s="61" t="s">
        <v>944</v>
      </c>
      <c r="T13" s="61" t="s">
        <v>945</v>
      </c>
      <c r="U13" s="62"/>
      <c r="Z13" s="65" t="str">
        <f>'review 1 - annotator 2 - eval'!V13</f>
        <v/>
      </c>
      <c r="AA13" s="65" t="str">
        <f>'review 1 - annotator 2 - eval'!W13</f>
        <v/>
      </c>
      <c r="AB13" s="65" t="str">
        <f>'review 1 - annotator 2 - eval'!X13</f>
        <v/>
      </c>
    </row>
    <row r="14">
      <c r="A14" s="8" t="s">
        <v>946</v>
      </c>
      <c r="B14" s="63">
        <v>1.0</v>
      </c>
      <c r="C14" s="7">
        <v>1.0</v>
      </c>
      <c r="D14" s="7">
        <v>1.0</v>
      </c>
      <c r="E14" s="64"/>
      <c r="F14" s="63">
        <v>1.0</v>
      </c>
      <c r="G14" s="7">
        <v>1.0</v>
      </c>
      <c r="H14" s="7">
        <v>1.0</v>
      </c>
      <c r="I14" s="64"/>
      <c r="J14" s="63">
        <v>1.0</v>
      </c>
      <c r="K14" s="7">
        <v>1.0</v>
      </c>
      <c r="L14" s="7">
        <v>1.0</v>
      </c>
      <c r="M14" s="64"/>
      <c r="N14" s="63">
        <v>1.0</v>
      </c>
      <c r="O14" s="7">
        <v>0.0</v>
      </c>
      <c r="P14" s="7">
        <v>1.0</v>
      </c>
      <c r="Q14" s="64"/>
      <c r="R14" s="63">
        <v>1.0</v>
      </c>
      <c r="S14" s="7">
        <v>1.0</v>
      </c>
      <c r="T14" s="7">
        <v>1.0</v>
      </c>
      <c r="U14" s="64"/>
      <c r="V14" s="65">
        <f t="shared" ref="V14:X14" si="8">SUM(B14,F14,J14,N14,R14)</f>
        <v>5</v>
      </c>
      <c r="W14" s="65">
        <f t="shared" si="8"/>
        <v>4</v>
      </c>
      <c r="X14" s="65">
        <f t="shared" si="8"/>
        <v>5</v>
      </c>
      <c r="Z14" s="65">
        <f>'review 1 - annotator 2 - eval'!V14</f>
        <v>5</v>
      </c>
      <c r="AA14" s="65">
        <f>'review 1 - annotator 2 - eval'!W14</f>
        <v>4</v>
      </c>
      <c r="AB14" s="65">
        <f>'review 1 - annotator 2 - eval'!X14</f>
        <v>5</v>
      </c>
    </row>
    <row r="15">
      <c r="A15" s="8" t="s">
        <v>947</v>
      </c>
      <c r="B15" s="63">
        <v>1.0</v>
      </c>
      <c r="C15" s="7">
        <v>1.0</v>
      </c>
      <c r="D15" s="7">
        <v>1.0</v>
      </c>
      <c r="E15" s="64"/>
      <c r="F15" s="63">
        <v>1.0</v>
      </c>
      <c r="G15" s="7">
        <v>1.0</v>
      </c>
      <c r="H15" s="7">
        <v>1.0</v>
      </c>
      <c r="I15" s="64"/>
      <c r="J15" s="63">
        <v>1.0</v>
      </c>
      <c r="K15" s="7">
        <v>1.0</v>
      </c>
      <c r="L15" s="7">
        <v>1.0</v>
      </c>
      <c r="M15" s="64"/>
      <c r="N15" s="63">
        <v>1.0</v>
      </c>
      <c r="O15" s="7">
        <v>0.0</v>
      </c>
      <c r="P15" s="7">
        <v>1.0</v>
      </c>
      <c r="Q15" s="64"/>
      <c r="R15" s="63">
        <v>1.0</v>
      </c>
      <c r="S15" s="7">
        <v>1.0</v>
      </c>
      <c r="T15" s="7">
        <v>1.0</v>
      </c>
      <c r="U15" s="64"/>
      <c r="V15" s="65">
        <f t="shared" ref="V15:X15" si="9">SUM(B15,F15,J15,N15,R15)</f>
        <v>5</v>
      </c>
      <c r="W15" s="65">
        <f t="shared" si="9"/>
        <v>4</v>
      </c>
      <c r="X15" s="65">
        <f t="shared" si="9"/>
        <v>5</v>
      </c>
      <c r="Z15" s="65">
        <f>'review 1 - annotator 2 - eval'!V15</f>
        <v>5</v>
      </c>
      <c r="AA15" s="65">
        <f>'review 1 - annotator 2 - eval'!W15</f>
        <v>5</v>
      </c>
      <c r="AB15" s="65">
        <f>'review 1 - annotator 2 - eval'!X15</f>
        <v>5</v>
      </c>
    </row>
    <row r="16">
      <c r="A16" s="8" t="s">
        <v>948</v>
      </c>
      <c r="B16" s="63">
        <v>1.0</v>
      </c>
      <c r="C16" s="7">
        <v>1.0</v>
      </c>
      <c r="D16" s="7">
        <v>1.0</v>
      </c>
      <c r="E16" s="64"/>
      <c r="F16" s="63">
        <v>1.0</v>
      </c>
      <c r="G16" s="7">
        <v>1.0</v>
      </c>
      <c r="H16" s="7">
        <v>1.0</v>
      </c>
      <c r="I16" s="64"/>
      <c r="J16" s="63">
        <v>1.0</v>
      </c>
      <c r="K16" s="7">
        <v>1.0</v>
      </c>
      <c r="L16" s="7">
        <v>1.0</v>
      </c>
      <c r="M16" s="64"/>
      <c r="N16" s="63">
        <v>1.0</v>
      </c>
      <c r="O16" s="7">
        <v>0.0</v>
      </c>
      <c r="P16" s="7">
        <v>1.0</v>
      </c>
      <c r="Q16" s="64"/>
      <c r="R16" s="63">
        <v>1.0</v>
      </c>
      <c r="S16" s="7">
        <v>1.0</v>
      </c>
      <c r="T16" s="7">
        <v>1.0</v>
      </c>
      <c r="U16" s="64"/>
      <c r="V16" s="65">
        <f t="shared" ref="V16:X16" si="10">SUM(B16,F16,J16,N16,R16)</f>
        <v>5</v>
      </c>
      <c r="W16" s="65">
        <f t="shared" si="10"/>
        <v>4</v>
      </c>
      <c r="X16" s="65">
        <f t="shared" si="10"/>
        <v>5</v>
      </c>
      <c r="Z16" s="65">
        <f>'review 1 - annotator 2 - eval'!V16</f>
        <v>5</v>
      </c>
      <c r="AA16" s="65">
        <f>'review 1 - annotator 2 - eval'!W16</f>
        <v>4</v>
      </c>
      <c r="AB16" s="65">
        <f>'review 1 - annotator 2 - eval'!X16</f>
        <v>5</v>
      </c>
    </row>
    <row r="17">
      <c r="A17" s="8" t="s">
        <v>949</v>
      </c>
      <c r="B17" s="63">
        <v>1.0</v>
      </c>
      <c r="C17" s="7">
        <v>1.0</v>
      </c>
      <c r="D17" s="7">
        <v>1.0</v>
      </c>
      <c r="E17" s="64"/>
      <c r="F17" s="63">
        <v>1.0</v>
      </c>
      <c r="G17" s="7">
        <v>1.0</v>
      </c>
      <c r="H17" s="7">
        <v>1.0</v>
      </c>
      <c r="I17" s="64"/>
      <c r="J17" s="63">
        <v>1.0</v>
      </c>
      <c r="K17" s="7">
        <v>1.0</v>
      </c>
      <c r="L17" s="7">
        <v>1.0</v>
      </c>
      <c r="M17" s="64"/>
      <c r="N17" s="63">
        <v>1.0</v>
      </c>
      <c r="O17" s="7">
        <v>0.0</v>
      </c>
      <c r="P17" s="7">
        <v>1.0</v>
      </c>
      <c r="Q17" s="64"/>
      <c r="R17" s="63">
        <v>1.0</v>
      </c>
      <c r="S17" s="7">
        <v>1.0</v>
      </c>
      <c r="T17" s="7">
        <v>1.0</v>
      </c>
      <c r="U17" s="64"/>
      <c r="V17" s="65">
        <f t="shared" ref="V17:X17" si="11">SUM(B17,F17,J17,N17,R17)</f>
        <v>5</v>
      </c>
      <c r="W17" s="65">
        <f t="shared" si="11"/>
        <v>4</v>
      </c>
      <c r="X17" s="65">
        <f t="shared" si="11"/>
        <v>5</v>
      </c>
      <c r="Z17" s="65">
        <f>'review 1 - annotator 2 - eval'!V17</f>
        <v>5</v>
      </c>
      <c r="AA17" s="65">
        <f>'review 1 - annotator 2 - eval'!W17</f>
        <v>5</v>
      </c>
      <c r="AB17" s="65">
        <f>'review 1 - annotator 2 - eval'!X17</f>
        <v>5</v>
      </c>
    </row>
    <row r="18">
      <c r="A18" s="8" t="s">
        <v>950</v>
      </c>
      <c r="B18" s="63">
        <v>1.0</v>
      </c>
      <c r="C18" s="7">
        <v>1.0</v>
      </c>
      <c r="D18" s="7">
        <v>1.0</v>
      </c>
      <c r="E18" s="64"/>
      <c r="F18" s="63">
        <v>0.0</v>
      </c>
      <c r="G18" s="7">
        <v>0.0</v>
      </c>
      <c r="H18" s="7">
        <v>1.0</v>
      </c>
      <c r="I18" s="64"/>
      <c r="J18" s="63">
        <v>1.0</v>
      </c>
      <c r="K18" s="7">
        <v>1.0</v>
      </c>
      <c r="L18" s="7">
        <v>1.0</v>
      </c>
      <c r="M18" s="64"/>
      <c r="N18" s="63">
        <v>1.0</v>
      </c>
      <c r="O18" s="7">
        <v>0.0</v>
      </c>
      <c r="P18" s="7">
        <v>1.0</v>
      </c>
      <c r="Q18" s="64"/>
      <c r="R18" s="63">
        <v>1.0</v>
      </c>
      <c r="S18" s="7">
        <v>1.0</v>
      </c>
      <c r="T18" s="7">
        <v>1.0</v>
      </c>
      <c r="U18" s="64"/>
      <c r="V18" s="65">
        <f t="shared" ref="V18:X18" si="12">SUM(B18,F18,J18,N18,R18)</f>
        <v>4</v>
      </c>
      <c r="W18" s="65">
        <f t="shared" si="12"/>
        <v>3</v>
      </c>
      <c r="X18" s="65">
        <f t="shared" si="12"/>
        <v>5</v>
      </c>
      <c r="Z18" s="65">
        <f>'review 1 - annotator 2 - eval'!V18</f>
        <v>4</v>
      </c>
      <c r="AA18" s="65">
        <f>'review 1 - annotator 2 - eval'!W18</f>
        <v>5</v>
      </c>
      <c r="AB18" s="65">
        <f>'review 1 - annotator 2 - eval'!X18</f>
        <v>5</v>
      </c>
    </row>
    <row r="19">
      <c r="A19" s="8" t="s">
        <v>951</v>
      </c>
      <c r="B19" s="63">
        <v>1.0</v>
      </c>
      <c r="C19" s="7">
        <v>1.0</v>
      </c>
      <c r="D19" s="7">
        <v>1.0</v>
      </c>
      <c r="E19" s="64"/>
      <c r="F19" s="63">
        <v>1.0</v>
      </c>
      <c r="G19" s="7">
        <v>1.0</v>
      </c>
      <c r="H19" s="7">
        <v>1.0</v>
      </c>
      <c r="I19" s="64"/>
      <c r="J19" s="63">
        <v>1.0</v>
      </c>
      <c r="K19" s="7">
        <v>1.0</v>
      </c>
      <c r="L19" s="7">
        <v>1.0</v>
      </c>
      <c r="M19" s="64"/>
      <c r="N19" s="63">
        <v>1.0</v>
      </c>
      <c r="O19" s="7">
        <v>0.0</v>
      </c>
      <c r="P19" s="7">
        <v>1.0</v>
      </c>
      <c r="Q19" s="64"/>
      <c r="R19" s="63">
        <v>1.0</v>
      </c>
      <c r="S19" s="7">
        <v>1.0</v>
      </c>
      <c r="T19" s="7">
        <v>1.0</v>
      </c>
      <c r="U19" s="64"/>
      <c r="V19" s="65">
        <f t="shared" ref="V19:X19" si="13">SUM(B19,F19,J19,N19,R19)</f>
        <v>5</v>
      </c>
      <c r="W19" s="65">
        <f t="shared" si="13"/>
        <v>4</v>
      </c>
      <c r="X19" s="65">
        <f t="shared" si="13"/>
        <v>5</v>
      </c>
      <c r="Z19" s="65">
        <f>'review 1 - annotator 2 - eval'!V19</f>
        <v>5</v>
      </c>
      <c r="AA19" s="65">
        <f>'review 1 - annotator 2 - eval'!W19</f>
        <v>5</v>
      </c>
      <c r="AB19" s="65">
        <f>'review 1 - annotator 2 - eval'!X19</f>
        <v>5</v>
      </c>
    </row>
    <row r="20">
      <c r="A20" s="8" t="s">
        <v>952</v>
      </c>
      <c r="B20" s="66">
        <v>1.0</v>
      </c>
      <c r="C20" s="67">
        <v>1.0</v>
      </c>
      <c r="D20" s="67">
        <v>1.0</v>
      </c>
      <c r="E20" s="68"/>
      <c r="F20" s="66">
        <v>1.0</v>
      </c>
      <c r="G20" s="67">
        <v>1.0</v>
      </c>
      <c r="H20" s="67">
        <v>1.0</v>
      </c>
      <c r="I20" s="68"/>
      <c r="J20" s="66">
        <v>1.0</v>
      </c>
      <c r="K20" s="67">
        <v>1.0</v>
      </c>
      <c r="L20" s="67">
        <v>1.0</v>
      </c>
      <c r="M20" s="68"/>
      <c r="N20" s="66">
        <v>1.0</v>
      </c>
      <c r="O20" s="67">
        <v>0.0</v>
      </c>
      <c r="P20" s="67">
        <v>1.0</v>
      </c>
      <c r="Q20" s="68"/>
      <c r="R20" s="66">
        <v>1.0</v>
      </c>
      <c r="S20" s="67">
        <v>1.0</v>
      </c>
      <c r="T20" s="67">
        <v>1.0</v>
      </c>
      <c r="U20" s="68"/>
      <c r="V20" s="65">
        <f t="shared" ref="V20:X20" si="14">SUM(B20,F20,J20,N20,R20)</f>
        <v>5</v>
      </c>
      <c r="W20" s="65">
        <f t="shared" si="14"/>
        <v>4</v>
      </c>
      <c r="X20" s="65">
        <f t="shared" si="14"/>
        <v>5</v>
      </c>
      <c r="Z20" s="65">
        <f>'review 1 - annotator 2 - eval'!V20</f>
        <v>5</v>
      </c>
      <c r="AA20" s="65">
        <f>'review 1 - annotator 2 - eval'!W20</f>
        <v>5</v>
      </c>
      <c r="AB20" s="65">
        <f>'review 1 - annotator 2 - eval'!X20</f>
        <v>5</v>
      </c>
    </row>
    <row r="21">
      <c r="A21" s="26" t="s">
        <v>462</v>
      </c>
      <c r="B21" s="52" t="s">
        <v>935</v>
      </c>
      <c r="F21" s="53" t="s">
        <v>936</v>
      </c>
      <c r="J21" s="54" t="s">
        <v>937</v>
      </c>
      <c r="N21" s="55" t="s">
        <v>938</v>
      </c>
      <c r="R21" s="56" t="s">
        <v>939</v>
      </c>
      <c r="Z21" s="65" t="str">
        <f>'review 1 - annotator 2 - eval'!V21</f>
        <v/>
      </c>
      <c r="AA21" s="65" t="str">
        <f>'review 1 - annotator 2 - eval'!W21</f>
        <v/>
      </c>
      <c r="AB21" s="65" t="str">
        <f>'review 1 - annotator 2 - eval'!X21</f>
        <v/>
      </c>
    </row>
    <row r="22">
      <c r="B22" s="57" t="s">
        <v>149</v>
      </c>
      <c r="E22" s="58"/>
      <c r="F22" s="69" t="s">
        <v>150</v>
      </c>
      <c r="I22" s="58"/>
      <c r="J22" s="57" t="s">
        <v>18</v>
      </c>
      <c r="M22" s="58"/>
      <c r="N22" s="57" t="s">
        <v>152</v>
      </c>
      <c r="Q22" s="58"/>
      <c r="R22" s="57" t="s">
        <v>953</v>
      </c>
      <c r="U22" s="58"/>
      <c r="Z22" s="65" t="str">
        <f>'review 1 - annotator 2 - eval'!V22</f>
        <v/>
      </c>
      <c r="AA22" s="65" t="str">
        <f>'review 1 - annotator 2 - eval'!W22</f>
        <v/>
      </c>
      <c r="AB22" s="65" t="str">
        <f>'review 1 - annotator 2 - eval'!X22</f>
        <v/>
      </c>
    </row>
    <row r="23">
      <c r="B23" s="60" t="s">
        <v>943</v>
      </c>
      <c r="C23" s="61" t="s">
        <v>944</v>
      </c>
      <c r="D23" s="61" t="s">
        <v>945</v>
      </c>
      <c r="E23" s="62"/>
      <c r="F23" s="60" t="s">
        <v>943</v>
      </c>
      <c r="G23" s="61" t="s">
        <v>944</v>
      </c>
      <c r="H23" s="61" t="s">
        <v>945</v>
      </c>
      <c r="I23" s="62"/>
      <c r="J23" s="60" t="s">
        <v>943</v>
      </c>
      <c r="K23" s="61" t="s">
        <v>944</v>
      </c>
      <c r="L23" s="61" t="s">
        <v>945</v>
      </c>
      <c r="M23" s="62"/>
      <c r="N23" s="60" t="s">
        <v>943</v>
      </c>
      <c r="O23" s="61" t="s">
        <v>944</v>
      </c>
      <c r="P23" s="61" t="s">
        <v>945</v>
      </c>
      <c r="Q23" s="62"/>
      <c r="R23" s="60" t="s">
        <v>943</v>
      </c>
      <c r="S23" s="61" t="s">
        <v>944</v>
      </c>
      <c r="T23" s="61" t="s">
        <v>945</v>
      </c>
      <c r="U23" s="62"/>
      <c r="Z23" s="65" t="str">
        <f>'review 1 - annotator 2 - eval'!V23</f>
        <v/>
      </c>
      <c r="AA23" s="65" t="str">
        <f>'review 1 - annotator 2 - eval'!W23</f>
        <v/>
      </c>
      <c r="AB23" s="65" t="str">
        <f>'review 1 - annotator 2 - eval'!X23</f>
        <v/>
      </c>
    </row>
    <row r="24">
      <c r="A24" s="8" t="s">
        <v>946</v>
      </c>
      <c r="B24" s="63">
        <v>1.0</v>
      </c>
      <c r="C24" s="7">
        <v>1.0</v>
      </c>
      <c r="D24" s="7">
        <v>1.0</v>
      </c>
      <c r="E24" s="64"/>
      <c r="F24" s="63">
        <v>1.0</v>
      </c>
      <c r="G24" s="7">
        <v>1.0</v>
      </c>
      <c r="H24" s="7">
        <v>1.0</v>
      </c>
      <c r="I24" s="64"/>
      <c r="J24" s="70">
        <v>1.0</v>
      </c>
      <c r="K24" s="71">
        <v>1.0</v>
      </c>
      <c r="L24" s="71">
        <v>0.0</v>
      </c>
      <c r="M24" s="64"/>
      <c r="N24" s="63">
        <v>1.0</v>
      </c>
      <c r="O24" s="7">
        <v>1.0</v>
      </c>
      <c r="P24" s="7">
        <v>1.0</v>
      </c>
      <c r="Q24" s="64"/>
      <c r="R24" s="63">
        <v>0.0</v>
      </c>
      <c r="S24" s="7">
        <v>1.0</v>
      </c>
      <c r="T24" s="7">
        <v>1.0</v>
      </c>
      <c r="U24" s="64"/>
      <c r="V24" s="65">
        <f t="shared" ref="V24:X24" si="15">SUM(B24,F24,J24,N24,R24)</f>
        <v>4</v>
      </c>
      <c r="W24" s="65">
        <f t="shared" si="15"/>
        <v>5</v>
      </c>
      <c r="X24" s="65">
        <f t="shared" si="15"/>
        <v>4</v>
      </c>
      <c r="Z24" s="65">
        <f>'review 1 - annotator 2 - eval'!V24</f>
        <v>4</v>
      </c>
      <c r="AA24" s="65">
        <f>'review 1 - annotator 2 - eval'!W24</f>
        <v>5</v>
      </c>
      <c r="AB24" s="65">
        <f>'review 1 - annotator 2 - eval'!X24</f>
        <v>4</v>
      </c>
    </row>
    <row r="25">
      <c r="A25" s="8" t="s">
        <v>947</v>
      </c>
      <c r="B25" s="63">
        <v>1.0</v>
      </c>
      <c r="C25" s="7">
        <v>1.0</v>
      </c>
      <c r="D25" s="7">
        <v>1.0</v>
      </c>
      <c r="E25" s="64"/>
      <c r="F25" s="63">
        <v>1.0</v>
      </c>
      <c r="G25" s="7">
        <v>1.0</v>
      </c>
      <c r="H25" s="7">
        <v>1.0</v>
      </c>
      <c r="I25" s="64"/>
      <c r="J25" s="70">
        <v>1.0</v>
      </c>
      <c r="K25" s="71">
        <v>1.0</v>
      </c>
      <c r="L25" s="71">
        <v>0.0</v>
      </c>
      <c r="M25" s="64"/>
      <c r="N25" s="63">
        <v>1.0</v>
      </c>
      <c r="O25" s="7">
        <v>1.0</v>
      </c>
      <c r="P25" s="7">
        <v>1.0</v>
      </c>
      <c r="Q25" s="64"/>
      <c r="R25" s="63">
        <v>1.0</v>
      </c>
      <c r="S25" s="7">
        <v>1.0</v>
      </c>
      <c r="T25" s="7">
        <v>1.0</v>
      </c>
      <c r="U25" s="64"/>
      <c r="V25" s="65">
        <f t="shared" ref="V25:X25" si="16">SUM(B25,F25,J25,N25,R25)</f>
        <v>5</v>
      </c>
      <c r="W25" s="65">
        <f t="shared" si="16"/>
        <v>5</v>
      </c>
      <c r="X25" s="65">
        <f t="shared" si="16"/>
        <v>4</v>
      </c>
      <c r="Z25" s="65">
        <f>'review 1 - annotator 2 - eval'!V25</f>
        <v>5</v>
      </c>
      <c r="AA25" s="65">
        <f>'review 1 - annotator 2 - eval'!W25</f>
        <v>5</v>
      </c>
      <c r="AB25" s="65">
        <f>'review 1 - annotator 2 - eval'!X25</f>
        <v>4</v>
      </c>
    </row>
    <row r="26">
      <c r="A26" s="8" t="s">
        <v>948</v>
      </c>
      <c r="B26" s="63">
        <v>1.0</v>
      </c>
      <c r="C26" s="7">
        <v>1.0</v>
      </c>
      <c r="D26" s="7">
        <v>1.0</v>
      </c>
      <c r="E26" s="64"/>
      <c r="F26" s="63">
        <v>1.0</v>
      </c>
      <c r="G26" s="7">
        <v>1.0</v>
      </c>
      <c r="H26" s="7">
        <v>1.0</v>
      </c>
      <c r="I26" s="64"/>
      <c r="J26" s="70">
        <v>0.0</v>
      </c>
      <c r="K26" s="71">
        <v>1.0</v>
      </c>
      <c r="L26" s="71">
        <v>0.0</v>
      </c>
      <c r="M26" s="64"/>
      <c r="N26" s="63">
        <v>0.0</v>
      </c>
      <c r="O26" s="7">
        <v>1.0</v>
      </c>
      <c r="P26" s="7">
        <v>1.0</v>
      </c>
      <c r="Q26" s="64"/>
      <c r="R26" s="63">
        <v>0.0</v>
      </c>
      <c r="S26" s="7">
        <v>1.0</v>
      </c>
      <c r="T26" s="7">
        <v>1.0</v>
      </c>
      <c r="U26" s="64"/>
      <c r="V26" s="65">
        <f t="shared" ref="V26:X26" si="17">SUM(B26,F26,J26,N26,R26)</f>
        <v>2</v>
      </c>
      <c r="W26" s="65">
        <f t="shared" si="17"/>
        <v>5</v>
      </c>
      <c r="X26" s="65">
        <f t="shared" si="17"/>
        <v>4</v>
      </c>
      <c r="Z26" s="65">
        <f>'review 1 - annotator 2 - eval'!V26</f>
        <v>2</v>
      </c>
      <c r="AA26" s="65">
        <f>'review 1 - annotator 2 - eval'!W26</f>
        <v>4</v>
      </c>
      <c r="AB26" s="65">
        <f>'review 1 - annotator 2 - eval'!X26</f>
        <v>3</v>
      </c>
    </row>
    <row r="27">
      <c r="A27" s="8" t="s">
        <v>949</v>
      </c>
      <c r="B27" s="63">
        <v>1.0</v>
      </c>
      <c r="C27" s="7">
        <v>1.0</v>
      </c>
      <c r="D27" s="7">
        <v>1.0</v>
      </c>
      <c r="E27" s="64"/>
      <c r="F27" s="63">
        <v>1.0</v>
      </c>
      <c r="G27" s="7">
        <v>1.0</v>
      </c>
      <c r="H27" s="7">
        <v>1.0</v>
      </c>
      <c r="I27" s="64"/>
      <c r="J27" s="70">
        <v>1.0</v>
      </c>
      <c r="K27" s="71">
        <v>1.0</v>
      </c>
      <c r="L27" s="71">
        <v>1.0</v>
      </c>
      <c r="M27" s="64"/>
      <c r="N27" s="63">
        <v>1.0</v>
      </c>
      <c r="O27" s="7">
        <v>1.0</v>
      </c>
      <c r="P27" s="7">
        <v>1.0</v>
      </c>
      <c r="Q27" s="64"/>
      <c r="R27" s="63">
        <v>1.0</v>
      </c>
      <c r="S27" s="7">
        <v>1.0</v>
      </c>
      <c r="T27" s="7">
        <v>1.0</v>
      </c>
      <c r="U27" s="64"/>
      <c r="V27" s="65">
        <f t="shared" ref="V27:X27" si="18">SUM(B27,F27,J27,N27,R27)</f>
        <v>5</v>
      </c>
      <c r="W27" s="65">
        <f t="shared" si="18"/>
        <v>5</v>
      </c>
      <c r="X27" s="65">
        <f t="shared" si="18"/>
        <v>5</v>
      </c>
      <c r="Z27" s="65">
        <f>'review 1 - annotator 2 - eval'!V27</f>
        <v>5</v>
      </c>
      <c r="AA27" s="65">
        <f>'review 1 - annotator 2 - eval'!W27</f>
        <v>5</v>
      </c>
      <c r="AB27" s="65">
        <f>'review 1 - annotator 2 - eval'!X27</f>
        <v>5</v>
      </c>
    </row>
    <row r="28">
      <c r="A28" s="8" t="s">
        <v>950</v>
      </c>
      <c r="B28" s="63">
        <v>1.0</v>
      </c>
      <c r="C28" s="7">
        <v>1.0</v>
      </c>
      <c r="D28" s="7">
        <v>1.0</v>
      </c>
      <c r="E28" s="64"/>
      <c r="F28" s="63">
        <v>1.0</v>
      </c>
      <c r="G28" s="8">
        <v>0.0</v>
      </c>
      <c r="H28" s="7">
        <v>1.0</v>
      </c>
      <c r="I28" s="64"/>
      <c r="J28" s="70">
        <v>1.0</v>
      </c>
      <c r="K28" s="71">
        <v>1.0</v>
      </c>
      <c r="L28" s="71">
        <v>1.0</v>
      </c>
      <c r="M28" s="64"/>
      <c r="N28" s="63">
        <v>1.0</v>
      </c>
      <c r="O28" s="7">
        <v>0.0</v>
      </c>
      <c r="P28" s="7">
        <v>1.0</v>
      </c>
      <c r="Q28" s="64"/>
      <c r="R28" s="63">
        <v>1.0</v>
      </c>
      <c r="S28" s="7">
        <v>1.0</v>
      </c>
      <c r="T28" s="7">
        <v>1.0</v>
      </c>
      <c r="U28" s="64"/>
      <c r="V28" s="65">
        <f t="shared" ref="V28:X28" si="19">SUM(B28,F28,J28,N28,R28)</f>
        <v>5</v>
      </c>
      <c r="W28" s="65">
        <f t="shared" si="19"/>
        <v>3</v>
      </c>
      <c r="X28" s="65">
        <f t="shared" si="19"/>
        <v>5</v>
      </c>
      <c r="Z28" s="65">
        <f>'review 1 - annotator 2 - eval'!V28</f>
        <v>5</v>
      </c>
      <c r="AA28" s="65">
        <f>'review 1 - annotator 2 - eval'!W28</f>
        <v>4</v>
      </c>
      <c r="AB28" s="65">
        <f>'review 1 - annotator 2 - eval'!X28</f>
        <v>4</v>
      </c>
    </row>
    <row r="29">
      <c r="A29" s="8" t="s">
        <v>951</v>
      </c>
      <c r="B29" s="63">
        <v>1.0</v>
      </c>
      <c r="C29" s="7">
        <v>1.0</v>
      </c>
      <c r="D29" s="7">
        <v>1.0</v>
      </c>
      <c r="E29" s="64"/>
      <c r="F29" s="63">
        <v>1.0</v>
      </c>
      <c r="G29" s="7">
        <v>1.0</v>
      </c>
      <c r="H29" s="7">
        <v>1.0</v>
      </c>
      <c r="I29" s="64"/>
      <c r="J29" s="70">
        <v>1.0</v>
      </c>
      <c r="K29" s="71">
        <v>1.0</v>
      </c>
      <c r="L29" s="71">
        <v>0.0</v>
      </c>
      <c r="M29" s="64"/>
      <c r="N29" s="63">
        <v>1.0</v>
      </c>
      <c r="O29" s="7">
        <v>1.0</v>
      </c>
      <c r="P29" s="7">
        <v>1.0</v>
      </c>
      <c r="Q29" s="64"/>
      <c r="R29" s="63">
        <v>1.0</v>
      </c>
      <c r="S29" s="7">
        <v>1.0</v>
      </c>
      <c r="T29" s="7">
        <v>1.0</v>
      </c>
      <c r="U29" s="64"/>
      <c r="V29" s="65">
        <f t="shared" ref="V29:X29" si="20">SUM(B29,F29,J29,N29,R29)</f>
        <v>5</v>
      </c>
      <c r="W29" s="65">
        <f t="shared" si="20"/>
        <v>5</v>
      </c>
      <c r="X29" s="65">
        <f t="shared" si="20"/>
        <v>4</v>
      </c>
      <c r="Z29" s="65">
        <f>'review 1 - annotator 2 - eval'!V29</f>
        <v>5</v>
      </c>
      <c r="AA29" s="65">
        <f>'review 1 - annotator 2 - eval'!W29</f>
        <v>5</v>
      </c>
      <c r="AB29" s="65">
        <f>'review 1 - annotator 2 - eval'!X29</f>
        <v>4</v>
      </c>
    </row>
    <row r="30">
      <c r="A30" s="8" t="s">
        <v>952</v>
      </c>
      <c r="B30" s="66">
        <v>1.0</v>
      </c>
      <c r="C30" s="67">
        <v>1.0</v>
      </c>
      <c r="D30" s="67">
        <v>1.0</v>
      </c>
      <c r="E30" s="68"/>
      <c r="F30" s="66">
        <v>1.0</v>
      </c>
      <c r="G30" s="67">
        <v>1.0</v>
      </c>
      <c r="H30" s="67">
        <v>1.0</v>
      </c>
      <c r="I30" s="68"/>
      <c r="J30" s="72">
        <v>1.0</v>
      </c>
      <c r="K30" s="73">
        <v>1.0</v>
      </c>
      <c r="L30" s="73">
        <v>1.0</v>
      </c>
      <c r="M30" s="68"/>
      <c r="N30" s="66">
        <v>1.0</v>
      </c>
      <c r="O30" s="67">
        <v>1.0</v>
      </c>
      <c r="P30" s="67">
        <v>1.0</v>
      </c>
      <c r="Q30" s="68"/>
      <c r="R30" s="66">
        <v>1.0</v>
      </c>
      <c r="S30" s="67">
        <v>1.0</v>
      </c>
      <c r="T30" s="67">
        <v>1.0</v>
      </c>
      <c r="U30" s="68"/>
      <c r="V30" s="65">
        <f t="shared" ref="V30:X30" si="21">SUM(B30,F30,J30,N30,R30)</f>
        <v>5</v>
      </c>
      <c r="W30" s="65">
        <f t="shared" si="21"/>
        <v>5</v>
      </c>
      <c r="X30" s="65">
        <f t="shared" si="21"/>
        <v>5</v>
      </c>
      <c r="Z30" s="65">
        <f>'review 1 - annotator 2 - eval'!V30</f>
        <v>5</v>
      </c>
      <c r="AA30" s="65">
        <f>'review 1 - annotator 2 - eval'!W30</f>
        <v>5</v>
      </c>
      <c r="AB30" s="65">
        <f>'review 1 - annotator 2 - eval'!X30</f>
        <v>5</v>
      </c>
    </row>
    <row r="31">
      <c r="A31" s="26" t="s">
        <v>471</v>
      </c>
      <c r="B31" s="52" t="s">
        <v>935</v>
      </c>
      <c r="F31" s="53" t="s">
        <v>936</v>
      </c>
      <c r="J31" s="54" t="s">
        <v>937</v>
      </c>
      <c r="N31" s="55" t="s">
        <v>938</v>
      </c>
      <c r="R31" s="56" t="s">
        <v>939</v>
      </c>
      <c r="Z31" s="65" t="str">
        <f>'review 1 - annotator 2 - eval'!V31</f>
        <v/>
      </c>
      <c r="AA31" s="65" t="str">
        <f>'review 1 - annotator 2 - eval'!W31</f>
        <v/>
      </c>
      <c r="AB31" s="65" t="str">
        <f>'review 1 - annotator 2 - eval'!X31</f>
        <v/>
      </c>
    </row>
    <row r="32">
      <c r="B32" s="57" t="s">
        <v>387</v>
      </c>
      <c r="E32" s="58"/>
      <c r="F32" s="57" t="s">
        <v>23</v>
      </c>
      <c r="I32" s="58"/>
      <c r="J32" s="57" t="s">
        <v>18</v>
      </c>
      <c r="M32" s="58"/>
      <c r="N32" s="57" t="s">
        <v>186</v>
      </c>
      <c r="Q32" s="58"/>
      <c r="R32" s="57" t="s">
        <v>187</v>
      </c>
      <c r="U32" s="58"/>
      <c r="Z32" s="65" t="str">
        <f>'review 1 - annotator 2 - eval'!V32</f>
        <v/>
      </c>
      <c r="AA32" s="65" t="str">
        <f>'review 1 - annotator 2 - eval'!W32</f>
        <v/>
      </c>
      <c r="AB32" s="65" t="str">
        <f>'review 1 - annotator 2 - eval'!X32</f>
        <v/>
      </c>
    </row>
    <row r="33">
      <c r="B33" s="60" t="s">
        <v>943</v>
      </c>
      <c r="C33" s="61" t="s">
        <v>944</v>
      </c>
      <c r="D33" s="61" t="s">
        <v>945</v>
      </c>
      <c r="E33" s="62"/>
      <c r="F33" s="60" t="s">
        <v>943</v>
      </c>
      <c r="G33" s="61" t="s">
        <v>944</v>
      </c>
      <c r="H33" s="61" t="s">
        <v>945</v>
      </c>
      <c r="I33" s="62"/>
      <c r="J33" s="60" t="s">
        <v>943</v>
      </c>
      <c r="K33" s="61" t="s">
        <v>944</v>
      </c>
      <c r="L33" s="61" t="s">
        <v>945</v>
      </c>
      <c r="M33" s="62"/>
      <c r="N33" s="60" t="s">
        <v>943</v>
      </c>
      <c r="O33" s="61" t="s">
        <v>944</v>
      </c>
      <c r="P33" s="61" t="s">
        <v>945</v>
      </c>
      <c r="Q33" s="62"/>
      <c r="R33" s="60" t="s">
        <v>943</v>
      </c>
      <c r="S33" s="61" t="s">
        <v>944</v>
      </c>
      <c r="T33" s="61" t="s">
        <v>945</v>
      </c>
      <c r="U33" s="62"/>
      <c r="Z33" s="65" t="str">
        <f>'review 1 - annotator 2 - eval'!V33</f>
        <v/>
      </c>
      <c r="AA33" s="65" t="str">
        <f>'review 1 - annotator 2 - eval'!W33</f>
        <v/>
      </c>
      <c r="AB33" s="65" t="str">
        <f>'review 1 - annotator 2 - eval'!X33</f>
        <v/>
      </c>
    </row>
    <row r="34">
      <c r="A34" s="8" t="s">
        <v>946</v>
      </c>
      <c r="B34" s="63">
        <v>0.0</v>
      </c>
      <c r="C34" s="7">
        <v>1.0</v>
      </c>
      <c r="D34" s="7">
        <v>1.0</v>
      </c>
      <c r="E34" s="64"/>
      <c r="F34" s="63">
        <v>1.0</v>
      </c>
      <c r="G34" s="7">
        <v>1.0</v>
      </c>
      <c r="H34" s="7">
        <v>1.0</v>
      </c>
      <c r="I34" s="64"/>
      <c r="J34" s="63">
        <v>1.0</v>
      </c>
      <c r="K34" s="7">
        <v>1.0</v>
      </c>
      <c r="L34" s="7">
        <v>1.0</v>
      </c>
      <c r="M34" s="64"/>
      <c r="N34" s="63">
        <v>1.0</v>
      </c>
      <c r="O34" s="7">
        <v>1.0</v>
      </c>
      <c r="P34" s="7">
        <v>0.0</v>
      </c>
      <c r="Q34" s="64"/>
      <c r="R34" s="63">
        <v>1.0</v>
      </c>
      <c r="S34" s="7">
        <v>1.0</v>
      </c>
      <c r="T34" s="7">
        <v>1.0</v>
      </c>
      <c r="U34" s="64"/>
      <c r="V34" s="65">
        <f t="shared" ref="V34:X34" si="22">SUM(B34,F34,J34,N34,R34)</f>
        <v>4</v>
      </c>
      <c r="W34" s="65">
        <f t="shared" si="22"/>
        <v>5</v>
      </c>
      <c r="X34" s="65">
        <f t="shared" si="22"/>
        <v>4</v>
      </c>
      <c r="Z34" s="65">
        <f>'review 1 - annotator 2 - eval'!V34</f>
        <v>3</v>
      </c>
      <c r="AA34" s="65">
        <f>'review 1 - annotator 2 - eval'!W34</f>
        <v>2</v>
      </c>
      <c r="AB34" s="65">
        <f>'review 1 - annotator 2 - eval'!X34</f>
        <v>4</v>
      </c>
    </row>
    <row r="35">
      <c r="A35" s="8" t="s">
        <v>947</v>
      </c>
      <c r="B35" s="63">
        <v>1.0</v>
      </c>
      <c r="C35" s="7">
        <v>1.0</v>
      </c>
      <c r="D35" s="7">
        <v>1.0</v>
      </c>
      <c r="E35" s="64"/>
      <c r="F35" s="63">
        <v>1.0</v>
      </c>
      <c r="G35" s="7">
        <v>1.0</v>
      </c>
      <c r="H35" s="7">
        <v>1.0</v>
      </c>
      <c r="I35" s="64"/>
      <c r="J35" s="63">
        <v>1.0</v>
      </c>
      <c r="K35" s="7">
        <v>1.0</v>
      </c>
      <c r="L35" s="7">
        <v>1.0</v>
      </c>
      <c r="M35" s="64"/>
      <c r="N35" s="63">
        <v>1.0</v>
      </c>
      <c r="O35" s="7">
        <v>1.0</v>
      </c>
      <c r="P35" s="7">
        <v>0.0</v>
      </c>
      <c r="Q35" s="64"/>
      <c r="R35" s="63">
        <v>1.0</v>
      </c>
      <c r="S35" s="7">
        <v>1.0</v>
      </c>
      <c r="T35" s="7">
        <v>1.0</v>
      </c>
      <c r="U35" s="64"/>
      <c r="V35" s="65">
        <f t="shared" ref="V35:X35" si="23">SUM(B35,F35,J35,N35,R35)</f>
        <v>5</v>
      </c>
      <c r="W35" s="65">
        <f t="shared" si="23"/>
        <v>5</v>
      </c>
      <c r="X35" s="65">
        <f t="shared" si="23"/>
        <v>4</v>
      </c>
      <c r="Z35" s="65">
        <f>'review 1 - annotator 2 - eval'!V35</f>
        <v>4</v>
      </c>
      <c r="AA35" s="65">
        <f>'review 1 - annotator 2 - eval'!W35</f>
        <v>4</v>
      </c>
      <c r="AB35" s="65">
        <f>'review 1 - annotator 2 - eval'!X35</f>
        <v>5</v>
      </c>
    </row>
    <row r="36">
      <c r="A36" s="8" t="s">
        <v>948</v>
      </c>
      <c r="B36" s="63">
        <v>1.0</v>
      </c>
      <c r="C36" s="7">
        <v>1.0</v>
      </c>
      <c r="D36" s="7">
        <v>1.0</v>
      </c>
      <c r="E36" s="64"/>
      <c r="F36" s="63">
        <v>1.0</v>
      </c>
      <c r="G36" s="7">
        <v>1.0</v>
      </c>
      <c r="H36" s="7">
        <v>1.0</v>
      </c>
      <c r="I36" s="64"/>
      <c r="J36" s="63">
        <v>1.0</v>
      </c>
      <c r="K36" s="7">
        <v>1.0</v>
      </c>
      <c r="L36" s="7">
        <v>1.0</v>
      </c>
      <c r="M36" s="64"/>
      <c r="N36" s="63">
        <v>1.0</v>
      </c>
      <c r="O36" s="7">
        <v>1.0</v>
      </c>
      <c r="P36" s="7">
        <v>0.0</v>
      </c>
      <c r="Q36" s="64"/>
      <c r="R36" s="63">
        <v>1.0</v>
      </c>
      <c r="S36" s="7">
        <v>1.0</v>
      </c>
      <c r="T36" s="7">
        <v>1.0</v>
      </c>
      <c r="U36" s="64"/>
      <c r="V36" s="65">
        <f t="shared" ref="V36:X36" si="24">SUM(B36,F36,J36,N36,R36)</f>
        <v>5</v>
      </c>
      <c r="W36" s="65">
        <f t="shared" si="24"/>
        <v>5</v>
      </c>
      <c r="X36" s="65">
        <f t="shared" si="24"/>
        <v>4</v>
      </c>
      <c r="Z36" s="65">
        <f>'review 1 - annotator 2 - eval'!V36</f>
        <v>4</v>
      </c>
      <c r="AA36" s="65">
        <f>'review 1 - annotator 2 - eval'!W36</f>
        <v>3</v>
      </c>
      <c r="AB36" s="65">
        <f>'review 1 - annotator 2 - eval'!X36</f>
        <v>4</v>
      </c>
    </row>
    <row r="37">
      <c r="A37" s="8" t="s">
        <v>949</v>
      </c>
      <c r="B37" s="63">
        <v>1.0</v>
      </c>
      <c r="C37" s="7">
        <v>1.0</v>
      </c>
      <c r="D37" s="7">
        <v>1.0</v>
      </c>
      <c r="E37" s="64"/>
      <c r="F37" s="63">
        <v>1.0</v>
      </c>
      <c r="G37" s="7">
        <v>1.0</v>
      </c>
      <c r="H37" s="7">
        <v>1.0</v>
      </c>
      <c r="I37" s="64"/>
      <c r="J37" s="63">
        <v>1.0</v>
      </c>
      <c r="K37" s="7">
        <v>1.0</v>
      </c>
      <c r="L37" s="7">
        <v>1.0</v>
      </c>
      <c r="M37" s="64"/>
      <c r="N37" s="63">
        <v>1.0</v>
      </c>
      <c r="O37" s="7">
        <v>1.0</v>
      </c>
      <c r="P37" s="7">
        <v>0.0</v>
      </c>
      <c r="Q37" s="64"/>
      <c r="R37" s="63">
        <v>1.0</v>
      </c>
      <c r="S37" s="7">
        <v>1.0</v>
      </c>
      <c r="T37" s="7">
        <v>1.0</v>
      </c>
      <c r="U37" s="64"/>
      <c r="V37" s="65">
        <f t="shared" ref="V37:X37" si="25">SUM(B37,F37,J37,N37,R37)</f>
        <v>5</v>
      </c>
      <c r="W37" s="65">
        <f t="shared" si="25"/>
        <v>5</v>
      </c>
      <c r="X37" s="65">
        <f t="shared" si="25"/>
        <v>4</v>
      </c>
      <c r="Z37" s="65">
        <f>'review 1 - annotator 2 - eval'!V37</f>
        <v>4</v>
      </c>
      <c r="AA37" s="65">
        <f>'review 1 - annotator 2 - eval'!W37</f>
        <v>5</v>
      </c>
      <c r="AB37" s="65">
        <f>'review 1 - annotator 2 - eval'!X37</f>
        <v>5</v>
      </c>
    </row>
    <row r="38">
      <c r="A38" s="8" t="s">
        <v>950</v>
      </c>
      <c r="B38" s="63">
        <v>0.0</v>
      </c>
      <c r="C38" s="7">
        <v>0.0</v>
      </c>
      <c r="D38" s="7">
        <v>1.0</v>
      </c>
      <c r="E38" s="64"/>
      <c r="F38" s="63">
        <v>1.0</v>
      </c>
      <c r="G38" s="7">
        <v>1.0</v>
      </c>
      <c r="H38" s="7">
        <v>1.0</v>
      </c>
      <c r="I38" s="64"/>
      <c r="J38" s="63">
        <v>1.0</v>
      </c>
      <c r="K38" s="7">
        <v>1.0</v>
      </c>
      <c r="L38" s="7">
        <v>1.0</v>
      </c>
      <c r="M38" s="64"/>
      <c r="N38" s="63">
        <v>0.0</v>
      </c>
      <c r="O38" s="7">
        <v>0.0</v>
      </c>
      <c r="P38" s="7">
        <v>0.0</v>
      </c>
      <c r="Q38" s="64"/>
      <c r="R38" s="63">
        <v>0.0</v>
      </c>
      <c r="S38" s="7">
        <v>1.0</v>
      </c>
      <c r="T38" s="7">
        <v>1.0</v>
      </c>
      <c r="U38" s="64"/>
      <c r="V38" s="65">
        <f t="shared" ref="V38:X38" si="26">SUM(B38,F38,J38,N38,R38)</f>
        <v>2</v>
      </c>
      <c r="W38" s="65">
        <f t="shared" si="26"/>
        <v>3</v>
      </c>
      <c r="X38" s="65">
        <f t="shared" si="26"/>
        <v>4</v>
      </c>
      <c r="Z38" s="65">
        <f>'review 1 - annotator 2 - eval'!V38</f>
        <v>4</v>
      </c>
      <c r="AA38" s="65">
        <f>'review 1 - annotator 2 - eval'!W38</f>
        <v>3</v>
      </c>
      <c r="AB38" s="65">
        <f>'review 1 - annotator 2 - eval'!X38</f>
        <v>5</v>
      </c>
    </row>
    <row r="39">
      <c r="A39" s="8" t="s">
        <v>951</v>
      </c>
      <c r="B39" s="63">
        <v>1.0</v>
      </c>
      <c r="C39" s="7">
        <v>1.0</v>
      </c>
      <c r="D39" s="7">
        <v>1.0</v>
      </c>
      <c r="E39" s="64"/>
      <c r="F39" s="63">
        <v>1.0</v>
      </c>
      <c r="G39" s="7">
        <v>1.0</v>
      </c>
      <c r="H39" s="7">
        <v>1.0</v>
      </c>
      <c r="I39" s="64"/>
      <c r="J39" s="63">
        <v>1.0</v>
      </c>
      <c r="K39" s="7">
        <v>1.0</v>
      </c>
      <c r="L39" s="7">
        <v>1.0</v>
      </c>
      <c r="M39" s="64"/>
      <c r="N39" s="63">
        <v>1.0</v>
      </c>
      <c r="O39" s="7">
        <v>1.0</v>
      </c>
      <c r="P39" s="7">
        <v>0.0</v>
      </c>
      <c r="Q39" s="64"/>
      <c r="R39" s="63">
        <v>1.0</v>
      </c>
      <c r="S39" s="7">
        <v>1.0</v>
      </c>
      <c r="T39" s="7">
        <v>1.0</v>
      </c>
      <c r="U39" s="64"/>
      <c r="V39" s="65">
        <f t="shared" ref="V39:X39" si="27">SUM(B39,F39,J39,N39,R39)</f>
        <v>5</v>
      </c>
      <c r="W39" s="65">
        <f t="shared" si="27"/>
        <v>5</v>
      </c>
      <c r="X39" s="65">
        <f t="shared" si="27"/>
        <v>4</v>
      </c>
      <c r="Z39" s="65">
        <f>'review 1 - annotator 2 - eval'!V39</f>
        <v>5</v>
      </c>
      <c r="AA39" s="65">
        <f>'review 1 - annotator 2 - eval'!W39</f>
        <v>5</v>
      </c>
      <c r="AB39" s="65">
        <f>'review 1 - annotator 2 - eval'!X39</f>
        <v>5</v>
      </c>
    </row>
    <row r="40">
      <c r="A40" s="8" t="s">
        <v>952</v>
      </c>
      <c r="B40" s="66">
        <v>1.0</v>
      </c>
      <c r="C40" s="67">
        <v>1.0</v>
      </c>
      <c r="D40" s="67">
        <v>1.0</v>
      </c>
      <c r="E40" s="68"/>
      <c r="F40" s="66">
        <v>1.0</v>
      </c>
      <c r="G40" s="67">
        <v>1.0</v>
      </c>
      <c r="H40" s="67">
        <v>1.0</v>
      </c>
      <c r="I40" s="68"/>
      <c r="J40" s="66">
        <v>1.0</v>
      </c>
      <c r="K40" s="67">
        <v>1.0</v>
      </c>
      <c r="L40" s="67">
        <v>1.0</v>
      </c>
      <c r="M40" s="68"/>
      <c r="N40" s="66">
        <v>1.0</v>
      </c>
      <c r="O40" s="67">
        <v>1.0</v>
      </c>
      <c r="P40" s="67">
        <v>0.0</v>
      </c>
      <c r="Q40" s="68"/>
      <c r="R40" s="66">
        <v>1.0</v>
      </c>
      <c r="S40" s="67">
        <v>1.0</v>
      </c>
      <c r="T40" s="67">
        <v>1.0</v>
      </c>
      <c r="U40" s="68"/>
      <c r="V40" s="65">
        <f t="shared" ref="V40:X40" si="28">SUM(B40,F40,J40,N40,R40)</f>
        <v>5</v>
      </c>
      <c r="W40" s="65">
        <f t="shared" si="28"/>
        <v>5</v>
      </c>
      <c r="X40" s="65">
        <f t="shared" si="28"/>
        <v>4</v>
      </c>
      <c r="Z40" s="65">
        <f>'review 1 - annotator 2 - eval'!V40</f>
        <v>5</v>
      </c>
      <c r="AA40" s="65">
        <f>'review 1 - annotator 2 - eval'!W40</f>
        <v>5</v>
      </c>
      <c r="AB40" s="65">
        <f>'review 1 - annotator 2 - eval'!X40</f>
        <v>5</v>
      </c>
    </row>
    <row r="41">
      <c r="A41" s="26" t="s">
        <v>481</v>
      </c>
      <c r="B41" s="52" t="s">
        <v>935</v>
      </c>
      <c r="F41" s="53" t="s">
        <v>936</v>
      </c>
      <c r="J41" s="54" t="s">
        <v>937</v>
      </c>
      <c r="N41" s="55" t="s">
        <v>938</v>
      </c>
      <c r="R41" s="56" t="s">
        <v>939</v>
      </c>
      <c r="Z41" s="65" t="str">
        <f>'review 1 - annotator 2 - eval'!V41</f>
        <v/>
      </c>
      <c r="AA41" s="65" t="str">
        <f>'review 1 - annotator 2 - eval'!W41</f>
        <v/>
      </c>
      <c r="AB41" s="65" t="str">
        <f>'review 1 - annotator 2 - eval'!X41</f>
        <v/>
      </c>
    </row>
    <row r="42">
      <c r="B42" s="57" t="s">
        <v>108</v>
      </c>
      <c r="E42" s="58"/>
      <c r="F42" s="57" t="s">
        <v>105</v>
      </c>
      <c r="I42" s="58"/>
      <c r="J42" s="57" t="s">
        <v>18</v>
      </c>
      <c r="M42" s="58"/>
      <c r="N42" s="57" t="s">
        <v>286</v>
      </c>
      <c r="Q42" s="58"/>
      <c r="R42" s="57" t="s">
        <v>287</v>
      </c>
      <c r="U42" s="58"/>
      <c r="Z42" s="65" t="str">
        <f>'review 1 - annotator 2 - eval'!V42</f>
        <v/>
      </c>
      <c r="AA42" s="65" t="str">
        <f>'review 1 - annotator 2 - eval'!W42</f>
        <v/>
      </c>
      <c r="AB42" s="65" t="str">
        <f>'review 1 - annotator 2 - eval'!X42</f>
        <v/>
      </c>
    </row>
    <row r="43">
      <c r="B43" s="60" t="s">
        <v>943</v>
      </c>
      <c r="C43" s="61" t="s">
        <v>944</v>
      </c>
      <c r="D43" s="61" t="s">
        <v>945</v>
      </c>
      <c r="E43" s="62"/>
      <c r="F43" s="60" t="s">
        <v>943</v>
      </c>
      <c r="G43" s="61" t="s">
        <v>944</v>
      </c>
      <c r="H43" s="61" t="s">
        <v>945</v>
      </c>
      <c r="I43" s="62"/>
      <c r="J43" s="60" t="s">
        <v>943</v>
      </c>
      <c r="K43" s="61" t="s">
        <v>944</v>
      </c>
      <c r="L43" s="61" t="s">
        <v>945</v>
      </c>
      <c r="M43" s="62"/>
      <c r="N43" s="60" t="s">
        <v>943</v>
      </c>
      <c r="O43" s="61" t="s">
        <v>944</v>
      </c>
      <c r="P43" s="61" t="s">
        <v>945</v>
      </c>
      <c r="Q43" s="62"/>
      <c r="R43" s="60" t="s">
        <v>943</v>
      </c>
      <c r="S43" s="61" t="s">
        <v>944</v>
      </c>
      <c r="T43" s="61" t="s">
        <v>945</v>
      </c>
      <c r="U43" s="62"/>
      <c r="Z43" s="65" t="str">
        <f>'review 1 - annotator 2 - eval'!V43</f>
        <v/>
      </c>
      <c r="AA43" s="65" t="str">
        <f>'review 1 - annotator 2 - eval'!W43</f>
        <v/>
      </c>
      <c r="AB43" s="65" t="str">
        <f>'review 1 - annotator 2 - eval'!X43</f>
        <v/>
      </c>
    </row>
    <row r="44">
      <c r="A44" s="8" t="s">
        <v>946</v>
      </c>
      <c r="B44" s="63">
        <v>1.0</v>
      </c>
      <c r="C44" s="7">
        <v>1.0</v>
      </c>
      <c r="D44" s="7">
        <v>1.0</v>
      </c>
      <c r="E44" s="64"/>
      <c r="F44" s="63">
        <v>1.0</v>
      </c>
      <c r="G44" s="7">
        <v>1.0</v>
      </c>
      <c r="H44" s="7">
        <v>1.0</v>
      </c>
      <c r="I44" s="64"/>
      <c r="J44" s="63">
        <v>1.0</v>
      </c>
      <c r="K44" s="7">
        <v>1.0</v>
      </c>
      <c r="L44" s="7">
        <v>1.0</v>
      </c>
      <c r="M44" s="64"/>
      <c r="N44" s="63">
        <v>1.0</v>
      </c>
      <c r="O44" s="7">
        <v>1.0</v>
      </c>
      <c r="P44" s="7">
        <v>1.0</v>
      </c>
      <c r="Q44" s="64"/>
      <c r="R44" s="63">
        <v>1.0</v>
      </c>
      <c r="S44" s="7">
        <v>1.0</v>
      </c>
      <c r="T44" s="7">
        <v>1.0</v>
      </c>
      <c r="U44" s="64"/>
      <c r="V44" s="65">
        <f t="shared" ref="V44:X44" si="29">SUM(B44,F44,J44,N44,R44)</f>
        <v>5</v>
      </c>
      <c r="W44" s="65">
        <f t="shared" si="29"/>
        <v>5</v>
      </c>
      <c r="X44" s="65">
        <f t="shared" si="29"/>
        <v>5</v>
      </c>
      <c r="Z44" s="65">
        <f>'review 1 - annotator 2 - eval'!V44</f>
        <v>4</v>
      </c>
      <c r="AA44" s="65">
        <f>'review 1 - annotator 2 - eval'!W44</f>
        <v>4</v>
      </c>
      <c r="AB44" s="65">
        <f>'review 1 - annotator 2 - eval'!X44</f>
        <v>4</v>
      </c>
    </row>
    <row r="45">
      <c r="A45" s="8" t="s">
        <v>947</v>
      </c>
      <c r="B45" s="63">
        <v>1.0</v>
      </c>
      <c r="C45" s="7">
        <v>1.0</v>
      </c>
      <c r="D45" s="7">
        <v>1.0</v>
      </c>
      <c r="E45" s="64"/>
      <c r="F45" s="63">
        <v>1.0</v>
      </c>
      <c r="G45" s="7">
        <v>1.0</v>
      </c>
      <c r="H45" s="7">
        <v>1.0</v>
      </c>
      <c r="I45" s="64"/>
      <c r="J45" s="63">
        <v>1.0</v>
      </c>
      <c r="K45" s="7">
        <v>1.0</v>
      </c>
      <c r="L45" s="7">
        <v>1.0</v>
      </c>
      <c r="M45" s="64"/>
      <c r="N45" s="63">
        <v>1.0</v>
      </c>
      <c r="O45" s="7">
        <v>1.0</v>
      </c>
      <c r="P45" s="7">
        <v>1.0</v>
      </c>
      <c r="Q45" s="64"/>
      <c r="R45" s="63">
        <v>1.0</v>
      </c>
      <c r="S45" s="7">
        <v>1.0</v>
      </c>
      <c r="T45" s="7">
        <v>1.0</v>
      </c>
      <c r="U45" s="64"/>
      <c r="V45" s="65">
        <f t="shared" ref="V45:X45" si="30">SUM(B45,F45,J45,N45,R45)</f>
        <v>5</v>
      </c>
      <c r="W45" s="65">
        <f t="shared" si="30"/>
        <v>5</v>
      </c>
      <c r="X45" s="65">
        <f t="shared" si="30"/>
        <v>5</v>
      </c>
      <c r="Z45" s="65">
        <f>'review 1 - annotator 2 - eval'!V45</f>
        <v>5</v>
      </c>
      <c r="AA45" s="65">
        <f>'review 1 - annotator 2 - eval'!W45</f>
        <v>5</v>
      </c>
      <c r="AB45" s="65">
        <f>'review 1 - annotator 2 - eval'!X45</f>
        <v>5</v>
      </c>
    </row>
    <row r="46">
      <c r="A46" s="8" t="s">
        <v>948</v>
      </c>
      <c r="B46" s="63">
        <v>1.0</v>
      </c>
      <c r="C46" s="7">
        <v>1.0</v>
      </c>
      <c r="D46" s="7">
        <v>1.0</v>
      </c>
      <c r="E46" s="64"/>
      <c r="F46" s="63">
        <v>1.0</v>
      </c>
      <c r="G46" s="7">
        <v>1.0</v>
      </c>
      <c r="H46" s="7">
        <v>1.0</v>
      </c>
      <c r="I46" s="64"/>
      <c r="J46" s="63">
        <v>1.0</v>
      </c>
      <c r="K46" s="7">
        <v>1.0</v>
      </c>
      <c r="L46" s="7">
        <v>1.0</v>
      </c>
      <c r="M46" s="64"/>
      <c r="N46" s="63">
        <v>0.0</v>
      </c>
      <c r="O46" s="7">
        <v>1.0</v>
      </c>
      <c r="P46" s="7">
        <v>1.0</v>
      </c>
      <c r="Q46" s="64"/>
      <c r="R46" s="63">
        <v>1.0</v>
      </c>
      <c r="S46" s="7">
        <v>0.0</v>
      </c>
      <c r="T46" s="7">
        <v>0.0</v>
      </c>
      <c r="U46" s="64"/>
      <c r="V46" s="65">
        <f t="shared" ref="V46:X46" si="31">SUM(B46,F46,J46,N46,R46)</f>
        <v>4</v>
      </c>
      <c r="W46" s="65">
        <f t="shared" si="31"/>
        <v>4</v>
      </c>
      <c r="X46" s="65">
        <f t="shared" si="31"/>
        <v>4</v>
      </c>
      <c r="Z46" s="65">
        <f>'review 1 - annotator 2 - eval'!V46</f>
        <v>4</v>
      </c>
      <c r="AA46" s="65">
        <f>'review 1 - annotator 2 - eval'!W46</f>
        <v>4</v>
      </c>
      <c r="AB46" s="65">
        <f>'review 1 - annotator 2 - eval'!X46</f>
        <v>4</v>
      </c>
    </row>
    <row r="47">
      <c r="A47" s="8" t="s">
        <v>949</v>
      </c>
      <c r="B47" s="63">
        <v>1.0</v>
      </c>
      <c r="C47" s="7">
        <v>1.0</v>
      </c>
      <c r="D47" s="7">
        <v>1.0</v>
      </c>
      <c r="E47" s="64"/>
      <c r="F47" s="63">
        <v>1.0</v>
      </c>
      <c r="G47" s="7">
        <v>1.0</v>
      </c>
      <c r="H47" s="7">
        <v>1.0</v>
      </c>
      <c r="I47" s="64"/>
      <c r="J47" s="63">
        <v>1.0</v>
      </c>
      <c r="K47" s="7">
        <v>1.0</v>
      </c>
      <c r="L47" s="7">
        <v>1.0</v>
      </c>
      <c r="M47" s="64"/>
      <c r="N47" s="63">
        <v>1.0</v>
      </c>
      <c r="O47" s="7">
        <v>1.0</v>
      </c>
      <c r="P47" s="7">
        <v>1.0</v>
      </c>
      <c r="Q47" s="64"/>
      <c r="R47" s="63">
        <v>1.0</v>
      </c>
      <c r="S47" s="7">
        <v>1.0</v>
      </c>
      <c r="T47" s="7">
        <v>1.0</v>
      </c>
      <c r="U47" s="64"/>
      <c r="V47" s="65">
        <f t="shared" ref="V47:X47" si="32">SUM(B47,F47,J47,N47,R47)</f>
        <v>5</v>
      </c>
      <c r="W47" s="65">
        <f t="shared" si="32"/>
        <v>5</v>
      </c>
      <c r="X47" s="65">
        <f t="shared" si="32"/>
        <v>5</v>
      </c>
      <c r="Z47" s="65">
        <f>'review 1 - annotator 2 - eval'!V47</f>
        <v>5</v>
      </c>
      <c r="AA47" s="65">
        <f>'review 1 - annotator 2 - eval'!W47</f>
        <v>5</v>
      </c>
      <c r="AB47" s="65">
        <f>'review 1 - annotator 2 - eval'!X47</f>
        <v>5</v>
      </c>
    </row>
    <row r="48">
      <c r="A48" s="8" t="s">
        <v>950</v>
      </c>
      <c r="B48" s="63">
        <v>1.0</v>
      </c>
      <c r="C48" s="7">
        <v>1.0</v>
      </c>
      <c r="D48" s="7">
        <v>1.0</v>
      </c>
      <c r="E48" s="64"/>
      <c r="F48" s="63">
        <v>1.0</v>
      </c>
      <c r="G48" s="7">
        <v>1.0</v>
      </c>
      <c r="H48" s="7">
        <v>1.0</v>
      </c>
      <c r="I48" s="64"/>
      <c r="J48" s="63">
        <v>1.0</v>
      </c>
      <c r="K48" s="7">
        <v>1.0</v>
      </c>
      <c r="L48" s="7">
        <v>1.0</v>
      </c>
      <c r="M48" s="64"/>
      <c r="N48" s="63">
        <v>1.0</v>
      </c>
      <c r="O48" s="7">
        <v>1.0</v>
      </c>
      <c r="P48" s="7">
        <v>1.0</v>
      </c>
      <c r="Q48" s="64"/>
      <c r="R48" s="63">
        <v>1.0</v>
      </c>
      <c r="S48" s="7">
        <v>1.0</v>
      </c>
      <c r="T48" s="7">
        <v>1.0</v>
      </c>
      <c r="U48" s="64"/>
      <c r="V48" s="65">
        <f t="shared" ref="V48:X48" si="33">SUM(B48,F48,J48,N48,R48)</f>
        <v>5</v>
      </c>
      <c r="W48" s="65">
        <f t="shared" si="33"/>
        <v>5</v>
      </c>
      <c r="X48" s="65">
        <f t="shared" si="33"/>
        <v>5</v>
      </c>
      <c r="Z48" s="65">
        <f>'review 1 - annotator 2 - eval'!V48</f>
        <v>4</v>
      </c>
      <c r="AA48" s="65">
        <f>'review 1 - annotator 2 - eval'!W48</f>
        <v>5</v>
      </c>
      <c r="AB48" s="65">
        <f>'review 1 - annotator 2 - eval'!X48</f>
        <v>5</v>
      </c>
    </row>
    <row r="49">
      <c r="A49" s="8" t="s">
        <v>951</v>
      </c>
      <c r="B49" s="63">
        <v>1.0</v>
      </c>
      <c r="C49" s="7">
        <v>1.0</v>
      </c>
      <c r="D49" s="7">
        <v>1.0</v>
      </c>
      <c r="E49" s="64"/>
      <c r="F49" s="63">
        <v>1.0</v>
      </c>
      <c r="G49" s="7">
        <v>1.0</v>
      </c>
      <c r="H49" s="7">
        <v>1.0</v>
      </c>
      <c r="I49" s="64"/>
      <c r="J49" s="63">
        <v>1.0</v>
      </c>
      <c r="K49" s="7">
        <v>1.0</v>
      </c>
      <c r="L49" s="7">
        <v>1.0</v>
      </c>
      <c r="M49" s="64"/>
      <c r="N49" s="63">
        <v>1.0</v>
      </c>
      <c r="O49" s="7">
        <v>1.0</v>
      </c>
      <c r="P49" s="7">
        <v>1.0</v>
      </c>
      <c r="Q49" s="64"/>
      <c r="R49" s="63">
        <v>1.0</v>
      </c>
      <c r="S49" s="7">
        <v>1.0</v>
      </c>
      <c r="T49" s="7">
        <v>1.0</v>
      </c>
      <c r="U49" s="64"/>
      <c r="V49" s="65">
        <f t="shared" ref="V49:X49" si="34">SUM(B49,F49,J49,N49,R49)</f>
        <v>5</v>
      </c>
      <c r="W49" s="65">
        <f t="shared" si="34"/>
        <v>5</v>
      </c>
      <c r="X49" s="65">
        <f t="shared" si="34"/>
        <v>5</v>
      </c>
      <c r="Z49" s="65">
        <f>'review 1 - annotator 2 - eval'!V49</f>
        <v>5</v>
      </c>
      <c r="AA49" s="65">
        <f>'review 1 - annotator 2 - eval'!W49</f>
        <v>5</v>
      </c>
      <c r="AB49" s="65">
        <f>'review 1 - annotator 2 - eval'!X49</f>
        <v>5</v>
      </c>
    </row>
    <row r="50">
      <c r="A50" s="8" t="s">
        <v>952</v>
      </c>
      <c r="B50" s="66">
        <v>1.0</v>
      </c>
      <c r="C50" s="67">
        <v>1.0</v>
      </c>
      <c r="D50" s="67">
        <v>1.0</v>
      </c>
      <c r="E50" s="68"/>
      <c r="F50" s="66">
        <v>1.0</v>
      </c>
      <c r="G50" s="67">
        <v>1.0</v>
      </c>
      <c r="H50" s="67">
        <v>1.0</v>
      </c>
      <c r="I50" s="68"/>
      <c r="J50" s="66">
        <v>1.0</v>
      </c>
      <c r="K50" s="67">
        <v>1.0</v>
      </c>
      <c r="L50" s="67">
        <v>1.0</v>
      </c>
      <c r="M50" s="68"/>
      <c r="N50" s="66">
        <v>1.0</v>
      </c>
      <c r="O50" s="67">
        <v>1.0</v>
      </c>
      <c r="P50" s="67">
        <v>1.0</v>
      </c>
      <c r="Q50" s="68"/>
      <c r="R50" s="66">
        <v>1.0</v>
      </c>
      <c r="S50" s="67">
        <v>1.0</v>
      </c>
      <c r="T50" s="67">
        <v>1.0</v>
      </c>
      <c r="U50" s="68"/>
      <c r="V50" s="65">
        <f t="shared" ref="V50:X50" si="35">SUM(B50,F50,J50,N50,R50)</f>
        <v>5</v>
      </c>
      <c r="W50" s="65">
        <f t="shared" si="35"/>
        <v>5</v>
      </c>
      <c r="X50" s="65">
        <f t="shared" si="35"/>
        <v>5</v>
      </c>
      <c r="Z50" s="65">
        <f>'review 1 - annotator 2 - eval'!V50</f>
        <v>5</v>
      </c>
      <c r="AA50" s="65">
        <f>'review 1 - annotator 2 - eval'!W50</f>
        <v>5</v>
      </c>
      <c r="AB50" s="65">
        <f>'review 1 - annotator 2 - eval'!X50</f>
        <v>5</v>
      </c>
    </row>
    <row r="51">
      <c r="A51" s="26" t="s">
        <v>670</v>
      </c>
      <c r="B51" s="52" t="s">
        <v>935</v>
      </c>
      <c r="F51" s="53" t="s">
        <v>936</v>
      </c>
      <c r="J51" s="54" t="s">
        <v>937</v>
      </c>
      <c r="N51" s="55" t="s">
        <v>938</v>
      </c>
      <c r="R51" s="56" t="s">
        <v>939</v>
      </c>
      <c r="Z51" s="65" t="str">
        <f>'review 1 - annotator 2 - eval'!V51</f>
        <v/>
      </c>
      <c r="AA51" s="65" t="str">
        <f>'review 1 - annotator 2 - eval'!W51</f>
        <v/>
      </c>
      <c r="AB51" s="65" t="str">
        <f>'review 1 - annotator 2 - eval'!X51</f>
        <v/>
      </c>
    </row>
    <row r="52">
      <c r="B52" s="57" t="s">
        <v>954</v>
      </c>
      <c r="E52" s="58"/>
      <c r="F52" s="57" t="s">
        <v>239</v>
      </c>
      <c r="I52" s="58"/>
      <c r="J52" s="57" t="s">
        <v>240</v>
      </c>
      <c r="M52" s="58"/>
      <c r="N52" s="57" t="s">
        <v>23</v>
      </c>
      <c r="Q52" s="58"/>
      <c r="R52" s="57" t="s">
        <v>23</v>
      </c>
      <c r="U52" s="58"/>
      <c r="Z52" s="65" t="str">
        <f>'review 1 - annotator 2 - eval'!V52</f>
        <v/>
      </c>
      <c r="AA52" s="65" t="str">
        <f>'review 1 - annotator 2 - eval'!W52</f>
        <v/>
      </c>
      <c r="AB52" s="65" t="str">
        <f>'review 1 - annotator 2 - eval'!X52</f>
        <v/>
      </c>
    </row>
    <row r="53">
      <c r="B53" s="60" t="s">
        <v>943</v>
      </c>
      <c r="C53" s="61" t="s">
        <v>944</v>
      </c>
      <c r="D53" s="61" t="s">
        <v>945</v>
      </c>
      <c r="E53" s="62"/>
      <c r="F53" s="60" t="s">
        <v>943</v>
      </c>
      <c r="G53" s="61" t="s">
        <v>944</v>
      </c>
      <c r="H53" s="61" t="s">
        <v>945</v>
      </c>
      <c r="I53" s="62"/>
      <c r="J53" s="60" t="s">
        <v>943</v>
      </c>
      <c r="K53" s="61" t="s">
        <v>944</v>
      </c>
      <c r="L53" s="61" t="s">
        <v>945</v>
      </c>
      <c r="M53" s="62"/>
      <c r="N53" s="60" t="s">
        <v>943</v>
      </c>
      <c r="O53" s="61" t="s">
        <v>944</v>
      </c>
      <c r="P53" s="61" t="s">
        <v>945</v>
      </c>
      <c r="Q53" s="62"/>
      <c r="R53" s="60" t="s">
        <v>943</v>
      </c>
      <c r="S53" s="61" t="s">
        <v>944</v>
      </c>
      <c r="T53" s="61" t="s">
        <v>945</v>
      </c>
      <c r="U53" s="62"/>
      <c r="Z53" s="65" t="str">
        <f>'review 1 - annotator 2 - eval'!V53</f>
        <v/>
      </c>
      <c r="AA53" s="65" t="str">
        <f>'review 1 - annotator 2 - eval'!W53</f>
        <v/>
      </c>
      <c r="AB53" s="65" t="str">
        <f>'review 1 - annotator 2 - eval'!X53</f>
        <v/>
      </c>
    </row>
    <row r="54">
      <c r="A54" s="8" t="s">
        <v>946</v>
      </c>
      <c r="B54" s="63">
        <v>1.0</v>
      </c>
      <c r="C54" s="7">
        <v>1.0</v>
      </c>
      <c r="D54" s="7">
        <v>1.0</v>
      </c>
      <c r="E54" s="64"/>
      <c r="F54" s="63">
        <v>1.0</v>
      </c>
      <c r="G54" s="7">
        <v>1.0</v>
      </c>
      <c r="H54" s="7">
        <v>1.0</v>
      </c>
      <c r="I54" s="64"/>
      <c r="J54" s="63">
        <v>1.0</v>
      </c>
      <c r="K54" s="7">
        <v>1.0</v>
      </c>
      <c r="L54" s="7">
        <v>1.0</v>
      </c>
      <c r="M54" s="64"/>
      <c r="N54" s="63">
        <v>1.0</v>
      </c>
      <c r="O54" s="7">
        <v>1.0</v>
      </c>
      <c r="P54" s="7">
        <v>1.0</v>
      </c>
      <c r="Q54" s="64"/>
      <c r="R54" s="63">
        <v>1.0</v>
      </c>
      <c r="S54" s="7">
        <v>1.0</v>
      </c>
      <c r="T54" s="7">
        <v>1.0</v>
      </c>
      <c r="U54" s="64"/>
      <c r="V54" s="65">
        <f t="shared" ref="V54:X54" si="36">SUM(B54,F54,J54,N54,R54)</f>
        <v>5</v>
      </c>
      <c r="W54" s="65">
        <f t="shared" si="36"/>
        <v>5</v>
      </c>
      <c r="X54" s="65">
        <f t="shared" si="36"/>
        <v>5</v>
      </c>
      <c r="Z54" s="65">
        <f>'review 1 - annotator 2 - eval'!V54</f>
        <v>5</v>
      </c>
      <c r="AA54" s="65">
        <f>'review 1 - annotator 2 - eval'!W54</f>
        <v>4</v>
      </c>
      <c r="AB54" s="65">
        <f>'review 1 - annotator 2 - eval'!X54</f>
        <v>5</v>
      </c>
    </row>
    <row r="55">
      <c r="A55" s="8" t="s">
        <v>947</v>
      </c>
      <c r="B55" s="63">
        <v>1.0</v>
      </c>
      <c r="C55" s="7">
        <v>1.0</v>
      </c>
      <c r="D55" s="7">
        <v>1.0</v>
      </c>
      <c r="E55" s="64"/>
      <c r="F55" s="63">
        <v>1.0</v>
      </c>
      <c r="G55" s="7">
        <v>1.0</v>
      </c>
      <c r="H55" s="7">
        <v>1.0</v>
      </c>
      <c r="I55" s="64"/>
      <c r="J55" s="63">
        <v>1.0</v>
      </c>
      <c r="K55" s="7">
        <v>1.0</v>
      </c>
      <c r="L55" s="7">
        <v>1.0</v>
      </c>
      <c r="M55" s="64"/>
      <c r="N55" s="63">
        <v>1.0</v>
      </c>
      <c r="O55" s="7">
        <v>1.0</v>
      </c>
      <c r="P55" s="7">
        <v>1.0</v>
      </c>
      <c r="Q55" s="64"/>
      <c r="R55" s="63">
        <v>1.0</v>
      </c>
      <c r="S55" s="7">
        <v>1.0</v>
      </c>
      <c r="T55" s="7">
        <v>1.0</v>
      </c>
      <c r="U55" s="64"/>
      <c r="V55" s="65">
        <f t="shared" ref="V55:X55" si="37">SUM(B55,F55,J55,N55,R55)</f>
        <v>5</v>
      </c>
      <c r="W55" s="65">
        <f t="shared" si="37"/>
        <v>5</v>
      </c>
      <c r="X55" s="65">
        <f t="shared" si="37"/>
        <v>5</v>
      </c>
      <c r="Z55" s="65">
        <f>'review 1 - annotator 2 - eval'!V55</f>
        <v>5</v>
      </c>
      <c r="AA55" s="65">
        <f>'review 1 - annotator 2 - eval'!W55</f>
        <v>4</v>
      </c>
      <c r="AB55" s="65">
        <f>'review 1 - annotator 2 - eval'!X55</f>
        <v>5</v>
      </c>
    </row>
    <row r="56">
      <c r="A56" s="8" t="s">
        <v>948</v>
      </c>
      <c r="B56" s="63">
        <v>0.0</v>
      </c>
      <c r="C56" s="7">
        <v>1.0</v>
      </c>
      <c r="D56" s="7">
        <v>1.0</v>
      </c>
      <c r="E56" s="64"/>
      <c r="F56" s="63">
        <v>1.0</v>
      </c>
      <c r="G56" s="7">
        <v>1.0</v>
      </c>
      <c r="H56" s="7">
        <v>1.0</v>
      </c>
      <c r="I56" s="64"/>
      <c r="J56" s="63">
        <v>1.0</v>
      </c>
      <c r="K56" s="7">
        <v>1.0</v>
      </c>
      <c r="L56" s="7">
        <v>1.0</v>
      </c>
      <c r="M56" s="64"/>
      <c r="N56" s="63">
        <v>1.0</v>
      </c>
      <c r="O56" s="7">
        <v>1.0</v>
      </c>
      <c r="P56" s="7">
        <v>1.0</v>
      </c>
      <c r="Q56" s="64"/>
      <c r="R56" s="63">
        <v>1.0</v>
      </c>
      <c r="S56" s="7">
        <v>1.0</v>
      </c>
      <c r="T56" s="7">
        <v>1.0</v>
      </c>
      <c r="U56" s="64"/>
      <c r="V56" s="65">
        <f t="shared" ref="V56:X56" si="38">SUM(B56,F56,J56,N56,R56)</f>
        <v>4</v>
      </c>
      <c r="W56" s="65">
        <f t="shared" si="38"/>
        <v>5</v>
      </c>
      <c r="X56" s="65">
        <f t="shared" si="38"/>
        <v>5</v>
      </c>
      <c r="Z56" s="65">
        <f>'review 1 - annotator 2 - eval'!V56</f>
        <v>5</v>
      </c>
      <c r="AA56" s="65">
        <f>'review 1 - annotator 2 - eval'!W56</f>
        <v>4</v>
      </c>
      <c r="AB56" s="65">
        <f>'review 1 - annotator 2 - eval'!X56</f>
        <v>5</v>
      </c>
    </row>
    <row r="57">
      <c r="A57" s="8" t="s">
        <v>949</v>
      </c>
      <c r="B57" s="63">
        <v>1.0</v>
      </c>
      <c r="C57" s="7">
        <v>1.0</v>
      </c>
      <c r="D57" s="7">
        <v>1.0</v>
      </c>
      <c r="E57" s="64"/>
      <c r="F57" s="63">
        <v>1.0</v>
      </c>
      <c r="G57" s="7">
        <v>1.0</v>
      </c>
      <c r="H57" s="7">
        <v>1.0</v>
      </c>
      <c r="I57" s="64"/>
      <c r="J57" s="63">
        <v>1.0</v>
      </c>
      <c r="K57" s="7">
        <v>1.0</v>
      </c>
      <c r="L57" s="7">
        <v>1.0</v>
      </c>
      <c r="M57" s="64"/>
      <c r="N57" s="63">
        <v>1.0</v>
      </c>
      <c r="O57" s="7">
        <v>1.0</v>
      </c>
      <c r="P57" s="7">
        <v>1.0</v>
      </c>
      <c r="Q57" s="64"/>
      <c r="R57" s="63">
        <v>1.0</v>
      </c>
      <c r="S57" s="7">
        <v>1.0</v>
      </c>
      <c r="T57" s="7">
        <v>1.0</v>
      </c>
      <c r="U57" s="64"/>
      <c r="V57" s="65">
        <f t="shared" ref="V57:X57" si="39">SUM(B57,F57,J57,N57,R57)</f>
        <v>5</v>
      </c>
      <c r="W57" s="65">
        <f t="shared" si="39"/>
        <v>5</v>
      </c>
      <c r="X57" s="65">
        <f t="shared" si="39"/>
        <v>5</v>
      </c>
      <c r="Z57" s="65">
        <f>'review 1 - annotator 2 - eval'!V57</f>
        <v>5</v>
      </c>
      <c r="AA57" s="65">
        <f>'review 1 - annotator 2 - eval'!W57</f>
        <v>4</v>
      </c>
      <c r="AB57" s="65">
        <f>'review 1 - annotator 2 - eval'!X57</f>
        <v>5</v>
      </c>
    </row>
    <row r="58">
      <c r="A58" s="8" t="s">
        <v>950</v>
      </c>
      <c r="B58" s="63">
        <v>1.0</v>
      </c>
      <c r="C58" s="7">
        <v>1.0</v>
      </c>
      <c r="D58" s="7">
        <v>1.0</v>
      </c>
      <c r="E58" s="64"/>
      <c r="F58" s="63">
        <v>1.0</v>
      </c>
      <c r="G58" s="7">
        <v>1.0</v>
      </c>
      <c r="H58" s="7">
        <v>1.0</v>
      </c>
      <c r="I58" s="64"/>
      <c r="J58" s="63">
        <v>1.0</v>
      </c>
      <c r="K58" s="7">
        <v>1.0</v>
      </c>
      <c r="L58" s="7">
        <v>1.0</v>
      </c>
      <c r="M58" s="64"/>
      <c r="N58" s="63">
        <v>1.0</v>
      </c>
      <c r="O58" s="7">
        <v>1.0</v>
      </c>
      <c r="P58" s="7">
        <v>1.0</v>
      </c>
      <c r="Q58" s="64"/>
      <c r="R58" s="63">
        <v>1.0</v>
      </c>
      <c r="S58" s="7">
        <v>1.0</v>
      </c>
      <c r="T58" s="7">
        <v>1.0</v>
      </c>
      <c r="U58" s="64"/>
      <c r="V58" s="65">
        <f t="shared" ref="V58:X58" si="40">SUM(B58,F58,J58,N58,R58)</f>
        <v>5</v>
      </c>
      <c r="W58" s="65">
        <f t="shared" si="40"/>
        <v>5</v>
      </c>
      <c r="X58" s="65">
        <f t="shared" si="40"/>
        <v>5</v>
      </c>
      <c r="Z58" s="65">
        <f>'review 1 - annotator 2 - eval'!V58</f>
        <v>4</v>
      </c>
      <c r="AA58" s="65">
        <f>'review 1 - annotator 2 - eval'!W58</f>
        <v>4</v>
      </c>
      <c r="AB58" s="65">
        <f>'review 1 - annotator 2 - eval'!X58</f>
        <v>5</v>
      </c>
    </row>
    <row r="59">
      <c r="A59" s="8" t="s">
        <v>951</v>
      </c>
      <c r="B59" s="63">
        <v>1.0</v>
      </c>
      <c r="C59" s="7">
        <v>1.0</v>
      </c>
      <c r="D59" s="7">
        <v>1.0</v>
      </c>
      <c r="E59" s="64"/>
      <c r="F59" s="63">
        <v>1.0</v>
      </c>
      <c r="G59" s="7">
        <v>1.0</v>
      </c>
      <c r="H59" s="7">
        <v>1.0</v>
      </c>
      <c r="I59" s="64"/>
      <c r="J59" s="63">
        <v>1.0</v>
      </c>
      <c r="K59" s="7">
        <v>1.0</v>
      </c>
      <c r="L59" s="7">
        <v>1.0</v>
      </c>
      <c r="M59" s="64"/>
      <c r="N59" s="63">
        <v>1.0</v>
      </c>
      <c r="O59" s="7">
        <v>1.0</v>
      </c>
      <c r="P59" s="7">
        <v>1.0</v>
      </c>
      <c r="Q59" s="64"/>
      <c r="R59" s="63">
        <v>1.0</v>
      </c>
      <c r="S59" s="7">
        <v>1.0</v>
      </c>
      <c r="T59" s="7">
        <v>1.0</v>
      </c>
      <c r="U59" s="64"/>
      <c r="V59" s="65">
        <f t="shared" ref="V59:X59" si="41">SUM(B59,F59,J59,N59,R59)</f>
        <v>5</v>
      </c>
      <c r="W59" s="65">
        <f t="shared" si="41"/>
        <v>5</v>
      </c>
      <c r="X59" s="65">
        <f t="shared" si="41"/>
        <v>5</v>
      </c>
      <c r="Z59" s="65">
        <f>'review 1 - annotator 2 - eval'!V59</f>
        <v>5</v>
      </c>
      <c r="AA59" s="65">
        <f>'review 1 - annotator 2 - eval'!W59</f>
        <v>4</v>
      </c>
      <c r="AB59" s="65">
        <f>'review 1 - annotator 2 - eval'!X59</f>
        <v>5</v>
      </c>
    </row>
    <row r="60">
      <c r="A60" s="8" t="s">
        <v>952</v>
      </c>
      <c r="B60" s="66">
        <v>1.0</v>
      </c>
      <c r="C60" s="67">
        <v>1.0</v>
      </c>
      <c r="D60" s="67">
        <v>1.0</v>
      </c>
      <c r="E60" s="68"/>
      <c r="F60" s="66">
        <v>1.0</v>
      </c>
      <c r="G60" s="67">
        <v>1.0</v>
      </c>
      <c r="H60" s="67">
        <v>1.0</v>
      </c>
      <c r="I60" s="68"/>
      <c r="J60" s="66">
        <v>1.0</v>
      </c>
      <c r="K60" s="67">
        <v>1.0</v>
      </c>
      <c r="L60" s="67">
        <v>1.0</v>
      </c>
      <c r="M60" s="68"/>
      <c r="N60" s="66">
        <v>1.0</v>
      </c>
      <c r="O60" s="67">
        <v>1.0</v>
      </c>
      <c r="P60" s="67">
        <v>1.0</v>
      </c>
      <c r="Q60" s="68"/>
      <c r="R60" s="66">
        <v>1.0</v>
      </c>
      <c r="S60" s="67">
        <v>1.0</v>
      </c>
      <c r="T60" s="67">
        <v>1.0</v>
      </c>
      <c r="U60" s="68"/>
      <c r="V60" s="65">
        <f t="shared" ref="V60:X60" si="42">SUM(B60,F60,J60,N60,R60)</f>
        <v>5</v>
      </c>
      <c r="W60" s="65">
        <f t="shared" si="42"/>
        <v>5</v>
      </c>
      <c r="X60" s="65">
        <f t="shared" si="42"/>
        <v>5</v>
      </c>
      <c r="Z60" s="65">
        <f>'review 1 - annotator 2 - eval'!V60</f>
        <v>5</v>
      </c>
      <c r="AA60" s="65">
        <f>'review 1 - annotator 2 - eval'!W60</f>
        <v>4</v>
      </c>
      <c r="AB60" s="65">
        <f>'review 1 - annotator 2 - eval'!X60</f>
        <v>5</v>
      </c>
    </row>
    <row r="61">
      <c r="A61" s="26" t="s">
        <v>500</v>
      </c>
      <c r="B61" s="52" t="s">
        <v>935</v>
      </c>
      <c r="F61" s="53" t="s">
        <v>936</v>
      </c>
      <c r="J61" s="54" t="s">
        <v>937</v>
      </c>
      <c r="N61" s="55" t="s">
        <v>938</v>
      </c>
      <c r="R61" s="56" t="s">
        <v>939</v>
      </c>
      <c r="Z61" s="65" t="str">
        <f>'review 1 - annotator 2 - eval'!V61</f>
        <v/>
      </c>
      <c r="AA61" s="65" t="str">
        <f>'review 1 - annotator 2 - eval'!W61</f>
        <v/>
      </c>
      <c r="AB61" s="65" t="str">
        <f>'review 1 - annotator 2 - eval'!X61</f>
        <v/>
      </c>
    </row>
    <row r="62">
      <c r="B62" s="57" t="s">
        <v>51</v>
      </c>
      <c r="E62" s="58"/>
      <c r="F62" s="57" t="s">
        <v>955</v>
      </c>
      <c r="I62" s="58"/>
      <c r="J62" s="57" t="s">
        <v>18</v>
      </c>
      <c r="M62" s="58"/>
      <c r="N62" s="57" t="s">
        <v>49</v>
      </c>
      <c r="Q62" s="58"/>
      <c r="R62" s="57" t="s">
        <v>348</v>
      </c>
      <c r="U62" s="58"/>
      <c r="Z62" s="65" t="str">
        <f>'review 1 - annotator 2 - eval'!V62</f>
        <v/>
      </c>
      <c r="AA62" s="65" t="str">
        <f>'review 1 - annotator 2 - eval'!W62</f>
        <v/>
      </c>
      <c r="AB62" s="65" t="str">
        <f>'review 1 - annotator 2 - eval'!X62</f>
        <v/>
      </c>
    </row>
    <row r="63">
      <c r="B63" s="60" t="s">
        <v>943</v>
      </c>
      <c r="C63" s="61" t="s">
        <v>944</v>
      </c>
      <c r="D63" s="61" t="s">
        <v>945</v>
      </c>
      <c r="E63" s="62"/>
      <c r="F63" s="60" t="s">
        <v>943</v>
      </c>
      <c r="G63" s="61" t="s">
        <v>944</v>
      </c>
      <c r="H63" s="61" t="s">
        <v>945</v>
      </c>
      <c r="I63" s="62"/>
      <c r="J63" s="60" t="s">
        <v>943</v>
      </c>
      <c r="K63" s="61" t="s">
        <v>944</v>
      </c>
      <c r="L63" s="61" t="s">
        <v>945</v>
      </c>
      <c r="M63" s="62"/>
      <c r="N63" s="60" t="s">
        <v>943</v>
      </c>
      <c r="O63" s="61" t="s">
        <v>944</v>
      </c>
      <c r="P63" s="61" t="s">
        <v>945</v>
      </c>
      <c r="Q63" s="62"/>
      <c r="R63" s="60" t="s">
        <v>943</v>
      </c>
      <c r="S63" s="61" t="s">
        <v>944</v>
      </c>
      <c r="T63" s="61" t="s">
        <v>945</v>
      </c>
      <c r="U63" s="62"/>
      <c r="Z63" s="65" t="str">
        <f>'review 1 - annotator 2 - eval'!V63</f>
        <v/>
      </c>
      <c r="AA63" s="65" t="str">
        <f>'review 1 - annotator 2 - eval'!W63</f>
        <v/>
      </c>
      <c r="AB63" s="65" t="str">
        <f>'review 1 - annotator 2 - eval'!X63</f>
        <v/>
      </c>
    </row>
    <row r="64">
      <c r="A64" s="8" t="s">
        <v>946</v>
      </c>
      <c r="B64" s="63">
        <v>0.0</v>
      </c>
      <c r="C64" s="7">
        <v>0.0</v>
      </c>
      <c r="D64" s="7">
        <v>1.0</v>
      </c>
      <c r="E64" s="64"/>
      <c r="F64" s="63">
        <v>1.0</v>
      </c>
      <c r="G64" s="7">
        <v>1.0</v>
      </c>
      <c r="H64" s="7">
        <v>1.0</v>
      </c>
      <c r="I64" s="64"/>
      <c r="J64" s="63">
        <v>1.0</v>
      </c>
      <c r="K64" s="7">
        <v>1.0</v>
      </c>
      <c r="L64" s="7">
        <v>1.0</v>
      </c>
      <c r="M64" s="64"/>
      <c r="N64" s="63">
        <v>0.0</v>
      </c>
      <c r="O64" s="7">
        <v>0.0</v>
      </c>
      <c r="P64" s="7">
        <v>0.0</v>
      </c>
      <c r="Q64" s="64"/>
      <c r="R64" s="63">
        <v>1.0</v>
      </c>
      <c r="S64" s="7">
        <v>1.0</v>
      </c>
      <c r="T64" s="7">
        <v>1.0</v>
      </c>
      <c r="U64" s="64"/>
      <c r="V64" s="65">
        <f t="shared" ref="V64:X64" si="43">SUM(B64,F64,J64,N64,R64)</f>
        <v>3</v>
      </c>
      <c r="W64" s="65">
        <f t="shared" si="43"/>
        <v>3</v>
      </c>
      <c r="X64" s="65">
        <f t="shared" si="43"/>
        <v>4</v>
      </c>
      <c r="Z64" s="65">
        <f>'review 1 - annotator 2 - eval'!V64</f>
        <v>2</v>
      </c>
      <c r="AA64" s="65">
        <f>'review 1 - annotator 2 - eval'!W64</f>
        <v>3</v>
      </c>
      <c r="AB64" s="65">
        <f>'review 1 - annotator 2 - eval'!X64</f>
        <v>4</v>
      </c>
    </row>
    <row r="65">
      <c r="A65" s="8" t="s">
        <v>947</v>
      </c>
      <c r="B65" s="63">
        <v>1.0</v>
      </c>
      <c r="C65" s="7">
        <v>1.0</v>
      </c>
      <c r="D65" s="7">
        <v>1.0</v>
      </c>
      <c r="E65" s="64"/>
      <c r="F65" s="63">
        <v>1.0</v>
      </c>
      <c r="G65" s="7">
        <v>1.0</v>
      </c>
      <c r="H65" s="7">
        <v>1.0</v>
      </c>
      <c r="I65" s="64"/>
      <c r="J65" s="63">
        <v>1.0</v>
      </c>
      <c r="K65" s="7">
        <v>1.0</v>
      </c>
      <c r="L65" s="7">
        <v>1.0</v>
      </c>
      <c r="M65" s="64"/>
      <c r="N65" s="63">
        <v>0.0</v>
      </c>
      <c r="O65" s="7">
        <v>0.0</v>
      </c>
      <c r="P65" s="7">
        <v>0.0</v>
      </c>
      <c r="Q65" s="64"/>
      <c r="R65" s="63">
        <v>1.0</v>
      </c>
      <c r="S65" s="7">
        <v>1.0</v>
      </c>
      <c r="T65" s="7">
        <v>1.0</v>
      </c>
      <c r="U65" s="64"/>
      <c r="V65" s="65">
        <f t="shared" ref="V65:X65" si="44">SUM(B65,F65,J65,N65,R65)</f>
        <v>4</v>
      </c>
      <c r="W65" s="65">
        <f t="shared" si="44"/>
        <v>4</v>
      </c>
      <c r="X65" s="65">
        <f t="shared" si="44"/>
        <v>4</v>
      </c>
      <c r="Z65" s="65">
        <f>'review 1 - annotator 2 - eval'!V65</f>
        <v>4</v>
      </c>
      <c r="AA65" s="65">
        <f>'review 1 - annotator 2 - eval'!W65</f>
        <v>4</v>
      </c>
      <c r="AB65" s="65">
        <f>'review 1 - annotator 2 - eval'!X65</f>
        <v>4</v>
      </c>
    </row>
    <row r="66">
      <c r="A66" s="8" t="s">
        <v>948</v>
      </c>
      <c r="B66" s="63">
        <v>0.0</v>
      </c>
      <c r="C66" s="7">
        <v>0.0</v>
      </c>
      <c r="D66" s="7">
        <v>1.0</v>
      </c>
      <c r="E66" s="64"/>
      <c r="F66" s="63">
        <v>1.0</v>
      </c>
      <c r="G66" s="7">
        <v>1.0</v>
      </c>
      <c r="H66" s="7">
        <v>1.0</v>
      </c>
      <c r="I66" s="64"/>
      <c r="J66" s="63">
        <v>1.0</v>
      </c>
      <c r="K66" s="7">
        <v>1.0</v>
      </c>
      <c r="L66" s="7">
        <v>1.0</v>
      </c>
      <c r="M66" s="64"/>
      <c r="N66" s="63">
        <v>0.0</v>
      </c>
      <c r="O66" s="7">
        <v>0.0</v>
      </c>
      <c r="P66" s="7">
        <v>0.0</v>
      </c>
      <c r="Q66" s="64"/>
      <c r="R66" s="63">
        <v>1.0</v>
      </c>
      <c r="S66" s="7">
        <v>1.0</v>
      </c>
      <c r="T66" s="7">
        <v>1.0</v>
      </c>
      <c r="U66" s="64"/>
      <c r="V66" s="65">
        <f t="shared" ref="V66:X66" si="45">SUM(B66,F66,J66,N66,R66)</f>
        <v>3</v>
      </c>
      <c r="W66" s="65">
        <f t="shared" si="45"/>
        <v>3</v>
      </c>
      <c r="X66" s="65">
        <f t="shared" si="45"/>
        <v>4</v>
      </c>
      <c r="Z66" s="65">
        <f>'review 1 - annotator 2 - eval'!V66</f>
        <v>3</v>
      </c>
      <c r="AA66" s="65">
        <f>'review 1 - annotator 2 - eval'!W66</f>
        <v>3</v>
      </c>
      <c r="AB66" s="65">
        <f>'review 1 - annotator 2 - eval'!X66</f>
        <v>4</v>
      </c>
    </row>
    <row r="67">
      <c r="A67" s="8" t="s">
        <v>949</v>
      </c>
      <c r="B67" s="63">
        <v>1.0</v>
      </c>
      <c r="C67" s="7">
        <v>1.0</v>
      </c>
      <c r="D67" s="7">
        <v>1.0</v>
      </c>
      <c r="E67" s="64"/>
      <c r="F67" s="63">
        <v>1.0</v>
      </c>
      <c r="G67" s="7">
        <v>1.0</v>
      </c>
      <c r="H67" s="7">
        <v>1.0</v>
      </c>
      <c r="I67" s="64"/>
      <c r="J67" s="63">
        <v>1.0</v>
      </c>
      <c r="K67" s="7">
        <v>1.0</v>
      </c>
      <c r="L67" s="7">
        <v>1.0</v>
      </c>
      <c r="M67" s="64"/>
      <c r="N67" s="63">
        <v>0.0</v>
      </c>
      <c r="O67" s="7">
        <v>0.0</v>
      </c>
      <c r="P67" s="7">
        <v>0.0</v>
      </c>
      <c r="Q67" s="64"/>
      <c r="R67" s="63">
        <v>1.0</v>
      </c>
      <c r="S67" s="7">
        <v>1.0</v>
      </c>
      <c r="T67" s="7">
        <v>1.0</v>
      </c>
      <c r="U67" s="64"/>
      <c r="V67" s="65">
        <f t="shared" ref="V67:X67" si="46">SUM(B67,F67,J67,N67,R67)</f>
        <v>4</v>
      </c>
      <c r="W67" s="65">
        <f t="shared" si="46"/>
        <v>4</v>
      </c>
      <c r="X67" s="65">
        <f t="shared" si="46"/>
        <v>4</v>
      </c>
      <c r="Z67" s="65">
        <f>'review 1 - annotator 2 - eval'!V67</f>
        <v>4</v>
      </c>
      <c r="AA67" s="65">
        <f>'review 1 - annotator 2 - eval'!W67</f>
        <v>4</v>
      </c>
      <c r="AB67" s="65">
        <f>'review 1 - annotator 2 - eval'!X67</f>
        <v>4</v>
      </c>
    </row>
    <row r="68">
      <c r="A68" s="8" t="s">
        <v>950</v>
      </c>
      <c r="B68" s="63">
        <v>1.0</v>
      </c>
      <c r="C68" s="7">
        <v>1.0</v>
      </c>
      <c r="D68" s="7">
        <v>1.0</v>
      </c>
      <c r="E68" s="64"/>
      <c r="F68" s="63">
        <v>1.0</v>
      </c>
      <c r="G68" s="7">
        <v>1.0</v>
      </c>
      <c r="H68" s="7">
        <v>1.0</v>
      </c>
      <c r="I68" s="64"/>
      <c r="J68" s="63">
        <v>1.0</v>
      </c>
      <c r="K68" s="7">
        <v>1.0</v>
      </c>
      <c r="L68" s="7">
        <v>1.0</v>
      </c>
      <c r="M68" s="64"/>
      <c r="N68" s="63">
        <v>0.0</v>
      </c>
      <c r="O68" s="7">
        <v>0.0</v>
      </c>
      <c r="P68" s="7">
        <v>0.0</v>
      </c>
      <c r="Q68" s="64"/>
      <c r="R68" s="63">
        <v>1.0</v>
      </c>
      <c r="S68" s="7">
        <v>1.0</v>
      </c>
      <c r="T68" s="7">
        <v>1.0</v>
      </c>
      <c r="U68" s="64"/>
      <c r="V68" s="65">
        <f t="shared" ref="V68:X68" si="47">SUM(B68,F68,J68,N68,R68)</f>
        <v>4</v>
      </c>
      <c r="W68" s="65">
        <f t="shared" si="47"/>
        <v>4</v>
      </c>
      <c r="X68" s="65">
        <f t="shared" si="47"/>
        <v>4</v>
      </c>
      <c r="Z68" s="65">
        <f>'review 1 - annotator 2 - eval'!V68</f>
        <v>3</v>
      </c>
      <c r="AA68" s="65">
        <f>'review 1 - annotator 2 - eval'!W68</f>
        <v>4</v>
      </c>
      <c r="AB68" s="65">
        <f>'review 1 - annotator 2 - eval'!X68</f>
        <v>4</v>
      </c>
    </row>
    <row r="69">
      <c r="A69" s="8" t="s">
        <v>951</v>
      </c>
      <c r="B69" s="63">
        <v>1.0</v>
      </c>
      <c r="C69" s="7">
        <v>1.0</v>
      </c>
      <c r="D69" s="7">
        <v>1.0</v>
      </c>
      <c r="E69" s="64"/>
      <c r="F69" s="63">
        <v>1.0</v>
      </c>
      <c r="G69" s="7">
        <v>1.0</v>
      </c>
      <c r="H69" s="7">
        <v>1.0</v>
      </c>
      <c r="I69" s="64"/>
      <c r="J69" s="63">
        <v>1.0</v>
      </c>
      <c r="K69" s="7">
        <v>1.0</v>
      </c>
      <c r="L69" s="7">
        <v>1.0</v>
      </c>
      <c r="M69" s="64"/>
      <c r="N69" s="63">
        <v>0.0</v>
      </c>
      <c r="O69" s="7">
        <v>0.0</v>
      </c>
      <c r="P69" s="7">
        <v>0.0</v>
      </c>
      <c r="Q69" s="64"/>
      <c r="R69" s="63">
        <v>1.0</v>
      </c>
      <c r="S69" s="7">
        <v>1.0</v>
      </c>
      <c r="T69" s="7">
        <v>1.0</v>
      </c>
      <c r="U69" s="64"/>
      <c r="V69" s="65">
        <f t="shared" ref="V69:X69" si="48">SUM(B69,F69,J69,N69,R69)</f>
        <v>4</v>
      </c>
      <c r="W69" s="65">
        <f t="shared" si="48"/>
        <v>4</v>
      </c>
      <c r="X69" s="65">
        <f t="shared" si="48"/>
        <v>4</v>
      </c>
      <c r="Z69" s="65">
        <f>'review 1 - annotator 2 - eval'!V69</f>
        <v>4</v>
      </c>
      <c r="AA69" s="65">
        <f>'review 1 - annotator 2 - eval'!W69</f>
        <v>4</v>
      </c>
      <c r="AB69" s="65">
        <f>'review 1 - annotator 2 - eval'!X69</f>
        <v>4</v>
      </c>
    </row>
    <row r="70">
      <c r="A70" s="8" t="s">
        <v>952</v>
      </c>
      <c r="B70" s="66">
        <v>1.0</v>
      </c>
      <c r="C70" s="67">
        <v>1.0</v>
      </c>
      <c r="D70" s="67">
        <v>1.0</v>
      </c>
      <c r="E70" s="68"/>
      <c r="F70" s="66">
        <v>1.0</v>
      </c>
      <c r="G70" s="67">
        <v>1.0</v>
      </c>
      <c r="H70" s="67">
        <v>1.0</v>
      </c>
      <c r="I70" s="68"/>
      <c r="J70" s="66">
        <v>1.0</v>
      </c>
      <c r="K70" s="67">
        <v>1.0</v>
      </c>
      <c r="L70" s="67">
        <v>1.0</v>
      </c>
      <c r="M70" s="68"/>
      <c r="N70" s="66">
        <v>0.0</v>
      </c>
      <c r="O70" s="67">
        <v>0.0</v>
      </c>
      <c r="P70" s="67">
        <v>0.0</v>
      </c>
      <c r="Q70" s="68"/>
      <c r="R70" s="66">
        <v>1.0</v>
      </c>
      <c r="S70" s="67">
        <v>1.0</v>
      </c>
      <c r="T70" s="67">
        <v>1.0</v>
      </c>
      <c r="U70" s="68"/>
      <c r="V70" s="65">
        <f t="shared" ref="V70:X70" si="49">SUM(B70,F70,J70,N70,R70)</f>
        <v>4</v>
      </c>
      <c r="W70" s="65">
        <f t="shared" si="49"/>
        <v>4</v>
      </c>
      <c r="X70" s="65">
        <f t="shared" si="49"/>
        <v>4</v>
      </c>
      <c r="Z70" s="65">
        <f>'review 1 - annotator 2 - eval'!V70</f>
        <v>4</v>
      </c>
      <c r="AA70" s="65">
        <f>'review 1 - annotator 2 - eval'!W70</f>
        <v>4</v>
      </c>
      <c r="AB70" s="65">
        <f>'review 1 - annotator 2 - eval'!X70</f>
        <v>4</v>
      </c>
    </row>
    <row r="71">
      <c r="A71" s="26" t="s">
        <v>508</v>
      </c>
      <c r="B71" s="52" t="s">
        <v>935</v>
      </c>
      <c r="F71" s="53" t="s">
        <v>936</v>
      </c>
      <c r="J71" s="54" t="s">
        <v>937</v>
      </c>
      <c r="N71" s="55" t="s">
        <v>938</v>
      </c>
      <c r="R71" s="56" t="s">
        <v>939</v>
      </c>
      <c r="Z71" s="65" t="str">
        <f>'review 1 - annotator 2 - eval'!V71</f>
        <v/>
      </c>
      <c r="AA71" s="65" t="str">
        <f>'review 1 - annotator 2 - eval'!W71</f>
        <v/>
      </c>
      <c r="AB71" s="65" t="str">
        <f>'review 1 - annotator 2 - eval'!X71</f>
        <v/>
      </c>
    </row>
    <row r="72">
      <c r="B72" s="57" t="s">
        <v>210</v>
      </c>
      <c r="E72" s="58"/>
      <c r="F72" s="57" t="s">
        <v>956</v>
      </c>
      <c r="I72" s="58"/>
      <c r="J72" s="57" t="s">
        <v>207</v>
      </c>
      <c r="M72" s="58"/>
      <c r="N72" s="59" t="s">
        <v>957</v>
      </c>
      <c r="R72" s="57" t="s">
        <v>958</v>
      </c>
      <c r="U72" s="58"/>
      <c r="Z72" s="65" t="str">
        <f>'review 1 - annotator 2 - eval'!V72</f>
        <v/>
      </c>
      <c r="AA72" s="65" t="str">
        <f>'review 1 - annotator 2 - eval'!W72</f>
        <v/>
      </c>
      <c r="AB72" s="65" t="str">
        <f>'review 1 - annotator 2 - eval'!X72</f>
        <v/>
      </c>
    </row>
    <row r="73">
      <c r="B73" s="60" t="s">
        <v>943</v>
      </c>
      <c r="C73" s="61" t="s">
        <v>944</v>
      </c>
      <c r="D73" s="61" t="s">
        <v>945</v>
      </c>
      <c r="E73" s="62"/>
      <c r="F73" s="60" t="s">
        <v>943</v>
      </c>
      <c r="G73" s="61" t="s">
        <v>944</v>
      </c>
      <c r="H73" s="61" t="s">
        <v>945</v>
      </c>
      <c r="I73" s="62"/>
      <c r="J73" s="60" t="s">
        <v>943</v>
      </c>
      <c r="K73" s="61" t="s">
        <v>944</v>
      </c>
      <c r="L73" s="61" t="s">
        <v>945</v>
      </c>
      <c r="M73" s="62"/>
      <c r="N73" s="60" t="s">
        <v>943</v>
      </c>
      <c r="O73" s="61" t="s">
        <v>944</v>
      </c>
      <c r="P73" s="61" t="s">
        <v>945</v>
      </c>
      <c r="Q73" s="62"/>
      <c r="R73" s="60" t="s">
        <v>943</v>
      </c>
      <c r="S73" s="61" t="s">
        <v>944</v>
      </c>
      <c r="T73" s="61" t="s">
        <v>945</v>
      </c>
      <c r="U73" s="62"/>
      <c r="Z73" s="65" t="str">
        <f>'review 1 - annotator 2 - eval'!V73</f>
        <v/>
      </c>
      <c r="AA73" s="65" t="str">
        <f>'review 1 - annotator 2 - eval'!W73</f>
        <v/>
      </c>
      <c r="AB73" s="65" t="str">
        <f>'review 1 - annotator 2 - eval'!X73</f>
        <v/>
      </c>
    </row>
    <row r="74">
      <c r="A74" s="8" t="s">
        <v>946</v>
      </c>
      <c r="B74" s="63">
        <v>1.0</v>
      </c>
      <c r="C74" s="7">
        <v>1.0</v>
      </c>
      <c r="D74" s="7">
        <v>1.0</v>
      </c>
      <c r="E74" s="64"/>
      <c r="F74" s="63">
        <v>1.0</v>
      </c>
      <c r="G74" s="7">
        <v>1.0</v>
      </c>
      <c r="H74" s="7">
        <v>1.0</v>
      </c>
      <c r="I74" s="64"/>
      <c r="J74" s="63">
        <v>1.0</v>
      </c>
      <c r="K74" s="7">
        <v>1.0</v>
      </c>
      <c r="L74" s="7">
        <v>1.0</v>
      </c>
      <c r="M74" s="64"/>
      <c r="N74" s="63">
        <v>1.0</v>
      </c>
      <c r="O74" s="7">
        <v>1.0</v>
      </c>
      <c r="P74" s="7">
        <v>1.0</v>
      </c>
      <c r="Q74" s="64"/>
      <c r="R74" s="63">
        <v>0.0</v>
      </c>
      <c r="S74" s="7">
        <v>1.0</v>
      </c>
      <c r="T74" s="7">
        <v>1.0</v>
      </c>
      <c r="U74" s="64"/>
      <c r="V74" s="65">
        <f t="shared" ref="V74:X74" si="50">SUM(B74,F74,J74,N74,R74)</f>
        <v>4</v>
      </c>
      <c r="W74" s="65">
        <f t="shared" si="50"/>
        <v>5</v>
      </c>
      <c r="X74" s="65">
        <f t="shared" si="50"/>
        <v>5</v>
      </c>
      <c r="Z74" s="65">
        <f>'review 1 - annotator 2 - eval'!V74</f>
        <v>4</v>
      </c>
      <c r="AA74" s="65">
        <f>'review 1 - annotator 2 - eval'!W74</f>
        <v>5</v>
      </c>
      <c r="AB74" s="65">
        <f>'review 1 - annotator 2 - eval'!X74</f>
        <v>5</v>
      </c>
    </row>
    <row r="75">
      <c r="A75" s="8" t="s">
        <v>947</v>
      </c>
      <c r="B75" s="63">
        <v>1.0</v>
      </c>
      <c r="C75" s="7">
        <v>1.0</v>
      </c>
      <c r="D75" s="7">
        <v>1.0</v>
      </c>
      <c r="E75" s="64"/>
      <c r="F75" s="63">
        <v>1.0</v>
      </c>
      <c r="G75" s="7">
        <v>1.0</v>
      </c>
      <c r="H75" s="7">
        <v>1.0</v>
      </c>
      <c r="I75" s="64"/>
      <c r="J75" s="63">
        <v>1.0</v>
      </c>
      <c r="K75" s="7">
        <v>1.0</v>
      </c>
      <c r="L75" s="7">
        <v>1.0</v>
      </c>
      <c r="M75" s="64"/>
      <c r="N75" s="63">
        <v>1.0</v>
      </c>
      <c r="O75" s="7">
        <v>1.0</v>
      </c>
      <c r="P75" s="7">
        <v>1.0</v>
      </c>
      <c r="Q75" s="64"/>
      <c r="R75" s="63">
        <v>1.0</v>
      </c>
      <c r="S75" s="7">
        <v>1.0</v>
      </c>
      <c r="T75" s="7">
        <v>1.0</v>
      </c>
      <c r="U75" s="64"/>
      <c r="V75" s="65">
        <f t="shared" ref="V75:X75" si="51">SUM(B75,F75,J75,N75,R75)</f>
        <v>5</v>
      </c>
      <c r="W75" s="65">
        <f t="shared" si="51"/>
        <v>5</v>
      </c>
      <c r="X75" s="65">
        <f t="shared" si="51"/>
        <v>5</v>
      </c>
      <c r="Z75" s="65">
        <f>'review 1 - annotator 2 - eval'!V75</f>
        <v>5</v>
      </c>
      <c r="AA75" s="65">
        <f>'review 1 - annotator 2 - eval'!W75</f>
        <v>5</v>
      </c>
      <c r="AB75" s="65">
        <f>'review 1 - annotator 2 - eval'!X75</f>
        <v>5</v>
      </c>
    </row>
    <row r="76">
      <c r="A76" s="8" t="s">
        <v>948</v>
      </c>
      <c r="B76" s="63">
        <v>1.0</v>
      </c>
      <c r="C76" s="7">
        <v>1.0</v>
      </c>
      <c r="D76" s="7">
        <v>1.0</v>
      </c>
      <c r="E76" s="64"/>
      <c r="F76" s="63">
        <v>1.0</v>
      </c>
      <c r="G76" s="7">
        <v>1.0</v>
      </c>
      <c r="H76" s="7">
        <v>1.0</v>
      </c>
      <c r="I76" s="64"/>
      <c r="J76" s="63">
        <v>1.0</v>
      </c>
      <c r="K76" s="7">
        <v>1.0</v>
      </c>
      <c r="L76" s="7">
        <v>1.0</v>
      </c>
      <c r="M76" s="64"/>
      <c r="N76" s="63">
        <v>1.0</v>
      </c>
      <c r="O76" s="7">
        <v>1.0</v>
      </c>
      <c r="P76" s="7">
        <v>1.0</v>
      </c>
      <c r="Q76" s="64"/>
      <c r="R76" s="63">
        <v>0.0</v>
      </c>
      <c r="S76" s="7">
        <v>1.0</v>
      </c>
      <c r="T76" s="7">
        <v>1.0</v>
      </c>
      <c r="U76" s="64"/>
      <c r="V76" s="65">
        <f t="shared" ref="V76:X76" si="52">SUM(B76,F76,J76,N76,R76)</f>
        <v>4</v>
      </c>
      <c r="W76" s="65">
        <f t="shared" si="52"/>
        <v>5</v>
      </c>
      <c r="X76" s="65">
        <f t="shared" si="52"/>
        <v>5</v>
      </c>
      <c r="Z76" s="65">
        <f>'review 1 - annotator 2 - eval'!V76</f>
        <v>3</v>
      </c>
      <c r="AA76" s="65">
        <f>'review 1 - annotator 2 - eval'!W76</f>
        <v>5</v>
      </c>
      <c r="AB76" s="65">
        <f>'review 1 - annotator 2 - eval'!X76</f>
        <v>5</v>
      </c>
    </row>
    <row r="77">
      <c r="A77" s="8" t="s">
        <v>949</v>
      </c>
      <c r="B77" s="63">
        <v>1.0</v>
      </c>
      <c r="C77" s="7">
        <v>1.0</v>
      </c>
      <c r="D77" s="7">
        <v>1.0</v>
      </c>
      <c r="E77" s="64"/>
      <c r="F77" s="63">
        <v>1.0</v>
      </c>
      <c r="G77" s="7">
        <v>1.0</v>
      </c>
      <c r="H77" s="7">
        <v>1.0</v>
      </c>
      <c r="I77" s="64"/>
      <c r="J77" s="63">
        <v>1.0</v>
      </c>
      <c r="K77" s="7">
        <v>1.0</v>
      </c>
      <c r="L77" s="7">
        <v>1.0</v>
      </c>
      <c r="M77" s="64"/>
      <c r="N77" s="63">
        <v>1.0</v>
      </c>
      <c r="O77" s="7">
        <v>1.0</v>
      </c>
      <c r="P77" s="7">
        <v>1.0</v>
      </c>
      <c r="Q77" s="64"/>
      <c r="R77" s="63">
        <v>1.0</v>
      </c>
      <c r="S77" s="7">
        <v>1.0</v>
      </c>
      <c r="T77" s="7">
        <v>1.0</v>
      </c>
      <c r="U77" s="64"/>
      <c r="V77" s="65">
        <f t="shared" ref="V77:X77" si="53">SUM(B77,F77,J77,N77,R77)</f>
        <v>5</v>
      </c>
      <c r="W77" s="65">
        <f t="shared" si="53"/>
        <v>5</v>
      </c>
      <c r="X77" s="65">
        <f t="shared" si="53"/>
        <v>5</v>
      </c>
      <c r="Z77" s="65">
        <f>'review 1 - annotator 2 - eval'!V77</f>
        <v>5</v>
      </c>
      <c r="AA77" s="65">
        <f>'review 1 - annotator 2 - eval'!W77</f>
        <v>5</v>
      </c>
      <c r="AB77" s="65">
        <f>'review 1 - annotator 2 - eval'!X77</f>
        <v>5</v>
      </c>
    </row>
    <row r="78">
      <c r="A78" s="8" t="s">
        <v>950</v>
      </c>
      <c r="B78" s="63">
        <v>1.0</v>
      </c>
      <c r="C78" s="7">
        <v>1.0</v>
      </c>
      <c r="D78" s="7">
        <v>1.0</v>
      </c>
      <c r="E78" s="64"/>
      <c r="F78" s="63">
        <v>1.0</v>
      </c>
      <c r="G78" s="7">
        <v>1.0</v>
      </c>
      <c r="H78" s="7">
        <v>1.0</v>
      </c>
      <c r="I78" s="64"/>
      <c r="J78" s="63">
        <v>1.0</v>
      </c>
      <c r="K78" s="7">
        <v>1.0</v>
      </c>
      <c r="L78" s="7">
        <v>1.0</v>
      </c>
      <c r="M78" s="64"/>
      <c r="N78" s="63">
        <v>1.0</v>
      </c>
      <c r="O78" s="7">
        <v>1.0</v>
      </c>
      <c r="P78" s="7">
        <v>1.0</v>
      </c>
      <c r="Q78" s="64"/>
      <c r="R78" s="63">
        <v>1.0</v>
      </c>
      <c r="S78" s="7">
        <v>1.0</v>
      </c>
      <c r="T78" s="7">
        <v>1.0</v>
      </c>
      <c r="U78" s="64"/>
      <c r="V78" s="65">
        <f t="shared" ref="V78:X78" si="54">SUM(B78,F78,J78,N78,R78)</f>
        <v>5</v>
      </c>
      <c r="W78" s="65">
        <f t="shared" si="54"/>
        <v>5</v>
      </c>
      <c r="X78" s="65">
        <f t="shared" si="54"/>
        <v>5</v>
      </c>
      <c r="Z78" s="65">
        <f>'review 1 - annotator 2 - eval'!V78</f>
        <v>4</v>
      </c>
      <c r="AA78" s="65">
        <f>'review 1 - annotator 2 - eval'!W78</f>
        <v>5</v>
      </c>
      <c r="AB78" s="65">
        <f>'review 1 - annotator 2 - eval'!X78</f>
        <v>5</v>
      </c>
    </row>
    <row r="79">
      <c r="A79" s="8" t="s">
        <v>951</v>
      </c>
      <c r="B79" s="63">
        <v>1.0</v>
      </c>
      <c r="C79" s="7">
        <v>1.0</v>
      </c>
      <c r="D79" s="7">
        <v>1.0</v>
      </c>
      <c r="E79" s="64"/>
      <c r="F79" s="63">
        <v>1.0</v>
      </c>
      <c r="G79" s="7">
        <v>1.0</v>
      </c>
      <c r="H79" s="7">
        <v>1.0</v>
      </c>
      <c r="I79" s="64"/>
      <c r="J79" s="63">
        <v>1.0</v>
      </c>
      <c r="K79" s="7">
        <v>1.0</v>
      </c>
      <c r="L79" s="7">
        <v>1.0</v>
      </c>
      <c r="M79" s="64"/>
      <c r="N79" s="63">
        <v>1.0</v>
      </c>
      <c r="O79" s="7">
        <v>1.0</v>
      </c>
      <c r="P79" s="7">
        <v>1.0</v>
      </c>
      <c r="Q79" s="64"/>
      <c r="R79" s="63">
        <v>1.0</v>
      </c>
      <c r="S79" s="7">
        <v>1.0</v>
      </c>
      <c r="T79" s="7">
        <v>1.0</v>
      </c>
      <c r="U79" s="64"/>
      <c r="V79" s="65">
        <f t="shared" ref="V79:X79" si="55">SUM(B79,F79,J79,N79,R79)</f>
        <v>5</v>
      </c>
      <c r="W79" s="65">
        <f t="shared" si="55"/>
        <v>5</v>
      </c>
      <c r="X79" s="65">
        <f t="shared" si="55"/>
        <v>5</v>
      </c>
      <c r="Z79" s="65">
        <f>'review 1 - annotator 2 - eval'!V79</f>
        <v>5</v>
      </c>
      <c r="AA79" s="65">
        <f>'review 1 - annotator 2 - eval'!W79</f>
        <v>5</v>
      </c>
      <c r="AB79" s="65">
        <f>'review 1 - annotator 2 - eval'!X79</f>
        <v>5</v>
      </c>
    </row>
    <row r="80">
      <c r="A80" s="8" t="s">
        <v>952</v>
      </c>
      <c r="B80" s="66">
        <v>1.0</v>
      </c>
      <c r="C80" s="67">
        <v>1.0</v>
      </c>
      <c r="D80" s="67">
        <v>1.0</v>
      </c>
      <c r="E80" s="68"/>
      <c r="F80" s="66">
        <v>1.0</v>
      </c>
      <c r="G80" s="67">
        <v>1.0</v>
      </c>
      <c r="H80" s="67">
        <v>1.0</v>
      </c>
      <c r="I80" s="68"/>
      <c r="J80" s="66">
        <v>1.0</v>
      </c>
      <c r="K80" s="67">
        <v>1.0</v>
      </c>
      <c r="L80" s="67">
        <v>1.0</v>
      </c>
      <c r="M80" s="68"/>
      <c r="N80" s="66">
        <v>1.0</v>
      </c>
      <c r="O80" s="67">
        <v>1.0</v>
      </c>
      <c r="P80" s="67">
        <v>1.0</v>
      </c>
      <c r="Q80" s="68"/>
      <c r="R80" s="66">
        <v>1.0</v>
      </c>
      <c r="S80" s="67">
        <v>1.0</v>
      </c>
      <c r="T80" s="67">
        <v>1.0</v>
      </c>
      <c r="U80" s="68"/>
      <c r="V80" s="65">
        <f t="shared" ref="V80:X80" si="56">SUM(B80,F80,J80,N80,R80)</f>
        <v>5</v>
      </c>
      <c r="W80" s="65">
        <f t="shared" si="56"/>
        <v>5</v>
      </c>
      <c r="X80" s="65">
        <f t="shared" si="56"/>
        <v>5</v>
      </c>
      <c r="Z80" s="65">
        <f>'review 1 - annotator 2 - eval'!V80</f>
        <v>5</v>
      </c>
      <c r="AA80" s="65">
        <f>'review 1 - annotator 2 - eval'!W80</f>
        <v>5</v>
      </c>
      <c r="AB80" s="65">
        <f>'review 1 - annotator 2 - eval'!X80</f>
        <v>5</v>
      </c>
    </row>
    <row r="81">
      <c r="A81" s="26" t="s">
        <v>518</v>
      </c>
      <c r="B81" s="52" t="s">
        <v>935</v>
      </c>
      <c r="F81" s="53" t="s">
        <v>936</v>
      </c>
      <c r="J81" s="54" t="s">
        <v>937</v>
      </c>
      <c r="N81" s="55" t="s">
        <v>938</v>
      </c>
      <c r="R81" s="56" t="s">
        <v>939</v>
      </c>
      <c r="Z81" s="65" t="str">
        <f>'review 1 - annotator 2 - eval'!V81</f>
        <v/>
      </c>
      <c r="AA81" s="65" t="str">
        <f>'review 1 - annotator 2 - eval'!W81</f>
        <v/>
      </c>
      <c r="AB81" s="65" t="str">
        <f>'review 1 - annotator 2 - eval'!X81</f>
        <v/>
      </c>
    </row>
    <row r="82">
      <c r="B82" s="57" t="s">
        <v>221</v>
      </c>
      <c r="E82" s="58"/>
      <c r="F82" s="57" t="s">
        <v>218</v>
      </c>
      <c r="I82" s="58"/>
      <c r="J82" s="57" t="s">
        <v>18</v>
      </c>
      <c r="M82" s="58"/>
      <c r="N82" s="57" t="s">
        <v>959</v>
      </c>
      <c r="Q82" s="58"/>
      <c r="R82" s="57" t="s">
        <v>220</v>
      </c>
      <c r="U82" s="58"/>
      <c r="Z82" s="65" t="str">
        <f>'review 1 - annotator 2 - eval'!V82</f>
        <v/>
      </c>
      <c r="AA82" s="65" t="str">
        <f>'review 1 - annotator 2 - eval'!W82</f>
        <v/>
      </c>
      <c r="AB82" s="65" t="str">
        <f>'review 1 - annotator 2 - eval'!X82</f>
        <v/>
      </c>
    </row>
    <row r="83">
      <c r="B83" s="60" t="s">
        <v>943</v>
      </c>
      <c r="C83" s="61" t="s">
        <v>944</v>
      </c>
      <c r="D83" s="61" t="s">
        <v>945</v>
      </c>
      <c r="E83" s="62"/>
      <c r="F83" s="60" t="s">
        <v>943</v>
      </c>
      <c r="G83" s="61" t="s">
        <v>944</v>
      </c>
      <c r="H83" s="61" t="s">
        <v>945</v>
      </c>
      <c r="I83" s="62"/>
      <c r="J83" s="60" t="s">
        <v>943</v>
      </c>
      <c r="K83" s="61" t="s">
        <v>944</v>
      </c>
      <c r="L83" s="61" t="s">
        <v>945</v>
      </c>
      <c r="M83" s="62"/>
      <c r="N83" s="60" t="s">
        <v>943</v>
      </c>
      <c r="O83" s="61" t="s">
        <v>944</v>
      </c>
      <c r="P83" s="61" t="s">
        <v>945</v>
      </c>
      <c r="Q83" s="62"/>
      <c r="R83" s="60" t="s">
        <v>943</v>
      </c>
      <c r="S83" s="61" t="s">
        <v>944</v>
      </c>
      <c r="T83" s="61" t="s">
        <v>945</v>
      </c>
      <c r="U83" s="62"/>
      <c r="Z83" s="65" t="str">
        <f>'review 1 - annotator 2 - eval'!V83</f>
        <v/>
      </c>
      <c r="AA83" s="65" t="str">
        <f>'review 1 - annotator 2 - eval'!W83</f>
        <v/>
      </c>
      <c r="AB83" s="65" t="str">
        <f>'review 1 - annotator 2 - eval'!X83</f>
        <v/>
      </c>
    </row>
    <row r="84">
      <c r="A84" s="8" t="s">
        <v>946</v>
      </c>
      <c r="B84" s="63">
        <v>1.0</v>
      </c>
      <c r="C84" s="7">
        <v>1.0</v>
      </c>
      <c r="D84" s="7">
        <v>1.0</v>
      </c>
      <c r="E84" s="64"/>
      <c r="F84" s="63">
        <v>1.0</v>
      </c>
      <c r="G84" s="7">
        <v>1.0</v>
      </c>
      <c r="H84" s="7">
        <v>1.0</v>
      </c>
      <c r="I84" s="64"/>
      <c r="J84" s="63">
        <v>1.0</v>
      </c>
      <c r="K84" s="7">
        <v>1.0</v>
      </c>
      <c r="L84" s="7">
        <v>1.0</v>
      </c>
      <c r="M84" s="64"/>
      <c r="N84" s="63">
        <v>1.0</v>
      </c>
      <c r="O84" s="7">
        <v>1.0</v>
      </c>
      <c r="P84" s="7">
        <v>1.0</v>
      </c>
      <c r="Q84" s="64"/>
      <c r="R84" s="63">
        <v>0.0</v>
      </c>
      <c r="S84" s="7">
        <v>1.0</v>
      </c>
      <c r="T84" s="7">
        <v>1.0</v>
      </c>
      <c r="U84" s="64"/>
      <c r="V84" s="65">
        <f t="shared" ref="V84:X84" si="57">SUM(B84,F84,J84,N84,R84)</f>
        <v>4</v>
      </c>
      <c r="W84" s="65">
        <f t="shared" si="57"/>
        <v>5</v>
      </c>
      <c r="X84" s="65">
        <f t="shared" si="57"/>
        <v>5</v>
      </c>
      <c r="Z84" s="65">
        <f>'review 1 - annotator 2 - eval'!V84</f>
        <v>4</v>
      </c>
      <c r="AA84" s="65">
        <f>'review 1 - annotator 2 - eval'!W84</f>
        <v>4</v>
      </c>
      <c r="AB84" s="65">
        <f>'review 1 - annotator 2 - eval'!X84</f>
        <v>5</v>
      </c>
    </row>
    <row r="85">
      <c r="A85" s="8" t="s">
        <v>947</v>
      </c>
      <c r="B85" s="63">
        <v>1.0</v>
      </c>
      <c r="C85" s="7">
        <v>1.0</v>
      </c>
      <c r="D85" s="7">
        <v>1.0</v>
      </c>
      <c r="E85" s="64"/>
      <c r="F85" s="63">
        <v>1.0</v>
      </c>
      <c r="G85" s="7">
        <v>1.0</v>
      </c>
      <c r="H85" s="7">
        <v>1.0</v>
      </c>
      <c r="I85" s="64"/>
      <c r="J85" s="63">
        <v>1.0</v>
      </c>
      <c r="K85" s="7">
        <v>1.0</v>
      </c>
      <c r="L85" s="7">
        <v>1.0</v>
      </c>
      <c r="M85" s="64"/>
      <c r="N85" s="63">
        <v>1.0</v>
      </c>
      <c r="O85" s="7">
        <v>1.0</v>
      </c>
      <c r="P85" s="7">
        <v>1.0</v>
      </c>
      <c r="Q85" s="64"/>
      <c r="R85" s="63">
        <v>0.0</v>
      </c>
      <c r="S85" s="7">
        <v>1.0</v>
      </c>
      <c r="T85" s="7">
        <v>1.0</v>
      </c>
      <c r="U85" s="64"/>
      <c r="V85" s="65">
        <f t="shared" ref="V85:X85" si="58">SUM(B85,F85,J85,N85,R85)</f>
        <v>4</v>
      </c>
      <c r="W85" s="65">
        <f t="shared" si="58"/>
        <v>5</v>
      </c>
      <c r="X85" s="65">
        <f t="shared" si="58"/>
        <v>5</v>
      </c>
      <c r="Z85" s="65">
        <f>'review 1 - annotator 2 - eval'!V85</f>
        <v>5</v>
      </c>
      <c r="AA85" s="65">
        <f>'review 1 - annotator 2 - eval'!W85</f>
        <v>5</v>
      </c>
      <c r="AB85" s="65">
        <f>'review 1 - annotator 2 - eval'!X85</f>
        <v>5</v>
      </c>
    </row>
    <row r="86">
      <c r="A86" s="8" t="s">
        <v>948</v>
      </c>
      <c r="B86" s="63">
        <v>1.0</v>
      </c>
      <c r="C86" s="7">
        <v>1.0</v>
      </c>
      <c r="D86" s="7">
        <v>1.0</v>
      </c>
      <c r="E86" s="64"/>
      <c r="F86" s="63">
        <v>1.0</v>
      </c>
      <c r="G86" s="7">
        <v>1.0</v>
      </c>
      <c r="H86" s="7">
        <v>1.0</v>
      </c>
      <c r="I86" s="64"/>
      <c r="J86" s="63">
        <v>1.0</v>
      </c>
      <c r="K86" s="7">
        <v>1.0</v>
      </c>
      <c r="L86" s="7">
        <v>1.0</v>
      </c>
      <c r="M86" s="64"/>
      <c r="N86" s="63">
        <v>0.0</v>
      </c>
      <c r="O86" s="7">
        <v>0.0</v>
      </c>
      <c r="P86" s="7">
        <v>1.0</v>
      </c>
      <c r="Q86" s="64"/>
      <c r="R86" s="63">
        <v>0.0</v>
      </c>
      <c r="S86" s="7">
        <v>1.0</v>
      </c>
      <c r="T86" s="7">
        <v>1.0</v>
      </c>
      <c r="U86" s="64"/>
      <c r="V86" s="65">
        <f t="shared" ref="V86:X86" si="59">SUM(B86,F86,J86,N86,R86)</f>
        <v>3</v>
      </c>
      <c r="W86" s="65">
        <f t="shared" si="59"/>
        <v>4</v>
      </c>
      <c r="X86" s="65">
        <f t="shared" si="59"/>
        <v>5</v>
      </c>
      <c r="Z86" s="65">
        <f>'review 1 - annotator 2 - eval'!V86</f>
        <v>3</v>
      </c>
      <c r="AA86" s="65">
        <f>'review 1 - annotator 2 - eval'!W86</f>
        <v>3</v>
      </c>
      <c r="AB86" s="65">
        <f>'review 1 - annotator 2 - eval'!X86</f>
        <v>5</v>
      </c>
    </row>
    <row r="87">
      <c r="A87" s="8" t="s">
        <v>949</v>
      </c>
      <c r="B87" s="63">
        <v>1.0</v>
      </c>
      <c r="C87" s="7">
        <v>1.0</v>
      </c>
      <c r="D87" s="7">
        <v>1.0</v>
      </c>
      <c r="E87" s="64"/>
      <c r="F87" s="63">
        <v>1.0</v>
      </c>
      <c r="G87" s="7">
        <v>1.0</v>
      </c>
      <c r="H87" s="7">
        <v>1.0</v>
      </c>
      <c r="I87" s="64"/>
      <c r="J87" s="63">
        <v>1.0</v>
      </c>
      <c r="K87" s="7">
        <v>1.0</v>
      </c>
      <c r="L87" s="7">
        <v>1.0</v>
      </c>
      <c r="M87" s="64"/>
      <c r="N87" s="63">
        <v>1.0</v>
      </c>
      <c r="O87" s="7">
        <v>1.0</v>
      </c>
      <c r="P87" s="7">
        <v>1.0</v>
      </c>
      <c r="Q87" s="64"/>
      <c r="R87" s="63">
        <v>0.0</v>
      </c>
      <c r="S87" s="7">
        <v>1.0</v>
      </c>
      <c r="T87" s="7">
        <v>1.0</v>
      </c>
      <c r="U87" s="64"/>
      <c r="V87" s="65">
        <f t="shared" ref="V87:X87" si="60">SUM(B87,F87,J87,N87,R87)</f>
        <v>4</v>
      </c>
      <c r="W87" s="65">
        <f t="shared" si="60"/>
        <v>5</v>
      </c>
      <c r="X87" s="65">
        <f t="shared" si="60"/>
        <v>5</v>
      </c>
      <c r="Z87" s="65">
        <f>'review 1 - annotator 2 - eval'!V87</f>
        <v>4</v>
      </c>
      <c r="AA87" s="65">
        <f>'review 1 - annotator 2 - eval'!W87</f>
        <v>5</v>
      </c>
      <c r="AB87" s="65">
        <f>'review 1 - annotator 2 - eval'!X87</f>
        <v>5</v>
      </c>
    </row>
    <row r="88">
      <c r="A88" s="8" t="s">
        <v>950</v>
      </c>
      <c r="B88" s="63">
        <v>1.0</v>
      </c>
      <c r="C88" s="7">
        <v>1.0</v>
      </c>
      <c r="D88" s="7">
        <v>1.0</v>
      </c>
      <c r="E88" s="64"/>
      <c r="F88" s="63">
        <v>1.0</v>
      </c>
      <c r="G88" s="7">
        <v>1.0</v>
      </c>
      <c r="H88" s="7">
        <v>1.0</v>
      </c>
      <c r="I88" s="64"/>
      <c r="J88" s="63">
        <v>1.0</v>
      </c>
      <c r="K88" s="7">
        <v>1.0</v>
      </c>
      <c r="L88" s="7">
        <v>1.0</v>
      </c>
      <c r="M88" s="64"/>
      <c r="N88" s="63">
        <v>1.0</v>
      </c>
      <c r="O88" s="7">
        <v>1.0</v>
      </c>
      <c r="P88" s="7">
        <v>1.0</v>
      </c>
      <c r="Q88" s="64"/>
      <c r="R88" s="63">
        <v>0.0</v>
      </c>
      <c r="S88" s="7">
        <v>1.0</v>
      </c>
      <c r="T88" s="7">
        <v>1.0</v>
      </c>
      <c r="U88" s="64"/>
      <c r="V88" s="65">
        <f t="shared" ref="V88:X88" si="61">SUM(B88,F88,J88,N88,R88)</f>
        <v>4</v>
      </c>
      <c r="W88" s="65">
        <f t="shared" si="61"/>
        <v>5</v>
      </c>
      <c r="X88" s="65">
        <f t="shared" si="61"/>
        <v>5</v>
      </c>
      <c r="Z88" s="65">
        <f>'review 1 - annotator 2 - eval'!V88</f>
        <v>5</v>
      </c>
      <c r="AA88" s="65">
        <f>'review 1 - annotator 2 - eval'!W88</f>
        <v>5</v>
      </c>
      <c r="AB88" s="65">
        <f>'review 1 - annotator 2 - eval'!X88</f>
        <v>5</v>
      </c>
    </row>
    <row r="89">
      <c r="A89" s="8" t="s">
        <v>951</v>
      </c>
      <c r="B89" s="63">
        <v>1.0</v>
      </c>
      <c r="C89" s="7">
        <v>1.0</v>
      </c>
      <c r="D89" s="7">
        <v>1.0</v>
      </c>
      <c r="E89" s="64"/>
      <c r="F89" s="63">
        <v>1.0</v>
      </c>
      <c r="G89" s="7">
        <v>1.0</v>
      </c>
      <c r="H89" s="7">
        <v>1.0</v>
      </c>
      <c r="I89" s="64"/>
      <c r="J89" s="63">
        <v>1.0</v>
      </c>
      <c r="K89" s="7">
        <v>1.0</v>
      </c>
      <c r="L89" s="7">
        <v>1.0</v>
      </c>
      <c r="M89" s="64"/>
      <c r="N89" s="63">
        <v>1.0</v>
      </c>
      <c r="O89" s="7">
        <v>1.0</v>
      </c>
      <c r="P89" s="7">
        <v>1.0</v>
      </c>
      <c r="Q89" s="64"/>
      <c r="R89" s="63">
        <v>0.0</v>
      </c>
      <c r="S89" s="7">
        <v>1.0</v>
      </c>
      <c r="T89" s="7">
        <v>1.0</v>
      </c>
      <c r="U89" s="64"/>
      <c r="V89" s="65">
        <f t="shared" ref="V89:X89" si="62">SUM(B89,F89,J89,N89,R89)</f>
        <v>4</v>
      </c>
      <c r="W89" s="65">
        <f t="shared" si="62"/>
        <v>5</v>
      </c>
      <c r="X89" s="65">
        <f t="shared" si="62"/>
        <v>5</v>
      </c>
      <c r="Z89" s="65">
        <f>'review 1 - annotator 2 - eval'!V89</f>
        <v>5</v>
      </c>
      <c r="AA89" s="65">
        <f>'review 1 - annotator 2 - eval'!W89</f>
        <v>5</v>
      </c>
      <c r="AB89" s="65">
        <f>'review 1 - annotator 2 - eval'!X89</f>
        <v>5</v>
      </c>
    </row>
    <row r="90">
      <c r="A90" s="8" t="s">
        <v>952</v>
      </c>
      <c r="B90" s="66">
        <v>1.0</v>
      </c>
      <c r="C90" s="67">
        <v>1.0</v>
      </c>
      <c r="D90" s="67">
        <v>1.0</v>
      </c>
      <c r="E90" s="68"/>
      <c r="F90" s="66">
        <v>1.0</v>
      </c>
      <c r="G90" s="67">
        <v>1.0</v>
      </c>
      <c r="H90" s="67">
        <v>1.0</v>
      </c>
      <c r="I90" s="68"/>
      <c r="J90" s="66">
        <v>1.0</v>
      </c>
      <c r="K90" s="67">
        <v>1.0</v>
      </c>
      <c r="L90" s="67">
        <v>1.0</v>
      </c>
      <c r="M90" s="68"/>
      <c r="N90" s="66">
        <v>1.0</v>
      </c>
      <c r="O90" s="67">
        <v>1.0</v>
      </c>
      <c r="P90" s="67">
        <v>1.0</v>
      </c>
      <c r="Q90" s="68"/>
      <c r="R90" s="66">
        <v>0.0</v>
      </c>
      <c r="S90" s="67">
        <v>1.0</v>
      </c>
      <c r="T90" s="67">
        <v>1.0</v>
      </c>
      <c r="U90" s="68"/>
      <c r="V90" s="65">
        <f t="shared" ref="V90:X90" si="63">SUM(B90,F90,J90,N90,R90)</f>
        <v>4</v>
      </c>
      <c r="W90" s="65">
        <f t="shared" si="63"/>
        <v>5</v>
      </c>
      <c r="X90" s="65">
        <f t="shared" si="63"/>
        <v>5</v>
      </c>
      <c r="Z90" s="65">
        <f>'review 1 - annotator 2 - eval'!V90</f>
        <v>5</v>
      </c>
      <c r="AA90" s="65">
        <f>'review 1 - annotator 2 - eval'!W90</f>
        <v>5</v>
      </c>
      <c r="AB90" s="65">
        <f>'review 1 - annotator 2 - eval'!X90</f>
        <v>5</v>
      </c>
    </row>
    <row r="91">
      <c r="A91" s="26" t="s">
        <v>528</v>
      </c>
      <c r="B91" s="52" t="s">
        <v>935</v>
      </c>
      <c r="F91" s="53" t="s">
        <v>936</v>
      </c>
      <c r="J91" s="54" t="s">
        <v>937</v>
      </c>
      <c r="N91" s="55" t="s">
        <v>938</v>
      </c>
      <c r="R91" s="56" t="s">
        <v>939</v>
      </c>
      <c r="Z91" s="65" t="str">
        <f>'review 1 - annotator 2 - eval'!V91</f>
        <v/>
      </c>
      <c r="AA91" s="65" t="str">
        <f>'review 1 - annotator 2 - eval'!W91</f>
        <v/>
      </c>
      <c r="AB91" s="65" t="str">
        <f>'review 1 - annotator 2 - eval'!X91</f>
        <v/>
      </c>
    </row>
    <row r="92">
      <c r="B92" s="57" t="s">
        <v>131</v>
      </c>
      <c r="E92" s="58"/>
      <c r="F92" s="57" t="s">
        <v>127</v>
      </c>
      <c r="I92" s="58"/>
      <c r="J92" s="57" t="s">
        <v>128</v>
      </c>
      <c r="M92" s="58"/>
      <c r="N92" s="57" t="s">
        <v>960</v>
      </c>
      <c r="Q92" s="58"/>
      <c r="R92" s="57" t="s">
        <v>130</v>
      </c>
      <c r="U92" s="58"/>
      <c r="Z92" s="65" t="str">
        <f>'review 1 - annotator 2 - eval'!V92</f>
        <v/>
      </c>
      <c r="AA92" s="65" t="str">
        <f>'review 1 - annotator 2 - eval'!W92</f>
        <v/>
      </c>
      <c r="AB92" s="65" t="str">
        <f>'review 1 - annotator 2 - eval'!X92</f>
        <v/>
      </c>
    </row>
    <row r="93">
      <c r="B93" s="60" t="s">
        <v>943</v>
      </c>
      <c r="C93" s="61" t="s">
        <v>944</v>
      </c>
      <c r="D93" s="61" t="s">
        <v>945</v>
      </c>
      <c r="E93" s="62"/>
      <c r="F93" s="60" t="s">
        <v>943</v>
      </c>
      <c r="G93" s="61" t="s">
        <v>944</v>
      </c>
      <c r="H93" s="61" t="s">
        <v>945</v>
      </c>
      <c r="I93" s="62"/>
      <c r="J93" s="60" t="s">
        <v>943</v>
      </c>
      <c r="K93" s="61" t="s">
        <v>944</v>
      </c>
      <c r="L93" s="61" t="s">
        <v>945</v>
      </c>
      <c r="M93" s="62"/>
      <c r="N93" s="60" t="s">
        <v>943</v>
      </c>
      <c r="O93" s="61" t="s">
        <v>944</v>
      </c>
      <c r="P93" s="61" t="s">
        <v>945</v>
      </c>
      <c r="Q93" s="62"/>
      <c r="R93" s="60" t="s">
        <v>943</v>
      </c>
      <c r="S93" s="61" t="s">
        <v>944</v>
      </c>
      <c r="T93" s="61" t="s">
        <v>945</v>
      </c>
      <c r="U93" s="62"/>
      <c r="Z93" s="65" t="str">
        <f>'review 1 - annotator 2 - eval'!V93</f>
        <v/>
      </c>
      <c r="AA93" s="65" t="str">
        <f>'review 1 - annotator 2 - eval'!W93</f>
        <v/>
      </c>
      <c r="AB93" s="65" t="str">
        <f>'review 1 - annotator 2 - eval'!X93</f>
        <v/>
      </c>
    </row>
    <row r="94">
      <c r="A94" s="8" t="s">
        <v>946</v>
      </c>
      <c r="B94" s="63">
        <v>1.0</v>
      </c>
      <c r="C94" s="7">
        <v>1.0</v>
      </c>
      <c r="D94" s="7">
        <v>1.0</v>
      </c>
      <c r="E94" s="64"/>
      <c r="F94" s="63">
        <v>1.0</v>
      </c>
      <c r="G94" s="7">
        <v>1.0</v>
      </c>
      <c r="H94" s="7">
        <v>1.0</v>
      </c>
      <c r="I94" s="64"/>
      <c r="J94" s="63">
        <v>1.0</v>
      </c>
      <c r="K94" s="7">
        <v>1.0</v>
      </c>
      <c r="L94" s="7">
        <v>1.0</v>
      </c>
      <c r="M94" s="64"/>
      <c r="N94" s="63">
        <v>1.0</v>
      </c>
      <c r="O94" s="7">
        <v>1.0</v>
      </c>
      <c r="P94" s="7">
        <v>1.0</v>
      </c>
      <c r="Q94" s="64"/>
      <c r="R94" s="63">
        <v>1.0</v>
      </c>
      <c r="S94" s="71">
        <v>1.0</v>
      </c>
      <c r="T94" s="71">
        <v>1.0</v>
      </c>
      <c r="U94" s="64"/>
      <c r="V94" s="65">
        <f t="shared" ref="V94:X94" si="64">SUM(B94,F94,J94,N94,R94)</f>
        <v>5</v>
      </c>
      <c r="W94" s="65">
        <f t="shared" si="64"/>
        <v>5</v>
      </c>
      <c r="X94" s="65">
        <f t="shared" si="64"/>
        <v>5</v>
      </c>
      <c r="Z94" s="65">
        <f>'review 1 - annotator 2 - eval'!V94</f>
        <v>5</v>
      </c>
      <c r="AA94" s="65">
        <f>'review 1 - annotator 2 - eval'!W94</f>
        <v>4</v>
      </c>
      <c r="AB94" s="65">
        <f>'review 1 - annotator 2 - eval'!X94</f>
        <v>5</v>
      </c>
    </row>
    <row r="95">
      <c r="A95" s="8" t="s">
        <v>947</v>
      </c>
      <c r="B95" s="63">
        <v>1.0</v>
      </c>
      <c r="C95" s="7">
        <v>1.0</v>
      </c>
      <c r="D95" s="7">
        <v>1.0</v>
      </c>
      <c r="E95" s="64"/>
      <c r="F95" s="63">
        <v>1.0</v>
      </c>
      <c r="G95" s="7">
        <v>1.0</v>
      </c>
      <c r="H95" s="7">
        <v>1.0</v>
      </c>
      <c r="I95" s="64"/>
      <c r="J95" s="63">
        <v>1.0</v>
      </c>
      <c r="K95" s="7">
        <v>1.0</v>
      </c>
      <c r="L95" s="7">
        <v>1.0</v>
      </c>
      <c r="M95" s="64"/>
      <c r="N95" s="63">
        <v>1.0</v>
      </c>
      <c r="O95" s="7">
        <v>1.0</v>
      </c>
      <c r="P95" s="7">
        <v>1.0</v>
      </c>
      <c r="Q95" s="64"/>
      <c r="R95" s="63">
        <v>1.0</v>
      </c>
      <c r="S95" s="71">
        <v>1.0</v>
      </c>
      <c r="T95" s="71">
        <v>1.0</v>
      </c>
      <c r="U95" s="64"/>
      <c r="V95" s="65">
        <f t="shared" ref="V95:X95" si="65">SUM(B95,F95,J95,N95,R95)</f>
        <v>5</v>
      </c>
      <c r="W95" s="65">
        <f t="shared" si="65"/>
        <v>5</v>
      </c>
      <c r="X95" s="65">
        <f t="shared" si="65"/>
        <v>5</v>
      </c>
      <c r="Z95" s="65">
        <f>'review 1 - annotator 2 - eval'!V95</f>
        <v>5</v>
      </c>
      <c r="AA95" s="65">
        <f>'review 1 - annotator 2 - eval'!W95</f>
        <v>5</v>
      </c>
      <c r="AB95" s="65">
        <f>'review 1 - annotator 2 - eval'!X95</f>
        <v>5</v>
      </c>
    </row>
    <row r="96">
      <c r="A96" s="8" t="s">
        <v>948</v>
      </c>
      <c r="B96" s="63">
        <v>1.0</v>
      </c>
      <c r="C96" s="7">
        <v>1.0</v>
      </c>
      <c r="D96" s="7">
        <v>1.0</v>
      </c>
      <c r="E96" s="64"/>
      <c r="F96" s="63">
        <v>1.0</v>
      </c>
      <c r="G96" s="7">
        <v>1.0</v>
      </c>
      <c r="H96" s="7">
        <v>1.0</v>
      </c>
      <c r="I96" s="64"/>
      <c r="J96" s="63">
        <v>1.0</v>
      </c>
      <c r="K96" s="7">
        <v>1.0</v>
      </c>
      <c r="L96" s="7">
        <v>1.0</v>
      </c>
      <c r="M96" s="64"/>
      <c r="N96" s="63">
        <v>1.0</v>
      </c>
      <c r="O96" s="7">
        <v>1.0</v>
      </c>
      <c r="P96" s="7">
        <v>1.0</v>
      </c>
      <c r="Q96" s="64"/>
      <c r="R96" s="63">
        <v>1.0</v>
      </c>
      <c r="S96" s="71">
        <v>1.0</v>
      </c>
      <c r="T96" s="71">
        <v>1.0</v>
      </c>
      <c r="U96" s="64"/>
      <c r="V96" s="65">
        <f t="shared" ref="V96:X96" si="66">SUM(B96,F96,J96,N96,R96)</f>
        <v>5</v>
      </c>
      <c r="W96" s="65">
        <f t="shared" si="66"/>
        <v>5</v>
      </c>
      <c r="X96" s="65">
        <f t="shared" si="66"/>
        <v>5</v>
      </c>
      <c r="Z96" s="65">
        <f>'review 1 - annotator 2 - eval'!V96</f>
        <v>5</v>
      </c>
      <c r="AA96" s="65">
        <f>'review 1 - annotator 2 - eval'!W96</f>
        <v>4</v>
      </c>
      <c r="AB96" s="65">
        <f>'review 1 - annotator 2 - eval'!X96</f>
        <v>5</v>
      </c>
    </row>
    <row r="97">
      <c r="A97" s="8" t="s">
        <v>949</v>
      </c>
      <c r="B97" s="63">
        <v>1.0</v>
      </c>
      <c r="C97" s="7">
        <v>1.0</v>
      </c>
      <c r="D97" s="7">
        <v>1.0</v>
      </c>
      <c r="E97" s="64"/>
      <c r="F97" s="63">
        <v>1.0</v>
      </c>
      <c r="G97" s="7">
        <v>1.0</v>
      </c>
      <c r="H97" s="7">
        <v>1.0</v>
      </c>
      <c r="I97" s="64"/>
      <c r="J97" s="63">
        <v>1.0</v>
      </c>
      <c r="K97" s="7">
        <v>1.0</v>
      </c>
      <c r="L97" s="7">
        <v>1.0</v>
      </c>
      <c r="M97" s="64"/>
      <c r="N97" s="63">
        <v>1.0</v>
      </c>
      <c r="O97" s="7">
        <v>1.0</v>
      </c>
      <c r="P97" s="7">
        <v>1.0</v>
      </c>
      <c r="Q97" s="64"/>
      <c r="R97" s="63">
        <v>1.0</v>
      </c>
      <c r="S97" s="71">
        <v>1.0</v>
      </c>
      <c r="T97" s="71">
        <v>1.0</v>
      </c>
      <c r="U97" s="64"/>
      <c r="V97" s="65">
        <f t="shared" ref="V97:X97" si="67">SUM(B97,F97,J97,N97,R97)</f>
        <v>5</v>
      </c>
      <c r="W97" s="65">
        <f t="shared" si="67"/>
        <v>5</v>
      </c>
      <c r="X97" s="65">
        <f t="shared" si="67"/>
        <v>5</v>
      </c>
      <c r="Z97" s="65">
        <f>'review 1 - annotator 2 - eval'!V97</f>
        <v>5</v>
      </c>
      <c r="AA97" s="65">
        <f>'review 1 - annotator 2 - eval'!W97</f>
        <v>5</v>
      </c>
      <c r="AB97" s="65">
        <f>'review 1 - annotator 2 - eval'!X97</f>
        <v>5</v>
      </c>
    </row>
    <row r="98">
      <c r="A98" s="8" t="s">
        <v>950</v>
      </c>
      <c r="B98" s="63">
        <v>1.0</v>
      </c>
      <c r="C98" s="7">
        <v>1.0</v>
      </c>
      <c r="D98" s="7">
        <v>1.0</v>
      </c>
      <c r="E98" s="64"/>
      <c r="F98" s="63">
        <v>1.0</v>
      </c>
      <c r="G98" s="7">
        <v>1.0</v>
      </c>
      <c r="H98" s="7">
        <v>1.0</v>
      </c>
      <c r="I98" s="64"/>
      <c r="J98" s="63">
        <v>1.0</v>
      </c>
      <c r="K98" s="7">
        <v>1.0</v>
      </c>
      <c r="L98" s="7">
        <v>1.0</v>
      </c>
      <c r="M98" s="64"/>
      <c r="N98" s="63">
        <v>1.0</v>
      </c>
      <c r="O98" s="7">
        <v>1.0</v>
      </c>
      <c r="P98" s="7">
        <v>1.0</v>
      </c>
      <c r="Q98" s="64"/>
      <c r="R98" s="63">
        <v>1.0</v>
      </c>
      <c r="S98" s="71">
        <v>1.0</v>
      </c>
      <c r="T98" s="71">
        <v>1.0</v>
      </c>
      <c r="U98" s="64"/>
      <c r="V98" s="65">
        <f t="shared" ref="V98:X98" si="68">SUM(B98,F98,J98,N98,R98)</f>
        <v>5</v>
      </c>
      <c r="W98" s="65">
        <f t="shared" si="68"/>
        <v>5</v>
      </c>
      <c r="X98" s="65">
        <f t="shared" si="68"/>
        <v>5</v>
      </c>
      <c r="Z98" s="65">
        <f>'review 1 - annotator 2 - eval'!V98</f>
        <v>5</v>
      </c>
      <c r="AA98" s="65">
        <f>'review 1 - annotator 2 - eval'!W98</f>
        <v>4</v>
      </c>
      <c r="AB98" s="65">
        <f>'review 1 - annotator 2 - eval'!X98</f>
        <v>5</v>
      </c>
    </row>
    <row r="99">
      <c r="A99" s="8" t="s">
        <v>951</v>
      </c>
      <c r="B99" s="63">
        <v>1.0</v>
      </c>
      <c r="C99" s="7">
        <v>1.0</v>
      </c>
      <c r="D99" s="7">
        <v>1.0</v>
      </c>
      <c r="E99" s="64"/>
      <c r="F99" s="63">
        <v>1.0</v>
      </c>
      <c r="G99" s="7">
        <v>1.0</v>
      </c>
      <c r="H99" s="7">
        <v>1.0</v>
      </c>
      <c r="I99" s="64"/>
      <c r="J99" s="63">
        <v>1.0</v>
      </c>
      <c r="K99" s="7">
        <v>1.0</v>
      </c>
      <c r="L99" s="7">
        <v>1.0</v>
      </c>
      <c r="M99" s="64"/>
      <c r="N99" s="63">
        <v>1.0</v>
      </c>
      <c r="O99" s="7">
        <v>1.0</v>
      </c>
      <c r="P99" s="7">
        <v>1.0</v>
      </c>
      <c r="Q99" s="64"/>
      <c r="R99" s="63">
        <v>1.0</v>
      </c>
      <c r="S99" s="71">
        <v>1.0</v>
      </c>
      <c r="T99" s="71">
        <v>1.0</v>
      </c>
      <c r="U99" s="64"/>
      <c r="V99" s="65">
        <f t="shared" ref="V99:X99" si="69">SUM(B99,F99,J99,N99,R99)</f>
        <v>5</v>
      </c>
      <c r="W99" s="65">
        <f t="shared" si="69"/>
        <v>5</v>
      </c>
      <c r="X99" s="65">
        <f t="shared" si="69"/>
        <v>5</v>
      </c>
      <c r="Z99" s="65">
        <f>'review 1 - annotator 2 - eval'!V99</f>
        <v>5</v>
      </c>
      <c r="AA99" s="65">
        <f>'review 1 - annotator 2 - eval'!W99</f>
        <v>5</v>
      </c>
      <c r="AB99" s="65">
        <f>'review 1 - annotator 2 - eval'!X99</f>
        <v>5</v>
      </c>
    </row>
    <row r="100">
      <c r="A100" s="8" t="s">
        <v>952</v>
      </c>
      <c r="B100" s="66">
        <v>1.0</v>
      </c>
      <c r="C100" s="67">
        <v>1.0</v>
      </c>
      <c r="D100" s="67">
        <v>1.0</v>
      </c>
      <c r="E100" s="68"/>
      <c r="F100" s="66">
        <v>1.0</v>
      </c>
      <c r="G100" s="67">
        <v>1.0</v>
      </c>
      <c r="H100" s="67">
        <v>1.0</v>
      </c>
      <c r="I100" s="68"/>
      <c r="J100" s="66">
        <v>1.0</v>
      </c>
      <c r="K100" s="67">
        <v>1.0</v>
      </c>
      <c r="L100" s="67">
        <v>1.0</v>
      </c>
      <c r="M100" s="68"/>
      <c r="N100" s="66">
        <v>1.0</v>
      </c>
      <c r="O100" s="67">
        <v>1.0</v>
      </c>
      <c r="P100" s="67">
        <v>1.0</v>
      </c>
      <c r="Q100" s="68"/>
      <c r="R100" s="66">
        <v>1.0</v>
      </c>
      <c r="S100" s="73">
        <v>1.0</v>
      </c>
      <c r="T100" s="73">
        <v>1.0</v>
      </c>
      <c r="U100" s="68"/>
      <c r="V100" s="65">
        <f t="shared" ref="V100:X100" si="70">SUM(B100,F100,J100,N100,R100)</f>
        <v>5</v>
      </c>
      <c r="W100" s="65">
        <f t="shared" si="70"/>
        <v>5</v>
      </c>
      <c r="X100" s="65">
        <f t="shared" si="70"/>
        <v>5</v>
      </c>
      <c r="Z100" s="65">
        <f>'review 1 - annotator 2 - eval'!V100</f>
        <v>5</v>
      </c>
      <c r="AA100" s="65">
        <f>'review 1 - annotator 2 - eval'!W100</f>
        <v>5</v>
      </c>
      <c r="AB100" s="65">
        <f>'review 1 - annotator 2 - eval'!X100</f>
        <v>5</v>
      </c>
    </row>
    <row r="101">
      <c r="A101" s="26" t="s">
        <v>538</v>
      </c>
      <c r="B101" s="52" t="s">
        <v>935</v>
      </c>
      <c r="F101" s="53" t="s">
        <v>936</v>
      </c>
      <c r="J101" s="54" t="s">
        <v>937</v>
      </c>
      <c r="N101" s="55" t="s">
        <v>938</v>
      </c>
      <c r="R101" s="56" t="s">
        <v>939</v>
      </c>
      <c r="Z101" s="65" t="str">
        <f>'review 1 - annotator 2 - eval'!V101</f>
        <v/>
      </c>
      <c r="AA101" s="65" t="str">
        <f>'review 1 - annotator 2 - eval'!W101</f>
        <v/>
      </c>
      <c r="AB101" s="65" t="str">
        <f>'review 1 - annotator 2 - eval'!X101</f>
        <v/>
      </c>
    </row>
    <row r="102">
      <c r="B102" s="57" t="s">
        <v>961</v>
      </c>
      <c r="E102" s="58"/>
      <c r="F102" s="57" t="s">
        <v>17</v>
      </c>
      <c r="I102" s="58"/>
      <c r="J102" s="57" t="s">
        <v>18</v>
      </c>
      <c r="M102" s="58"/>
      <c r="N102" s="57" t="s">
        <v>19</v>
      </c>
      <c r="Q102" s="58"/>
      <c r="R102" s="57" t="s">
        <v>20</v>
      </c>
      <c r="U102" s="58"/>
      <c r="Z102" s="65" t="str">
        <f>'review 1 - annotator 2 - eval'!V102</f>
        <v/>
      </c>
      <c r="AA102" s="65" t="str">
        <f>'review 1 - annotator 2 - eval'!W102</f>
        <v/>
      </c>
      <c r="AB102" s="65" t="str">
        <f>'review 1 - annotator 2 - eval'!X102</f>
        <v/>
      </c>
    </row>
    <row r="103">
      <c r="B103" s="60" t="s">
        <v>943</v>
      </c>
      <c r="C103" s="61" t="s">
        <v>944</v>
      </c>
      <c r="D103" s="61" t="s">
        <v>945</v>
      </c>
      <c r="E103" s="62"/>
      <c r="F103" s="60" t="s">
        <v>943</v>
      </c>
      <c r="G103" s="61" t="s">
        <v>944</v>
      </c>
      <c r="H103" s="61" t="s">
        <v>945</v>
      </c>
      <c r="I103" s="62"/>
      <c r="J103" s="60" t="s">
        <v>943</v>
      </c>
      <c r="K103" s="61" t="s">
        <v>944</v>
      </c>
      <c r="L103" s="61" t="s">
        <v>945</v>
      </c>
      <c r="M103" s="62"/>
      <c r="N103" s="60" t="s">
        <v>943</v>
      </c>
      <c r="O103" s="61" t="s">
        <v>944</v>
      </c>
      <c r="P103" s="61" t="s">
        <v>945</v>
      </c>
      <c r="Q103" s="62"/>
      <c r="R103" s="60" t="s">
        <v>943</v>
      </c>
      <c r="S103" s="61" t="s">
        <v>944</v>
      </c>
      <c r="T103" s="61" t="s">
        <v>945</v>
      </c>
      <c r="U103" s="62"/>
      <c r="Z103" s="65" t="str">
        <f>'review 1 - annotator 2 - eval'!V103</f>
        <v/>
      </c>
      <c r="AA103" s="65" t="str">
        <f>'review 1 - annotator 2 - eval'!W103</f>
        <v/>
      </c>
      <c r="AB103" s="65" t="str">
        <f>'review 1 - annotator 2 - eval'!X103</f>
        <v/>
      </c>
    </row>
    <row r="104">
      <c r="A104" s="8" t="s">
        <v>946</v>
      </c>
      <c r="B104" s="63">
        <v>1.0</v>
      </c>
      <c r="C104" s="7">
        <v>1.0</v>
      </c>
      <c r="D104" s="7">
        <v>1.0</v>
      </c>
      <c r="E104" s="64"/>
      <c r="F104" s="63">
        <v>0.0</v>
      </c>
      <c r="G104" s="7">
        <v>1.0</v>
      </c>
      <c r="H104" s="7">
        <v>1.0</v>
      </c>
      <c r="I104" s="64"/>
      <c r="J104" s="63">
        <v>1.0</v>
      </c>
      <c r="K104" s="7">
        <v>1.0</v>
      </c>
      <c r="L104" s="7">
        <v>1.0</v>
      </c>
      <c r="M104" s="64"/>
      <c r="N104" s="63">
        <v>0.0</v>
      </c>
      <c r="O104" s="7">
        <v>0.0</v>
      </c>
      <c r="P104" s="7">
        <v>1.0</v>
      </c>
      <c r="Q104" s="64"/>
      <c r="R104" s="63">
        <v>1.0</v>
      </c>
      <c r="S104" s="7">
        <v>1.0</v>
      </c>
      <c r="T104" s="7">
        <v>1.0</v>
      </c>
      <c r="U104" s="64"/>
      <c r="V104" s="65">
        <f t="shared" ref="V104:X104" si="71">SUM(B104,F104,J104,N104,R104)</f>
        <v>3</v>
      </c>
      <c r="W104" s="65">
        <f t="shared" si="71"/>
        <v>4</v>
      </c>
      <c r="X104" s="65">
        <f t="shared" si="71"/>
        <v>5</v>
      </c>
      <c r="Z104" s="65">
        <f>'review 1 - annotator 2 - eval'!V104</f>
        <v>4</v>
      </c>
      <c r="AA104" s="65">
        <f>'review 1 - annotator 2 - eval'!W104</f>
        <v>4</v>
      </c>
      <c r="AB104" s="65">
        <f>'review 1 - annotator 2 - eval'!X104</f>
        <v>5</v>
      </c>
    </row>
    <row r="105">
      <c r="A105" s="8" t="s">
        <v>947</v>
      </c>
      <c r="B105" s="63">
        <v>1.0</v>
      </c>
      <c r="C105" s="7">
        <v>1.0</v>
      </c>
      <c r="D105" s="7">
        <v>1.0</v>
      </c>
      <c r="E105" s="64"/>
      <c r="F105" s="63">
        <v>1.0</v>
      </c>
      <c r="G105" s="7">
        <v>1.0</v>
      </c>
      <c r="H105" s="7">
        <v>1.0</v>
      </c>
      <c r="I105" s="64"/>
      <c r="J105" s="63">
        <v>1.0</v>
      </c>
      <c r="K105" s="7">
        <v>1.0</v>
      </c>
      <c r="L105" s="7">
        <v>1.0</v>
      </c>
      <c r="M105" s="64"/>
      <c r="N105" s="63">
        <v>0.0</v>
      </c>
      <c r="O105" s="7">
        <v>0.0</v>
      </c>
      <c r="P105" s="7">
        <v>1.0</v>
      </c>
      <c r="Q105" s="64"/>
      <c r="R105" s="63">
        <v>1.0</v>
      </c>
      <c r="S105" s="7">
        <v>1.0</v>
      </c>
      <c r="T105" s="7">
        <v>1.0</v>
      </c>
      <c r="U105" s="64"/>
      <c r="V105" s="65">
        <f t="shared" ref="V105:X105" si="72">SUM(B105,F105,J105,N105,R105)</f>
        <v>4</v>
      </c>
      <c r="W105" s="65">
        <f t="shared" si="72"/>
        <v>4</v>
      </c>
      <c r="X105" s="65">
        <f t="shared" si="72"/>
        <v>5</v>
      </c>
      <c r="Z105" s="65">
        <f>'review 1 - annotator 2 - eval'!V105</f>
        <v>4</v>
      </c>
      <c r="AA105" s="65">
        <f>'review 1 - annotator 2 - eval'!W105</f>
        <v>4</v>
      </c>
      <c r="AB105" s="65">
        <f>'review 1 - annotator 2 - eval'!X105</f>
        <v>5</v>
      </c>
    </row>
    <row r="106">
      <c r="A106" s="8" t="s">
        <v>948</v>
      </c>
      <c r="B106" s="63">
        <v>1.0</v>
      </c>
      <c r="C106" s="7">
        <v>0.0</v>
      </c>
      <c r="D106" s="7">
        <v>1.0</v>
      </c>
      <c r="E106" s="64"/>
      <c r="F106" s="63">
        <v>0.0</v>
      </c>
      <c r="G106" s="7">
        <v>0.0</v>
      </c>
      <c r="H106" s="7">
        <v>1.0</v>
      </c>
      <c r="I106" s="64"/>
      <c r="J106" s="63">
        <v>1.0</v>
      </c>
      <c r="K106" s="7">
        <v>1.0</v>
      </c>
      <c r="L106" s="7">
        <v>1.0</v>
      </c>
      <c r="M106" s="64"/>
      <c r="N106" s="63">
        <v>0.0</v>
      </c>
      <c r="O106" s="7">
        <v>0.0</v>
      </c>
      <c r="P106" s="7">
        <v>1.0</v>
      </c>
      <c r="Q106" s="64"/>
      <c r="R106" s="63">
        <v>1.0</v>
      </c>
      <c r="S106" s="7">
        <v>1.0</v>
      </c>
      <c r="T106" s="7">
        <v>1.0</v>
      </c>
      <c r="U106" s="64"/>
      <c r="V106" s="65">
        <f t="shared" ref="V106:X106" si="73">SUM(B106,F106,J106,N106,R106)</f>
        <v>3</v>
      </c>
      <c r="W106" s="65">
        <f t="shared" si="73"/>
        <v>2</v>
      </c>
      <c r="X106" s="65">
        <f t="shared" si="73"/>
        <v>5</v>
      </c>
      <c r="Z106" s="65">
        <f>'review 1 - annotator 2 - eval'!V106</f>
        <v>4</v>
      </c>
      <c r="AA106" s="65">
        <f>'review 1 - annotator 2 - eval'!W106</f>
        <v>4</v>
      </c>
      <c r="AB106" s="65">
        <f>'review 1 - annotator 2 - eval'!X106</f>
        <v>5</v>
      </c>
    </row>
    <row r="107">
      <c r="A107" s="8" t="s">
        <v>949</v>
      </c>
      <c r="B107" s="63">
        <v>1.0</v>
      </c>
      <c r="C107" s="7">
        <v>1.0</v>
      </c>
      <c r="D107" s="7">
        <v>1.0</v>
      </c>
      <c r="E107" s="64"/>
      <c r="F107" s="63">
        <v>1.0</v>
      </c>
      <c r="G107" s="7">
        <v>1.0</v>
      </c>
      <c r="H107" s="7">
        <v>1.0</v>
      </c>
      <c r="I107" s="64"/>
      <c r="J107" s="63">
        <v>1.0</v>
      </c>
      <c r="K107" s="7">
        <v>1.0</v>
      </c>
      <c r="L107" s="7">
        <v>1.0</v>
      </c>
      <c r="M107" s="64"/>
      <c r="N107" s="63">
        <v>0.0</v>
      </c>
      <c r="O107" s="7">
        <v>0.0</v>
      </c>
      <c r="P107" s="7">
        <v>1.0</v>
      </c>
      <c r="Q107" s="64"/>
      <c r="R107" s="63">
        <v>1.0</v>
      </c>
      <c r="S107" s="7">
        <v>1.0</v>
      </c>
      <c r="T107" s="7">
        <v>1.0</v>
      </c>
      <c r="U107" s="64"/>
      <c r="V107" s="65">
        <f t="shared" ref="V107:X107" si="74">SUM(B107,F107,J107,N107,R107)</f>
        <v>4</v>
      </c>
      <c r="W107" s="65">
        <f t="shared" si="74"/>
        <v>4</v>
      </c>
      <c r="X107" s="65">
        <f t="shared" si="74"/>
        <v>5</v>
      </c>
      <c r="Z107" s="65">
        <f>'review 1 - annotator 2 - eval'!V107</f>
        <v>4</v>
      </c>
      <c r="AA107" s="65">
        <f>'review 1 - annotator 2 - eval'!W107</f>
        <v>4</v>
      </c>
      <c r="AB107" s="65">
        <f>'review 1 - annotator 2 - eval'!X107</f>
        <v>5</v>
      </c>
    </row>
    <row r="108">
      <c r="A108" s="8" t="s">
        <v>950</v>
      </c>
      <c r="B108" s="63">
        <v>1.0</v>
      </c>
      <c r="C108" s="7">
        <v>1.0</v>
      </c>
      <c r="D108" s="7">
        <v>1.0</v>
      </c>
      <c r="E108" s="64"/>
      <c r="F108" s="63">
        <v>0.0</v>
      </c>
      <c r="G108" s="7">
        <v>1.0</v>
      </c>
      <c r="H108" s="7">
        <v>1.0</v>
      </c>
      <c r="I108" s="64"/>
      <c r="J108" s="63">
        <v>1.0</v>
      </c>
      <c r="K108" s="7">
        <v>1.0</v>
      </c>
      <c r="L108" s="7">
        <v>1.0</v>
      </c>
      <c r="M108" s="64"/>
      <c r="N108" s="63">
        <v>0.0</v>
      </c>
      <c r="O108" s="7">
        <v>0.0</v>
      </c>
      <c r="P108" s="7">
        <v>1.0</v>
      </c>
      <c r="Q108" s="64"/>
      <c r="R108" s="63">
        <v>1.0</v>
      </c>
      <c r="S108" s="7">
        <v>1.0</v>
      </c>
      <c r="T108" s="7">
        <v>1.0</v>
      </c>
      <c r="U108" s="64"/>
      <c r="V108" s="65">
        <f t="shared" ref="V108:X108" si="75">SUM(B108,F108,J108,N108,R108)</f>
        <v>3</v>
      </c>
      <c r="W108" s="65">
        <f t="shared" si="75"/>
        <v>4</v>
      </c>
      <c r="X108" s="65">
        <f t="shared" si="75"/>
        <v>5</v>
      </c>
      <c r="Z108" s="65">
        <f>'review 1 - annotator 2 - eval'!V108</f>
        <v>4</v>
      </c>
      <c r="AA108" s="65">
        <f>'review 1 - annotator 2 - eval'!W108</f>
        <v>4</v>
      </c>
      <c r="AB108" s="65">
        <f>'review 1 - annotator 2 - eval'!X108</f>
        <v>5</v>
      </c>
    </row>
    <row r="109">
      <c r="A109" s="8" t="s">
        <v>951</v>
      </c>
      <c r="B109" s="63">
        <v>1.0</v>
      </c>
      <c r="C109" s="7">
        <v>1.0</v>
      </c>
      <c r="D109" s="7">
        <v>1.0</v>
      </c>
      <c r="E109" s="64"/>
      <c r="F109" s="63">
        <v>1.0</v>
      </c>
      <c r="G109" s="7">
        <v>1.0</v>
      </c>
      <c r="H109" s="7">
        <v>1.0</v>
      </c>
      <c r="I109" s="64"/>
      <c r="J109" s="63">
        <v>1.0</v>
      </c>
      <c r="K109" s="7">
        <v>1.0</v>
      </c>
      <c r="L109" s="7">
        <v>1.0</v>
      </c>
      <c r="M109" s="64"/>
      <c r="N109" s="63">
        <v>0.0</v>
      </c>
      <c r="O109" s="7">
        <v>0.0</v>
      </c>
      <c r="P109" s="7">
        <v>1.0</v>
      </c>
      <c r="Q109" s="64"/>
      <c r="R109" s="63">
        <v>1.0</v>
      </c>
      <c r="S109" s="7">
        <v>1.0</v>
      </c>
      <c r="T109" s="7">
        <v>1.0</v>
      </c>
      <c r="U109" s="64"/>
      <c r="V109" s="65">
        <f t="shared" ref="V109:X109" si="76">SUM(B109,F109,J109,N109,R109)</f>
        <v>4</v>
      </c>
      <c r="W109" s="65">
        <f t="shared" si="76"/>
        <v>4</v>
      </c>
      <c r="X109" s="65">
        <f t="shared" si="76"/>
        <v>5</v>
      </c>
      <c r="Z109" s="65">
        <f>'review 1 - annotator 2 - eval'!V109</f>
        <v>4</v>
      </c>
      <c r="AA109" s="65">
        <f>'review 1 - annotator 2 - eval'!W109</f>
        <v>4</v>
      </c>
      <c r="AB109" s="65">
        <f>'review 1 - annotator 2 - eval'!X109</f>
        <v>5</v>
      </c>
    </row>
    <row r="110">
      <c r="A110" s="8" t="s">
        <v>952</v>
      </c>
      <c r="B110" s="66">
        <v>1.0</v>
      </c>
      <c r="C110" s="67">
        <v>1.0</v>
      </c>
      <c r="D110" s="67">
        <v>1.0</v>
      </c>
      <c r="E110" s="68"/>
      <c r="F110" s="66">
        <v>1.0</v>
      </c>
      <c r="G110" s="67">
        <v>1.0</v>
      </c>
      <c r="H110" s="67">
        <v>1.0</v>
      </c>
      <c r="I110" s="68"/>
      <c r="J110" s="66">
        <v>1.0</v>
      </c>
      <c r="K110" s="67">
        <v>1.0</v>
      </c>
      <c r="L110" s="67">
        <v>1.0</v>
      </c>
      <c r="M110" s="68"/>
      <c r="N110" s="66">
        <v>0.0</v>
      </c>
      <c r="O110" s="67">
        <v>0.0</v>
      </c>
      <c r="P110" s="67">
        <v>1.0</v>
      </c>
      <c r="Q110" s="68"/>
      <c r="R110" s="66">
        <v>1.0</v>
      </c>
      <c r="S110" s="67">
        <v>1.0</v>
      </c>
      <c r="T110" s="67">
        <v>1.0</v>
      </c>
      <c r="U110" s="68"/>
      <c r="V110" s="65">
        <f t="shared" ref="V110:X110" si="77">SUM(B110,F110,J110,N110,R110)</f>
        <v>4</v>
      </c>
      <c r="W110" s="65">
        <f t="shared" si="77"/>
        <v>4</v>
      </c>
      <c r="X110" s="65">
        <f t="shared" si="77"/>
        <v>5</v>
      </c>
      <c r="Z110" s="65">
        <f>'review 1 - annotator 2 - eval'!V110</f>
        <v>4</v>
      </c>
      <c r="AA110" s="65">
        <f>'review 1 - annotator 2 - eval'!W110</f>
        <v>4</v>
      </c>
      <c r="AB110" s="65">
        <f>'review 1 - annotator 2 - eval'!X110</f>
        <v>5</v>
      </c>
    </row>
    <row r="111">
      <c r="A111" s="26" t="s">
        <v>547</v>
      </c>
      <c r="B111" s="52" t="s">
        <v>935</v>
      </c>
      <c r="F111" s="53" t="s">
        <v>936</v>
      </c>
      <c r="J111" s="54" t="s">
        <v>937</v>
      </c>
      <c r="N111" s="55" t="s">
        <v>938</v>
      </c>
      <c r="R111" s="56" t="s">
        <v>939</v>
      </c>
      <c r="Z111" s="65" t="str">
        <f>'review 1 - annotator 2 - eval'!V111</f>
        <v/>
      </c>
      <c r="AA111" s="65" t="str">
        <f>'review 1 - annotator 2 - eval'!W111</f>
        <v/>
      </c>
      <c r="AB111" s="65" t="str">
        <f>'review 1 - annotator 2 - eval'!X111</f>
        <v/>
      </c>
    </row>
    <row r="112">
      <c r="B112" s="57" t="s">
        <v>119</v>
      </c>
      <c r="E112" s="58"/>
      <c r="F112" s="57" t="s">
        <v>116</v>
      </c>
      <c r="I112" s="58"/>
      <c r="J112" s="57" t="s">
        <v>18</v>
      </c>
      <c r="M112" s="58"/>
      <c r="N112" s="57" t="s">
        <v>117</v>
      </c>
      <c r="Q112" s="58"/>
      <c r="R112" s="57" t="s">
        <v>118</v>
      </c>
      <c r="U112" s="58"/>
      <c r="Z112" s="65" t="str">
        <f>'review 1 - annotator 2 - eval'!V112</f>
        <v/>
      </c>
      <c r="AA112" s="65" t="str">
        <f>'review 1 - annotator 2 - eval'!W112</f>
        <v/>
      </c>
      <c r="AB112" s="65" t="str">
        <f>'review 1 - annotator 2 - eval'!X112</f>
        <v/>
      </c>
    </row>
    <row r="113">
      <c r="B113" s="60" t="s">
        <v>943</v>
      </c>
      <c r="C113" s="61" t="s">
        <v>944</v>
      </c>
      <c r="D113" s="61" t="s">
        <v>945</v>
      </c>
      <c r="E113" s="62"/>
      <c r="F113" s="60" t="s">
        <v>943</v>
      </c>
      <c r="G113" s="61" t="s">
        <v>944</v>
      </c>
      <c r="H113" s="61" t="s">
        <v>945</v>
      </c>
      <c r="I113" s="62"/>
      <c r="J113" s="60" t="s">
        <v>943</v>
      </c>
      <c r="K113" s="61" t="s">
        <v>944</v>
      </c>
      <c r="L113" s="61" t="s">
        <v>945</v>
      </c>
      <c r="M113" s="62"/>
      <c r="N113" s="60" t="s">
        <v>943</v>
      </c>
      <c r="O113" s="61" t="s">
        <v>944</v>
      </c>
      <c r="P113" s="61" t="s">
        <v>945</v>
      </c>
      <c r="Q113" s="62"/>
      <c r="R113" s="60" t="s">
        <v>943</v>
      </c>
      <c r="S113" s="61" t="s">
        <v>944</v>
      </c>
      <c r="T113" s="61" t="s">
        <v>945</v>
      </c>
      <c r="U113" s="62"/>
      <c r="Z113" s="65" t="str">
        <f>'review 1 - annotator 2 - eval'!V113</f>
        <v/>
      </c>
      <c r="AA113" s="65" t="str">
        <f>'review 1 - annotator 2 - eval'!W113</f>
        <v/>
      </c>
      <c r="AB113" s="65" t="str">
        <f>'review 1 - annotator 2 - eval'!X113</f>
        <v/>
      </c>
    </row>
    <row r="114">
      <c r="A114" s="8" t="s">
        <v>946</v>
      </c>
      <c r="B114" s="63">
        <v>1.0</v>
      </c>
      <c r="C114" s="7">
        <v>1.0</v>
      </c>
      <c r="D114" s="7">
        <v>1.0</v>
      </c>
      <c r="E114" s="64"/>
      <c r="F114" s="63">
        <v>1.0</v>
      </c>
      <c r="G114" s="7">
        <v>1.0</v>
      </c>
      <c r="H114" s="7">
        <v>1.0</v>
      </c>
      <c r="I114" s="64"/>
      <c r="J114" s="63">
        <v>1.0</v>
      </c>
      <c r="K114" s="7">
        <v>1.0</v>
      </c>
      <c r="L114" s="7">
        <v>1.0</v>
      </c>
      <c r="M114" s="64"/>
      <c r="N114" s="63">
        <v>0.0</v>
      </c>
      <c r="O114" s="7">
        <v>1.0</v>
      </c>
      <c r="P114" s="7">
        <v>1.0</v>
      </c>
      <c r="Q114" s="64"/>
      <c r="R114" s="63">
        <v>0.0</v>
      </c>
      <c r="S114" s="7">
        <v>0.0</v>
      </c>
      <c r="T114" s="7">
        <v>0.0</v>
      </c>
      <c r="U114" s="64"/>
      <c r="V114" s="65">
        <f t="shared" ref="V114:X114" si="78">SUM(B114,F114,J114,N114,R114)</f>
        <v>3</v>
      </c>
      <c r="W114" s="65">
        <f t="shared" si="78"/>
        <v>4</v>
      </c>
      <c r="X114" s="65">
        <f t="shared" si="78"/>
        <v>4</v>
      </c>
      <c r="Z114" s="65">
        <f>'review 1 - annotator 2 - eval'!V114</f>
        <v>4</v>
      </c>
      <c r="AA114" s="65">
        <f>'review 1 - annotator 2 - eval'!W114</f>
        <v>4</v>
      </c>
      <c r="AB114" s="65">
        <f>'review 1 - annotator 2 - eval'!X114</f>
        <v>4</v>
      </c>
    </row>
    <row r="115">
      <c r="A115" s="8" t="s">
        <v>947</v>
      </c>
      <c r="B115" s="63">
        <v>1.0</v>
      </c>
      <c r="C115" s="7">
        <v>1.0</v>
      </c>
      <c r="D115" s="7">
        <v>1.0</v>
      </c>
      <c r="E115" s="64"/>
      <c r="F115" s="63">
        <v>1.0</v>
      </c>
      <c r="G115" s="7">
        <v>1.0</v>
      </c>
      <c r="H115" s="7">
        <v>1.0</v>
      </c>
      <c r="I115" s="64"/>
      <c r="J115" s="63">
        <v>1.0</v>
      </c>
      <c r="K115" s="7">
        <v>1.0</v>
      </c>
      <c r="L115" s="7">
        <v>1.0</v>
      </c>
      <c r="M115" s="64"/>
      <c r="N115" s="63">
        <v>1.0</v>
      </c>
      <c r="O115" s="7">
        <v>1.0</v>
      </c>
      <c r="P115" s="7">
        <v>1.0</v>
      </c>
      <c r="Q115" s="64"/>
      <c r="R115" s="63">
        <v>0.0</v>
      </c>
      <c r="S115" s="7">
        <v>0.0</v>
      </c>
      <c r="T115" s="7">
        <v>0.0</v>
      </c>
      <c r="U115" s="64"/>
      <c r="V115" s="65">
        <f t="shared" ref="V115:X115" si="79">SUM(B115,F115,J115,N115,R115)</f>
        <v>4</v>
      </c>
      <c r="W115" s="65">
        <f t="shared" si="79"/>
        <v>4</v>
      </c>
      <c r="X115" s="65">
        <f t="shared" si="79"/>
        <v>4</v>
      </c>
      <c r="Z115" s="65">
        <f>'review 1 - annotator 2 - eval'!V115</f>
        <v>4</v>
      </c>
      <c r="AA115" s="65">
        <f>'review 1 - annotator 2 - eval'!W115</f>
        <v>4</v>
      </c>
      <c r="AB115" s="65">
        <f>'review 1 - annotator 2 - eval'!X115</f>
        <v>4</v>
      </c>
    </row>
    <row r="116">
      <c r="A116" s="8" t="s">
        <v>948</v>
      </c>
      <c r="B116" s="63">
        <v>1.0</v>
      </c>
      <c r="C116" s="7">
        <v>1.0</v>
      </c>
      <c r="D116" s="7">
        <v>1.0</v>
      </c>
      <c r="E116" s="64"/>
      <c r="F116" s="63">
        <v>1.0</v>
      </c>
      <c r="G116" s="7">
        <v>1.0</v>
      </c>
      <c r="H116" s="7">
        <v>1.0</v>
      </c>
      <c r="I116" s="64"/>
      <c r="J116" s="63">
        <v>1.0</v>
      </c>
      <c r="K116" s="7">
        <v>1.0</v>
      </c>
      <c r="L116" s="7">
        <v>1.0</v>
      </c>
      <c r="M116" s="64"/>
      <c r="N116" s="63">
        <v>0.0</v>
      </c>
      <c r="O116" s="7">
        <v>1.0</v>
      </c>
      <c r="P116" s="7">
        <v>1.0</v>
      </c>
      <c r="Q116" s="64"/>
      <c r="R116" s="63">
        <v>0.0</v>
      </c>
      <c r="S116" s="7">
        <v>0.0</v>
      </c>
      <c r="T116" s="7">
        <v>0.0</v>
      </c>
      <c r="U116" s="64"/>
      <c r="V116" s="65">
        <f t="shared" ref="V116:X116" si="80">SUM(B116,F116,J116,N116,R116)</f>
        <v>3</v>
      </c>
      <c r="W116" s="65">
        <f t="shared" si="80"/>
        <v>4</v>
      </c>
      <c r="X116" s="65">
        <f t="shared" si="80"/>
        <v>4</v>
      </c>
      <c r="Z116" s="65">
        <f>'review 1 - annotator 2 - eval'!V116</f>
        <v>4</v>
      </c>
      <c r="AA116" s="65">
        <f>'review 1 - annotator 2 - eval'!W116</f>
        <v>4</v>
      </c>
      <c r="AB116" s="65">
        <f>'review 1 - annotator 2 - eval'!X116</f>
        <v>4</v>
      </c>
    </row>
    <row r="117">
      <c r="A117" s="8" t="s">
        <v>949</v>
      </c>
      <c r="B117" s="63">
        <v>1.0</v>
      </c>
      <c r="C117" s="7">
        <v>1.0</v>
      </c>
      <c r="D117" s="7">
        <v>1.0</v>
      </c>
      <c r="E117" s="64"/>
      <c r="F117" s="63">
        <v>1.0</v>
      </c>
      <c r="G117" s="7">
        <v>1.0</v>
      </c>
      <c r="H117" s="7">
        <v>1.0</v>
      </c>
      <c r="I117" s="64"/>
      <c r="J117" s="63">
        <v>1.0</v>
      </c>
      <c r="K117" s="7">
        <v>1.0</v>
      </c>
      <c r="L117" s="7">
        <v>1.0</v>
      </c>
      <c r="M117" s="64"/>
      <c r="N117" s="63">
        <v>1.0</v>
      </c>
      <c r="O117" s="7">
        <v>1.0</v>
      </c>
      <c r="P117" s="7">
        <v>1.0</v>
      </c>
      <c r="Q117" s="64"/>
      <c r="R117" s="63">
        <v>0.0</v>
      </c>
      <c r="S117" s="7">
        <v>0.0</v>
      </c>
      <c r="T117" s="7">
        <v>0.0</v>
      </c>
      <c r="U117" s="64"/>
      <c r="V117" s="65">
        <f t="shared" ref="V117:X117" si="81">SUM(B117,F117,J117,N117,R117)</f>
        <v>4</v>
      </c>
      <c r="W117" s="65">
        <f t="shared" si="81"/>
        <v>4</v>
      </c>
      <c r="X117" s="65">
        <f t="shared" si="81"/>
        <v>4</v>
      </c>
      <c r="Z117" s="65">
        <f>'review 1 - annotator 2 - eval'!V117</f>
        <v>4</v>
      </c>
      <c r="AA117" s="65">
        <f>'review 1 - annotator 2 - eval'!W117</f>
        <v>4</v>
      </c>
      <c r="AB117" s="65">
        <f>'review 1 - annotator 2 - eval'!X117</f>
        <v>4</v>
      </c>
    </row>
    <row r="118">
      <c r="A118" s="8" t="s">
        <v>950</v>
      </c>
      <c r="B118" s="63">
        <v>1.0</v>
      </c>
      <c r="C118" s="7">
        <v>1.0</v>
      </c>
      <c r="D118" s="7">
        <v>1.0</v>
      </c>
      <c r="E118" s="64"/>
      <c r="F118" s="63">
        <v>1.0</v>
      </c>
      <c r="G118" s="7">
        <v>1.0</v>
      </c>
      <c r="H118" s="7">
        <v>1.0</v>
      </c>
      <c r="I118" s="64"/>
      <c r="J118" s="63">
        <v>1.0</v>
      </c>
      <c r="K118" s="7">
        <v>1.0</v>
      </c>
      <c r="L118" s="7">
        <v>1.0</v>
      </c>
      <c r="M118" s="64"/>
      <c r="N118" s="63">
        <v>1.0</v>
      </c>
      <c r="O118" s="7">
        <v>1.0</v>
      </c>
      <c r="P118" s="7">
        <v>1.0</v>
      </c>
      <c r="Q118" s="64"/>
      <c r="R118" s="63">
        <v>0.0</v>
      </c>
      <c r="S118" s="7">
        <v>0.0</v>
      </c>
      <c r="T118" s="7">
        <v>0.0</v>
      </c>
      <c r="U118" s="64"/>
      <c r="V118" s="65">
        <f t="shared" ref="V118:X118" si="82">SUM(B118,F118,J118,N118,R118)</f>
        <v>4</v>
      </c>
      <c r="W118" s="65">
        <f t="shared" si="82"/>
        <v>4</v>
      </c>
      <c r="X118" s="65">
        <f t="shared" si="82"/>
        <v>4</v>
      </c>
      <c r="Z118" s="65">
        <f>'review 1 - annotator 2 - eval'!V118</f>
        <v>4</v>
      </c>
      <c r="AA118" s="65">
        <f>'review 1 - annotator 2 - eval'!W118</f>
        <v>3</v>
      </c>
      <c r="AB118" s="65">
        <f>'review 1 - annotator 2 - eval'!X118</f>
        <v>4</v>
      </c>
    </row>
    <row r="119">
      <c r="A119" s="8" t="s">
        <v>951</v>
      </c>
      <c r="B119" s="63">
        <v>1.0</v>
      </c>
      <c r="C119" s="7">
        <v>1.0</v>
      </c>
      <c r="D119" s="7">
        <v>1.0</v>
      </c>
      <c r="E119" s="64"/>
      <c r="F119" s="63">
        <v>1.0</v>
      </c>
      <c r="G119" s="7">
        <v>1.0</v>
      </c>
      <c r="H119" s="7">
        <v>1.0</v>
      </c>
      <c r="I119" s="64"/>
      <c r="J119" s="63">
        <v>1.0</v>
      </c>
      <c r="K119" s="7">
        <v>1.0</v>
      </c>
      <c r="L119" s="7">
        <v>1.0</v>
      </c>
      <c r="M119" s="64"/>
      <c r="N119" s="63">
        <v>1.0</v>
      </c>
      <c r="O119" s="7">
        <v>1.0</v>
      </c>
      <c r="P119" s="7">
        <v>1.0</v>
      </c>
      <c r="Q119" s="64"/>
      <c r="R119" s="63">
        <v>0.0</v>
      </c>
      <c r="S119" s="7">
        <v>0.0</v>
      </c>
      <c r="T119" s="7">
        <v>0.0</v>
      </c>
      <c r="U119" s="64"/>
      <c r="V119" s="65">
        <f t="shared" ref="V119:X119" si="83">SUM(B119,F119,J119,N119,R119)</f>
        <v>4</v>
      </c>
      <c r="W119" s="65">
        <f t="shared" si="83"/>
        <v>4</v>
      </c>
      <c r="X119" s="65">
        <f t="shared" si="83"/>
        <v>4</v>
      </c>
      <c r="Z119" s="65">
        <f>'review 1 - annotator 2 - eval'!V119</f>
        <v>4</v>
      </c>
      <c r="AA119" s="65">
        <f>'review 1 - annotator 2 - eval'!W119</f>
        <v>4</v>
      </c>
      <c r="AB119" s="65">
        <f>'review 1 - annotator 2 - eval'!X119</f>
        <v>4</v>
      </c>
    </row>
    <row r="120">
      <c r="A120" s="8" t="s">
        <v>952</v>
      </c>
      <c r="B120" s="66">
        <v>1.0</v>
      </c>
      <c r="C120" s="67">
        <v>1.0</v>
      </c>
      <c r="D120" s="67">
        <v>1.0</v>
      </c>
      <c r="E120" s="68"/>
      <c r="F120" s="66">
        <v>1.0</v>
      </c>
      <c r="G120" s="67">
        <v>1.0</v>
      </c>
      <c r="H120" s="67">
        <v>1.0</v>
      </c>
      <c r="I120" s="68"/>
      <c r="J120" s="66">
        <v>1.0</v>
      </c>
      <c r="K120" s="67">
        <v>1.0</v>
      </c>
      <c r="L120" s="67">
        <v>1.0</v>
      </c>
      <c r="M120" s="68"/>
      <c r="N120" s="66">
        <v>1.0</v>
      </c>
      <c r="O120" s="67">
        <v>1.0</v>
      </c>
      <c r="P120" s="67">
        <v>1.0</v>
      </c>
      <c r="Q120" s="68"/>
      <c r="R120" s="66">
        <v>0.0</v>
      </c>
      <c r="S120" s="67">
        <v>0.0</v>
      </c>
      <c r="T120" s="67">
        <v>0.0</v>
      </c>
      <c r="U120" s="68"/>
      <c r="V120" s="65">
        <f t="shared" ref="V120:X120" si="84">SUM(B120,F120,J120,N120,R120)</f>
        <v>4</v>
      </c>
      <c r="W120" s="65">
        <f t="shared" si="84"/>
        <v>4</v>
      </c>
      <c r="X120" s="65">
        <f t="shared" si="84"/>
        <v>4</v>
      </c>
      <c r="Z120" s="65">
        <f>'review 1 - annotator 2 - eval'!V120</f>
        <v>4</v>
      </c>
      <c r="AA120" s="65">
        <f>'review 1 - annotator 2 - eval'!W120</f>
        <v>4</v>
      </c>
      <c r="AB120" s="65">
        <f>'review 1 - annotator 2 - eval'!X120</f>
        <v>4</v>
      </c>
    </row>
    <row r="121">
      <c r="A121" s="26" t="s">
        <v>557</v>
      </c>
      <c r="B121" s="52" t="s">
        <v>935</v>
      </c>
      <c r="F121" s="53" t="s">
        <v>936</v>
      </c>
      <c r="J121" s="54" t="s">
        <v>937</v>
      </c>
      <c r="N121" s="55" t="s">
        <v>938</v>
      </c>
      <c r="R121" s="56" t="s">
        <v>939</v>
      </c>
      <c r="Z121" s="65" t="str">
        <f>'review 1 - annotator 2 - eval'!V121</f>
        <v/>
      </c>
      <c r="AA121" s="65" t="str">
        <f>'review 1 - annotator 2 - eval'!W121</f>
        <v/>
      </c>
      <c r="AB121" s="65" t="str">
        <f>'review 1 - annotator 2 - eval'!X121</f>
        <v/>
      </c>
    </row>
    <row r="122">
      <c r="B122" s="57" t="s">
        <v>169</v>
      </c>
      <c r="E122" s="58"/>
      <c r="F122" s="57" t="s">
        <v>962</v>
      </c>
      <c r="I122" s="58"/>
      <c r="J122" s="57" t="s">
        <v>166</v>
      </c>
      <c r="M122" s="58"/>
      <c r="N122" s="57" t="s">
        <v>167</v>
      </c>
      <c r="Q122" s="58"/>
      <c r="R122" s="57" t="s">
        <v>168</v>
      </c>
      <c r="U122" s="58"/>
      <c r="Z122" s="65" t="str">
        <f>'review 1 - annotator 2 - eval'!V122</f>
        <v/>
      </c>
      <c r="AA122" s="65" t="str">
        <f>'review 1 - annotator 2 - eval'!W122</f>
        <v/>
      </c>
      <c r="AB122" s="65" t="str">
        <f>'review 1 - annotator 2 - eval'!X122</f>
        <v/>
      </c>
    </row>
    <row r="123">
      <c r="B123" s="60" t="s">
        <v>943</v>
      </c>
      <c r="C123" s="61" t="s">
        <v>944</v>
      </c>
      <c r="D123" s="61" t="s">
        <v>945</v>
      </c>
      <c r="E123" s="62"/>
      <c r="F123" s="60" t="s">
        <v>943</v>
      </c>
      <c r="G123" s="61" t="s">
        <v>944</v>
      </c>
      <c r="H123" s="61" t="s">
        <v>945</v>
      </c>
      <c r="I123" s="62"/>
      <c r="J123" s="60" t="s">
        <v>943</v>
      </c>
      <c r="K123" s="61" t="s">
        <v>944</v>
      </c>
      <c r="L123" s="61" t="s">
        <v>945</v>
      </c>
      <c r="M123" s="62"/>
      <c r="N123" s="60" t="s">
        <v>943</v>
      </c>
      <c r="O123" s="61" t="s">
        <v>944</v>
      </c>
      <c r="P123" s="61" t="s">
        <v>945</v>
      </c>
      <c r="Q123" s="62"/>
      <c r="R123" s="60" t="s">
        <v>943</v>
      </c>
      <c r="S123" s="61" t="s">
        <v>944</v>
      </c>
      <c r="T123" s="61" t="s">
        <v>945</v>
      </c>
      <c r="U123" s="62"/>
      <c r="Z123" s="65" t="str">
        <f>'review 1 - annotator 2 - eval'!V123</f>
        <v/>
      </c>
      <c r="AA123" s="65" t="str">
        <f>'review 1 - annotator 2 - eval'!W123</f>
        <v/>
      </c>
      <c r="AB123" s="65" t="str">
        <f>'review 1 - annotator 2 - eval'!X123</f>
        <v/>
      </c>
    </row>
    <row r="124">
      <c r="A124" s="8" t="s">
        <v>946</v>
      </c>
      <c r="B124" s="63">
        <v>1.0</v>
      </c>
      <c r="C124" s="7">
        <v>1.0</v>
      </c>
      <c r="D124" s="7">
        <v>1.0</v>
      </c>
      <c r="E124" s="64"/>
      <c r="F124" s="63">
        <v>1.0</v>
      </c>
      <c r="G124" s="7">
        <v>1.0</v>
      </c>
      <c r="H124" s="7">
        <v>1.0</v>
      </c>
      <c r="I124" s="64"/>
      <c r="J124" s="63">
        <v>1.0</v>
      </c>
      <c r="K124" s="7">
        <v>1.0</v>
      </c>
      <c r="L124" s="7">
        <v>1.0</v>
      </c>
      <c r="M124" s="64"/>
      <c r="N124" s="63">
        <v>1.0</v>
      </c>
      <c r="O124" s="7">
        <v>1.0</v>
      </c>
      <c r="P124" s="7">
        <v>1.0</v>
      </c>
      <c r="Q124" s="64"/>
      <c r="R124" s="63">
        <v>1.0</v>
      </c>
      <c r="S124" s="7">
        <v>1.0</v>
      </c>
      <c r="T124" s="7">
        <v>1.0</v>
      </c>
      <c r="U124" s="64"/>
      <c r="V124" s="65">
        <f t="shared" ref="V124:X124" si="85">SUM(B124,F124,J124,N124,R124)</f>
        <v>5</v>
      </c>
      <c r="W124" s="65">
        <f t="shared" si="85"/>
        <v>5</v>
      </c>
      <c r="X124" s="65">
        <f t="shared" si="85"/>
        <v>5</v>
      </c>
      <c r="Z124" s="65">
        <f>'review 1 - annotator 2 - eval'!V124</f>
        <v>3</v>
      </c>
      <c r="AA124" s="65">
        <f>'review 1 - annotator 2 - eval'!W124</f>
        <v>5</v>
      </c>
      <c r="AB124" s="65">
        <f>'review 1 - annotator 2 - eval'!X124</f>
        <v>5</v>
      </c>
    </row>
    <row r="125">
      <c r="A125" s="8" t="s">
        <v>947</v>
      </c>
      <c r="B125" s="63">
        <v>1.0</v>
      </c>
      <c r="C125" s="7">
        <v>1.0</v>
      </c>
      <c r="D125" s="7">
        <v>1.0</v>
      </c>
      <c r="E125" s="64"/>
      <c r="F125" s="63">
        <v>1.0</v>
      </c>
      <c r="G125" s="7">
        <v>1.0</v>
      </c>
      <c r="H125" s="7">
        <v>1.0</v>
      </c>
      <c r="I125" s="64"/>
      <c r="J125" s="63">
        <v>1.0</v>
      </c>
      <c r="K125" s="7">
        <v>1.0</v>
      </c>
      <c r="L125" s="7">
        <v>1.0</v>
      </c>
      <c r="M125" s="64"/>
      <c r="N125" s="63">
        <v>1.0</v>
      </c>
      <c r="O125" s="7">
        <v>1.0</v>
      </c>
      <c r="P125" s="7">
        <v>1.0</v>
      </c>
      <c r="Q125" s="64"/>
      <c r="R125" s="63">
        <v>1.0</v>
      </c>
      <c r="S125" s="7">
        <v>1.0</v>
      </c>
      <c r="T125" s="7">
        <v>1.0</v>
      </c>
      <c r="U125" s="64"/>
      <c r="V125" s="65">
        <f t="shared" ref="V125:X125" si="86">SUM(B125,F125,J125,N125,R125)</f>
        <v>5</v>
      </c>
      <c r="W125" s="65">
        <f t="shared" si="86"/>
        <v>5</v>
      </c>
      <c r="X125" s="65">
        <f t="shared" si="86"/>
        <v>5</v>
      </c>
      <c r="Z125" s="65">
        <f>'review 1 - annotator 2 - eval'!V125</f>
        <v>4</v>
      </c>
      <c r="AA125" s="65">
        <f>'review 1 - annotator 2 - eval'!W125</f>
        <v>5</v>
      </c>
      <c r="AB125" s="65">
        <f>'review 1 - annotator 2 - eval'!X125</f>
        <v>5</v>
      </c>
    </row>
    <row r="126">
      <c r="A126" s="8" t="s">
        <v>948</v>
      </c>
      <c r="B126" s="63">
        <v>1.0</v>
      </c>
      <c r="C126" s="7">
        <v>1.0</v>
      </c>
      <c r="D126" s="7">
        <v>1.0</v>
      </c>
      <c r="E126" s="64"/>
      <c r="F126" s="63">
        <v>0.0</v>
      </c>
      <c r="G126" s="7">
        <v>0.0</v>
      </c>
      <c r="H126" s="7">
        <v>0.0</v>
      </c>
      <c r="I126" s="64"/>
      <c r="J126" s="63">
        <v>1.0</v>
      </c>
      <c r="K126" s="7">
        <v>1.0</v>
      </c>
      <c r="L126" s="7">
        <v>1.0</v>
      </c>
      <c r="M126" s="64"/>
      <c r="N126" s="63">
        <v>1.0</v>
      </c>
      <c r="O126" s="7">
        <v>1.0</v>
      </c>
      <c r="P126" s="7">
        <v>1.0</v>
      </c>
      <c r="Q126" s="64"/>
      <c r="R126" s="63">
        <v>1.0</v>
      </c>
      <c r="S126" s="7">
        <v>1.0</v>
      </c>
      <c r="T126" s="7">
        <v>1.0</v>
      </c>
      <c r="U126" s="64"/>
      <c r="V126" s="65">
        <f t="shared" ref="V126:X126" si="87">SUM(B126,F126,J126,N126,R126)</f>
        <v>4</v>
      </c>
      <c r="W126" s="65">
        <f t="shared" si="87"/>
        <v>4</v>
      </c>
      <c r="X126" s="65">
        <f t="shared" si="87"/>
        <v>4</v>
      </c>
      <c r="Z126" s="65">
        <f>'review 1 - annotator 2 - eval'!V126</f>
        <v>3</v>
      </c>
      <c r="AA126" s="65">
        <f>'review 1 - annotator 2 - eval'!W126</f>
        <v>5</v>
      </c>
      <c r="AB126" s="65">
        <f>'review 1 - annotator 2 - eval'!X126</f>
        <v>5</v>
      </c>
    </row>
    <row r="127">
      <c r="A127" s="8" t="s">
        <v>949</v>
      </c>
      <c r="B127" s="63">
        <v>1.0</v>
      </c>
      <c r="C127" s="7">
        <v>1.0</v>
      </c>
      <c r="D127" s="7">
        <v>1.0</v>
      </c>
      <c r="E127" s="64"/>
      <c r="F127" s="63">
        <v>1.0</v>
      </c>
      <c r="G127" s="7">
        <v>1.0</v>
      </c>
      <c r="H127" s="7">
        <v>1.0</v>
      </c>
      <c r="I127" s="64"/>
      <c r="J127" s="63">
        <v>1.0</v>
      </c>
      <c r="K127" s="7">
        <v>1.0</v>
      </c>
      <c r="L127" s="7">
        <v>1.0</v>
      </c>
      <c r="M127" s="64"/>
      <c r="N127" s="63">
        <v>1.0</v>
      </c>
      <c r="O127" s="7">
        <v>1.0</v>
      </c>
      <c r="P127" s="7">
        <v>1.0</v>
      </c>
      <c r="Q127" s="64"/>
      <c r="R127" s="63">
        <v>1.0</v>
      </c>
      <c r="S127" s="7">
        <v>1.0</v>
      </c>
      <c r="T127" s="7">
        <v>1.0</v>
      </c>
      <c r="U127" s="64"/>
      <c r="V127" s="65">
        <f t="shared" ref="V127:X127" si="88">SUM(B127,F127,J127,N127,R127)</f>
        <v>5</v>
      </c>
      <c r="W127" s="65">
        <f t="shared" si="88"/>
        <v>5</v>
      </c>
      <c r="X127" s="65">
        <f t="shared" si="88"/>
        <v>5</v>
      </c>
      <c r="Z127" s="65">
        <f>'review 1 - annotator 2 - eval'!V127</f>
        <v>4</v>
      </c>
      <c r="AA127" s="65">
        <f>'review 1 - annotator 2 - eval'!W127</f>
        <v>5</v>
      </c>
      <c r="AB127" s="65">
        <f>'review 1 - annotator 2 - eval'!X127</f>
        <v>5</v>
      </c>
    </row>
    <row r="128">
      <c r="A128" s="8" t="s">
        <v>950</v>
      </c>
      <c r="B128" s="63">
        <v>1.0</v>
      </c>
      <c r="C128" s="7">
        <v>1.0</v>
      </c>
      <c r="D128" s="7">
        <v>1.0</v>
      </c>
      <c r="E128" s="64"/>
      <c r="F128" s="63">
        <v>0.0</v>
      </c>
      <c r="G128" s="7">
        <v>0.0</v>
      </c>
      <c r="H128" s="7">
        <v>0.0</v>
      </c>
      <c r="I128" s="64"/>
      <c r="J128" s="63">
        <v>1.0</v>
      </c>
      <c r="K128" s="7">
        <v>1.0</v>
      </c>
      <c r="L128" s="7">
        <v>1.0</v>
      </c>
      <c r="M128" s="64"/>
      <c r="N128" s="63">
        <v>1.0</v>
      </c>
      <c r="O128" s="7">
        <v>1.0</v>
      </c>
      <c r="P128" s="7">
        <v>1.0</v>
      </c>
      <c r="Q128" s="64"/>
      <c r="R128" s="63">
        <v>1.0</v>
      </c>
      <c r="S128" s="7">
        <v>1.0</v>
      </c>
      <c r="T128" s="7">
        <v>1.0</v>
      </c>
      <c r="U128" s="64"/>
      <c r="V128" s="65">
        <f t="shared" ref="V128:X128" si="89">SUM(B128,F128,J128,N128,R128)</f>
        <v>4</v>
      </c>
      <c r="W128" s="65">
        <f t="shared" si="89"/>
        <v>4</v>
      </c>
      <c r="X128" s="65">
        <f t="shared" si="89"/>
        <v>4</v>
      </c>
      <c r="Z128" s="65">
        <f>'review 1 - annotator 2 - eval'!V128</f>
        <v>3</v>
      </c>
      <c r="AA128" s="65">
        <f>'review 1 - annotator 2 - eval'!W128</f>
        <v>5</v>
      </c>
      <c r="AB128" s="65">
        <f>'review 1 - annotator 2 - eval'!X128</f>
        <v>5</v>
      </c>
    </row>
    <row r="129">
      <c r="A129" s="8" t="s">
        <v>951</v>
      </c>
      <c r="B129" s="63">
        <v>1.0</v>
      </c>
      <c r="C129" s="7">
        <v>1.0</v>
      </c>
      <c r="D129" s="7">
        <v>1.0</v>
      </c>
      <c r="E129" s="64"/>
      <c r="F129" s="63">
        <v>0.0</v>
      </c>
      <c r="G129" s="7">
        <v>1.0</v>
      </c>
      <c r="H129" s="7">
        <v>1.0</v>
      </c>
      <c r="I129" s="64"/>
      <c r="J129" s="63">
        <v>1.0</v>
      </c>
      <c r="K129" s="7">
        <v>1.0</v>
      </c>
      <c r="L129" s="7">
        <v>1.0</v>
      </c>
      <c r="M129" s="64"/>
      <c r="N129" s="63">
        <v>1.0</v>
      </c>
      <c r="O129" s="7">
        <v>1.0</v>
      </c>
      <c r="P129" s="7">
        <v>1.0</v>
      </c>
      <c r="Q129" s="64"/>
      <c r="R129" s="63">
        <v>1.0</v>
      </c>
      <c r="S129" s="7">
        <v>1.0</v>
      </c>
      <c r="T129" s="7">
        <v>1.0</v>
      </c>
      <c r="U129" s="64"/>
      <c r="V129" s="65">
        <f t="shared" ref="V129:X129" si="90">SUM(B129,F129,J129,N129,R129)</f>
        <v>4</v>
      </c>
      <c r="W129" s="65">
        <f t="shared" si="90"/>
        <v>5</v>
      </c>
      <c r="X129" s="65">
        <f t="shared" si="90"/>
        <v>5</v>
      </c>
      <c r="Z129" s="65">
        <f>'review 1 - annotator 2 - eval'!V129</f>
        <v>4</v>
      </c>
      <c r="AA129" s="65">
        <f>'review 1 - annotator 2 - eval'!W129</f>
        <v>5</v>
      </c>
      <c r="AB129" s="65">
        <f>'review 1 - annotator 2 - eval'!X129</f>
        <v>5</v>
      </c>
    </row>
    <row r="130">
      <c r="A130" s="8" t="s">
        <v>952</v>
      </c>
      <c r="B130" s="66">
        <v>1.0</v>
      </c>
      <c r="C130" s="67">
        <v>1.0</v>
      </c>
      <c r="D130" s="67">
        <v>1.0</v>
      </c>
      <c r="E130" s="68"/>
      <c r="F130" s="66">
        <v>0.0</v>
      </c>
      <c r="G130" s="67">
        <v>1.0</v>
      </c>
      <c r="H130" s="67">
        <v>1.0</v>
      </c>
      <c r="I130" s="68"/>
      <c r="J130" s="66">
        <v>1.0</v>
      </c>
      <c r="K130" s="67">
        <v>1.0</v>
      </c>
      <c r="L130" s="67">
        <v>1.0</v>
      </c>
      <c r="M130" s="68"/>
      <c r="N130" s="66">
        <v>1.0</v>
      </c>
      <c r="O130" s="67">
        <v>1.0</v>
      </c>
      <c r="P130" s="67">
        <v>1.0</v>
      </c>
      <c r="Q130" s="68"/>
      <c r="R130" s="66">
        <v>1.0</v>
      </c>
      <c r="S130" s="67">
        <v>1.0</v>
      </c>
      <c r="T130" s="67">
        <v>1.0</v>
      </c>
      <c r="U130" s="68"/>
      <c r="V130" s="65">
        <f t="shared" ref="V130:X130" si="91">SUM(B130,F130,J130,N130,R130)</f>
        <v>4</v>
      </c>
      <c r="W130" s="65">
        <f t="shared" si="91"/>
        <v>5</v>
      </c>
      <c r="X130" s="65">
        <f t="shared" si="91"/>
        <v>5</v>
      </c>
      <c r="Z130" s="65">
        <f>'review 1 - annotator 2 - eval'!V130</f>
        <v>4</v>
      </c>
      <c r="AA130" s="65">
        <f>'review 1 - annotator 2 - eval'!W130</f>
        <v>5</v>
      </c>
      <c r="AB130" s="65">
        <f>'review 1 - annotator 2 - eval'!X130</f>
        <v>5</v>
      </c>
    </row>
    <row r="131">
      <c r="A131" s="26" t="s">
        <v>568</v>
      </c>
      <c r="B131" s="52" t="s">
        <v>935</v>
      </c>
      <c r="F131" s="53" t="s">
        <v>936</v>
      </c>
      <c r="J131" s="54" t="s">
        <v>937</v>
      </c>
      <c r="N131" s="55" t="s">
        <v>938</v>
      </c>
      <c r="R131" s="56" t="s">
        <v>939</v>
      </c>
      <c r="Z131" s="65" t="str">
        <f>'review 1 - annotator 2 - eval'!V131</f>
        <v/>
      </c>
      <c r="AA131" s="65" t="str">
        <f>'review 1 - annotator 2 - eval'!W131</f>
        <v/>
      </c>
      <c r="AB131" s="65" t="str">
        <f>'review 1 - annotator 2 - eval'!X131</f>
        <v/>
      </c>
    </row>
    <row r="132">
      <c r="B132" s="57" t="s">
        <v>179</v>
      </c>
      <c r="E132" s="58"/>
      <c r="F132" s="57" t="s">
        <v>319</v>
      </c>
      <c r="I132" s="58"/>
      <c r="J132" s="57" t="s">
        <v>18</v>
      </c>
      <c r="M132" s="58"/>
      <c r="N132" s="57" t="s">
        <v>178</v>
      </c>
      <c r="Q132" s="58"/>
      <c r="R132" s="57" t="s">
        <v>23</v>
      </c>
      <c r="U132" s="58"/>
      <c r="Z132" s="65" t="str">
        <f>'review 1 - annotator 2 - eval'!V132</f>
        <v/>
      </c>
      <c r="AA132" s="65" t="str">
        <f>'review 1 - annotator 2 - eval'!W132</f>
        <v/>
      </c>
      <c r="AB132" s="65" t="str">
        <f>'review 1 - annotator 2 - eval'!X132</f>
        <v/>
      </c>
    </row>
    <row r="133">
      <c r="B133" s="60" t="s">
        <v>943</v>
      </c>
      <c r="C133" s="61" t="s">
        <v>944</v>
      </c>
      <c r="D133" s="61" t="s">
        <v>945</v>
      </c>
      <c r="E133" s="62"/>
      <c r="F133" s="60" t="s">
        <v>943</v>
      </c>
      <c r="G133" s="61" t="s">
        <v>944</v>
      </c>
      <c r="H133" s="61" t="s">
        <v>945</v>
      </c>
      <c r="I133" s="62"/>
      <c r="J133" s="60" t="s">
        <v>943</v>
      </c>
      <c r="K133" s="61" t="s">
        <v>944</v>
      </c>
      <c r="L133" s="61" t="s">
        <v>945</v>
      </c>
      <c r="M133" s="62"/>
      <c r="N133" s="60" t="s">
        <v>943</v>
      </c>
      <c r="O133" s="61" t="s">
        <v>944</v>
      </c>
      <c r="P133" s="61" t="s">
        <v>945</v>
      </c>
      <c r="Q133" s="62"/>
      <c r="R133" s="60" t="s">
        <v>943</v>
      </c>
      <c r="S133" s="61" t="s">
        <v>944</v>
      </c>
      <c r="T133" s="61" t="s">
        <v>945</v>
      </c>
      <c r="U133" s="62"/>
      <c r="Z133" s="65" t="str">
        <f>'review 1 - annotator 2 - eval'!V133</f>
        <v/>
      </c>
      <c r="AA133" s="65" t="str">
        <f>'review 1 - annotator 2 - eval'!W133</f>
        <v/>
      </c>
      <c r="AB133" s="65" t="str">
        <f>'review 1 - annotator 2 - eval'!X133</f>
        <v/>
      </c>
    </row>
    <row r="134">
      <c r="A134" s="8" t="s">
        <v>946</v>
      </c>
      <c r="B134" s="63">
        <v>1.0</v>
      </c>
      <c r="C134" s="7">
        <v>1.0</v>
      </c>
      <c r="D134" s="7">
        <v>1.0</v>
      </c>
      <c r="E134" s="64"/>
      <c r="F134" s="63">
        <v>1.0</v>
      </c>
      <c r="G134" s="7">
        <v>1.0</v>
      </c>
      <c r="H134" s="7">
        <v>1.0</v>
      </c>
      <c r="I134" s="64"/>
      <c r="J134" s="63">
        <v>1.0</v>
      </c>
      <c r="K134" s="7">
        <v>1.0</v>
      </c>
      <c r="L134" s="7">
        <v>1.0</v>
      </c>
      <c r="M134" s="64"/>
      <c r="N134" s="63">
        <v>1.0</v>
      </c>
      <c r="O134" s="7">
        <v>1.0</v>
      </c>
      <c r="P134" s="7">
        <v>1.0</v>
      </c>
      <c r="Q134" s="64"/>
      <c r="R134" s="63">
        <v>1.0</v>
      </c>
      <c r="S134" s="7">
        <v>1.0</v>
      </c>
      <c r="T134" s="7">
        <v>1.0</v>
      </c>
      <c r="U134" s="64"/>
      <c r="V134" s="65">
        <f t="shared" ref="V134:X134" si="92">SUM(B134,F134,J134,N134,R134)</f>
        <v>5</v>
      </c>
      <c r="W134" s="65">
        <f t="shared" si="92"/>
        <v>5</v>
      </c>
      <c r="X134" s="65">
        <f t="shared" si="92"/>
        <v>5</v>
      </c>
      <c r="Z134" s="65">
        <f>'review 1 - annotator 2 - eval'!V134</f>
        <v>5</v>
      </c>
      <c r="AA134" s="65">
        <f>'review 1 - annotator 2 - eval'!W134</f>
        <v>4</v>
      </c>
      <c r="AB134" s="65">
        <f>'review 1 - annotator 2 - eval'!X134</f>
        <v>5</v>
      </c>
    </row>
    <row r="135">
      <c r="A135" s="8" t="s">
        <v>947</v>
      </c>
      <c r="B135" s="63">
        <v>1.0</v>
      </c>
      <c r="C135" s="7">
        <v>1.0</v>
      </c>
      <c r="D135" s="7">
        <v>1.0</v>
      </c>
      <c r="E135" s="64"/>
      <c r="F135" s="63">
        <v>1.0</v>
      </c>
      <c r="G135" s="7">
        <v>1.0</v>
      </c>
      <c r="H135" s="7">
        <v>1.0</v>
      </c>
      <c r="I135" s="64"/>
      <c r="J135" s="63">
        <v>1.0</v>
      </c>
      <c r="K135" s="7">
        <v>1.0</v>
      </c>
      <c r="L135" s="7">
        <v>1.0</v>
      </c>
      <c r="M135" s="64"/>
      <c r="N135" s="63">
        <v>1.0</v>
      </c>
      <c r="O135" s="7">
        <v>1.0</v>
      </c>
      <c r="P135" s="7">
        <v>1.0</v>
      </c>
      <c r="Q135" s="64"/>
      <c r="R135" s="63">
        <v>1.0</v>
      </c>
      <c r="S135" s="7">
        <v>1.0</v>
      </c>
      <c r="T135" s="7">
        <v>1.0</v>
      </c>
      <c r="U135" s="64"/>
      <c r="V135" s="65">
        <f t="shared" ref="V135:X135" si="93">SUM(B135,F135,J135,N135,R135)</f>
        <v>5</v>
      </c>
      <c r="W135" s="65">
        <f t="shared" si="93"/>
        <v>5</v>
      </c>
      <c r="X135" s="65">
        <f t="shared" si="93"/>
        <v>5</v>
      </c>
      <c r="Z135" s="65">
        <f>'review 1 - annotator 2 - eval'!V135</f>
        <v>5</v>
      </c>
      <c r="AA135" s="65">
        <f>'review 1 - annotator 2 - eval'!W135</f>
        <v>5</v>
      </c>
      <c r="AB135" s="65">
        <f>'review 1 - annotator 2 - eval'!X135</f>
        <v>5</v>
      </c>
    </row>
    <row r="136">
      <c r="A136" s="8" t="s">
        <v>948</v>
      </c>
      <c r="B136" s="63">
        <v>1.0</v>
      </c>
      <c r="C136" s="7">
        <v>1.0</v>
      </c>
      <c r="D136" s="7">
        <v>1.0</v>
      </c>
      <c r="E136" s="64"/>
      <c r="F136" s="63">
        <v>0.0</v>
      </c>
      <c r="G136" s="7">
        <v>1.0</v>
      </c>
      <c r="H136" s="7">
        <v>1.0</v>
      </c>
      <c r="I136" s="64"/>
      <c r="J136" s="63">
        <v>1.0</v>
      </c>
      <c r="K136" s="7">
        <v>1.0</v>
      </c>
      <c r="L136" s="7">
        <v>1.0</v>
      </c>
      <c r="M136" s="64"/>
      <c r="N136" s="63">
        <v>1.0</v>
      </c>
      <c r="O136" s="7">
        <v>1.0</v>
      </c>
      <c r="P136" s="7">
        <v>1.0</v>
      </c>
      <c r="Q136" s="64"/>
      <c r="R136" s="63">
        <v>1.0</v>
      </c>
      <c r="S136" s="7">
        <v>1.0</v>
      </c>
      <c r="T136" s="7">
        <v>1.0</v>
      </c>
      <c r="U136" s="64"/>
      <c r="V136" s="65">
        <f t="shared" ref="V136:X136" si="94">SUM(B136,F136,J136,N136,R136)</f>
        <v>4</v>
      </c>
      <c r="W136" s="65">
        <f t="shared" si="94"/>
        <v>5</v>
      </c>
      <c r="X136" s="65">
        <f t="shared" si="94"/>
        <v>5</v>
      </c>
      <c r="Z136" s="65">
        <f>'review 1 - annotator 2 - eval'!V136</f>
        <v>5</v>
      </c>
      <c r="AA136" s="65">
        <f>'review 1 - annotator 2 - eval'!W136</f>
        <v>2</v>
      </c>
      <c r="AB136" s="65">
        <f>'review 1 - annotator 2 - eval'!X136</f>
        <v>5</v>
      </c>
    </row>
    <row r="137">
      <c r="A137" s="8" t="s">
        <v>949</v>
      </c>
      <c r="B137" s="63">
        <v>1.0</v>
      </c>
      <c r="C137" s="7">
        <v>1.0</v>
      </c>
      <c r="D137" s="7">
        <v>1.0</v>
      </c>
      <c r="E137" s="64"/>
      <c r="F137" s="63">
        <v>1.0</v>
      </c>
      <c r="G137" s="7">
        <v>1.0</v>
      </c>
      <c r="H137" s="7">
        <v>1.0</v>
      </c>
      <c r="I137" s="64"/>
      <c r="J137" s="63">
        <v>1.0</v>
      </c>
      <c r="K137" s="7">
        <v>1.0</v>
      </c>
      <c r="L137" s="7">
        <v>1.0</v>
      </c>
      <c r="M137" s="64"/>
      <c r="N137" s="63">
        <v>1.0</v>
      </c>
      <c r="O137" s="7">
        <v>1.0</v>
      </c>
      <c r="P137" s="7">
        <v>1.0</v>
      </c>
      <c r="Q137" s="64"/>
      <c r="R137" s="63">
        <v>1.0</v>
      </c>
      <c r="S137" s="7">
        <v>1.0</v>
      </c>
      <c r="T137" s="7">
        <v>1.0</v>
      </c>
      <c r="U137" s="64"/>
      <c r="V137" s="65">
        <f t="shared" ref="V137:X137" si="95">SUM(B137,F137,J137,N137,R137)</f>
        <v>5</v>
      </c>
      <c r="W137" s="65">
        <f t="shared" si="95"/>
        <v>5</v>
      </c>
      <c r="X137" s="65">
        <f t="shared" si="95"/>
        <v>5</v>
      </c>
      <c r="Z137" s="65">
        <f>'review 1 - annotator 2 - eval'!V137</f>
        <v>5</v>
      </c>
      <c r="AA137" s="65">
        <f>'review 1 - annotator 2 - eval'!W137</f>
        <v>5</v>
      </c>
      <c r="AB137" s="65">
        <f>'review 1 - annotator 2 - eval'!X137</f>
        <v>5</v>
      </c>
    </row>
    <row r="138">
      <c r="A138" s="8" t="s">
        <v>950</v>
      </c>
      <c r="B138" s="63">
        <v>1.0</v>
      </c>
      <c r="C138" s="7">
        <v>1.0</v>
      </c>
      <c r="D138" s="7">
        <v>1.0</v>
      </c>
      <c r="E138" s="64"/>
      <c r="F138" s="63">
        <v>0.0</v>
      </c>
      <c r="G138" s="7">
        <v>1.0</v>
      </c>
      <c r="H138" s="7">
        <v>1.0</v>
      </c>
      <c r="I138" s="64"/>
      <c r="J138" s="63">
        <v>1.0</v>
      </c>
      <c r="K138" s="7">
        <v>1.0</v>
      </c>
      <c r="L138" s="7">
        <v>1.0</v>
      </c>
      <c r="M138" s="64"/>
      <c r="N138" s="63">
        <v>1.0</v>
      </c>
      <c r="O138" s="7">
        <v>1.0</v>
      </c>
      <c r="P138" s="7">
        <v>1.0</v>
      </c>
      <c r="Q138" s="64"/>
      <c r="R138" s="63">
        <v>1.0</v>
      </c>
      <c r="S138" s="7">
        <v>1.0</v>
      </c>
      <c r="T138" s="7">
        <v>1.0</v>
      </c>
      <c r="U138" s="64"/>
      <c r="V138" s="65">
        <f t="shared" ref="V138:X138" si="96">SUM(B138,F138,J138,N138,R138)</f>
        <v>4</v>
      </c>
      <c r="W138" s="65">
        <f t="shared" si="96"/>
        <v>5</v>
      </c>
      <c r="X138" s="65">
        <f t="shared" si="96"/>
        <v>5</v>
      </c>
      <c r="Z138" s="65">
        <f>'review 1 - annotator 2 - eval'!V138</f>
        <v>5</v>
      </c>
      <c r="AA138" s="65">
        <f>'review 1 - annotator 2 - eval'!W138</f>
        <v>4</v>
      </c>
      <c r="AB138" s="65">
        <f>'review 1 - annotator 2 - eval'!X138</f>
        <v>4</v>
      </c>
    </row>
    <row r="139">
      <c r="A139" s="8" t="s">
        <v>951</v>
      </c>
      <c r="B139" s="63">
        <v>1.0</v>
      </c>
      <c r="C139" s="7">
        <v>1.0</v>
      </c>
      <c r="D139" s="7">
        <v>1.0</v>
      </c>
      <c r="E139" s="64"/>
      <c r="F139" s="63">
        <v>1.0</v>
      </c>
      <c r="G139" s="7">
        <v>1.0</v>
      </c>
      <c r="H139" s="7">
        <v>1.0</v>
      </c>
      <c r="I139" s="64"/>
      <c r="J139" s="63">
        <v>1.0</v>
      </c>
      <c r="K139" s="7">
        <v>1.0</v>
      </c>
      <c r="L139" s="7">
        <v>1.0</v>
      </c>
      <c r="M139" s="64"/>
      <c r="N139" s="63">
        <v>1.0</v>
      </c>
      <c r="O139" s="7">
        <v>1.0</v>
      </c>
      <c r="P139" s="7">
        <v>1.0</v>
      </c>
      <c r="Q139" s="64"/>
      <c r="R139" s="63">
        <v>1.0</v>
      </c>
      <c r="S139" s="7">
        <v>1.0</v>
      </c>
      <c r="T139" s="7">
        <v>1.0</v>
      </c>
      <c r="U139" s="64"/>
      <c r="V139" s="65">
        <f t="shared" ref="V139:X139" si="97">SUM(B139,F139,J139,N139,R139)</f>
        <v>5</v>
      </c>
      <c r="W139" s="65">
        <f t="shared" si="97"/>
        <v>5</v>
      </c>
      <c r="X139" s="65">
        <f t="shared" si="97"/>
        <v>5</v>
      </c>
      <c r="Z139" s="65">
        <f>'review 1 - annotator 2 - eval'!V139</f>
        <v>5</v>
      </c>
      <c r="AA139" s="65">
        <f>'review 1 - annotator 2 - eval'!W139</f>
        <v>5</v>
      </c>
      <c r="AB139" s="65">
        <f>'review 1 - annotator 2 - eval'!X139</f>
        <v>5</v>
      </c>
    </row>
    <row r="140">
      <c r="A140" s="8" t="s">
        <v>952</v>
      </c>
      <c r="B140" s="66">
        <v>1.0</v>
      </c>
      <c r="C140" s="67">
        <v>1.0</v>
      </c>
      <c r="D140" s="67">
        <v>1.0</v>
      </c>
      <c r="E140" s="68"/>
      <c r="F140" s="66">
        <v>1.0</v>
      </c>
      <c r="G140" s="67">
        <v>1.0</v>
      </c>
      <c r="H140" s="67">
        <v>1.0</v>
      </c>
      <c r="I140" s="68"/>
      <c r="J140" s="66">
        <v>1.0</v>
      </c>
      <c r="K140" s="67">
        <v>1.0</v>
      </c>
      <c r="L140" s="67">
        <v>1.0</v>
      </c>
      <c r="M140" s="68"/>
      <c r="N140" s="66">
        <v>1.0</v>
      </c>
      <c r="O140" s="67">
        <v>1.0</v>
      </c>
      <c r="P140" s="67">
        <v>1.0</v>
      </c>
      <c r="Q140" s="68"/>
      <c r="R140" s="66">
        <v>1.0</v>
      </c>
      <c r="S140" s="67">
        <v>1.0</v>
      </c>
      <c r="T140" s="67">
        <v>1.0</v>
      </c>
      <c r="U140" s="68"/>
      <c r="V140" s="65">
        <f t="shared" ref="V140:X140" si="98">SUM(B140,F140,J140,N140,R140)</f>
        <v>5</v>
      </c>
      <c r="W140" s="65">
        <f t="shared" si="98"/>
        <v>5</v>
      </c>
      <c r="X140" s="65">
        <f t="shared" si="98"/>
        <v>5</v>
      </c>
      <c r="Z140" s="65">
        <f>'review 1 - annotator 2 - eval'!V140</f>
        <v>5</v>
      </c>
      <c r="AA140" s="65">
        <f>'review 1 - annotator 2 - eval'!W140</f>
        <v>5</v>
      </c>
      <c r="AB140" s="65">
        <f>'review 1 - annotator 2 - eval'!X140</f>
        <v>5</v>
      </c>
    </row>
    <row r="141">
      <c r="A141" s="26" t="s">
        <v>577</v>
      </c>
      <c r="B141" s="52" t="s">
        <v>935</v>
      </c>
      <c r="F141" s="53" t="s">
        <v>936</v>
      </c>
      <c r="J141" s="54" t="s">
        <v>937</v>
      </c>
      <c r="N141" s="55" t="s">
        <v>938</v>
      </c>
      <c r="R141" s="56" t="s">
        <v>939</v>
      </c>
      <c r="Z141" s="65" t="str">
        <f>'review 1 - annotator 2 - eval'!V141</f>
        <v/>
      </c>
      <c r="AA141" s="65" t="str">
        <f>'review 1 - annotator 2 - eval'!W141</f>
        <v/>
      </c>
      <c r="AB141" s="65" t="str">
        <f>'review 1 - annotator 2 - eval'!X141</f>
        <v/>
      </c>
    </row>
    <row r="142">
      <c r="B142" s="57" t="s">
        <v>963</v>
      </c>
      <c r="E142" s="58"/>
      <c r="F142" s="57" t="s">
        <v>354</v>
      </c>
      <c r="I142" s="58"/>
      <c r="J142" s="57" t="s">
        <v>18</v>
      </c>
      <c r="M142" s="58"/>
      <c r="N142" s="57" t="s">
        <v>355</v>
      </c>
      <c r="Q142" s="58"/>
      <c r="R142" s="57" t="s">
        <v>964</v>
      </c>
      <c r="U142" s="58"/>
      <c r="Z142" s="65" t="str">
        <f>'review 1 - annotator 2 - eval'!V142</f>
        <v/>
      </c>
      <c r="AA142" s="65" t="str">
        <f>'review 1 - annotator 2 - eval'!W142</f>
        <v/>
      </c>
      <c r="AB142" s="65" t="str">
        <f>'review 1 - annotator 2 - eval'!X142</f>
        <v/>
      </c>
    </row>
    <row r="143">
      <c r="B143" s="60" t="s">
        <v>943</v>
      </c>
      <c r="C143" s="61" t="s">
        <v>944</v>
      </c>
      <c r="D143" s="61" t="s">
        <v>945</v>
      </c>
      <c r="E143" s="62"/>
      <c r="F143" s="60" t="s">
        <v>943</v>
      </c>
      <c r="G143" s="61" t="s">
        <v>944</v>
      </c>
      <c r="H143" s="61" t="s">
        <v>945</v>
      </c>
      <c r="I143" s="62"/>
      <c r="J143" s="60" t="s">
        <v>943</v>
      </c>
      <c r="K143" s="61" t="s">
        <v>944</v>
      </c>
      <c r="L143" s="61" t="s">
        <v>945</v>
      </c>
      <c r="M143" s="62"/>
      <c r="N143" s="60" t="s">
        <v>943</v>
      </c>
      <c r="O143" s="61" t="s">
        <v>944</v>
      </c>
      <c r="P143" s="61" t="s">
        <v>945</v>
      </c>
      <c r="Q143" s="62"/>
      <c r="R143" s="60" t="s">
        <v>943</v>
      </c>
      <c r="S143" s="61" t="s">
        <v>944</v>
      </c>
      <c r="T143" s="61" t="s">
        <v>945</v>
      </c>
      <c r="U143" s="62"/>
      <c r="Z143" s="65" t="str">
        <f>'review 1 - annotator 2 - eval'!V143</f>
        <v/>
      </c>
      <c r="AA143" s="65" t="str">
        <f>'review 1 - annotator 2 - eval'!W143</f>
        <v/>
      </c>
      <c r="AB143" s="65" t="str">
        <f>'review 1 - annotator 2 - eval'!X143</f>
        <v/>
      </c>
    </row>
    <row r="144">
      <c r="A144" s="8" t="s">
        <v>946</v>
      </c>
      <c r="B144" s="63">
        <v>1.0</v>
      </c>
      <c r="C144" s="7">
        <v>1.0</v>
      </c>
      <c r="D144" s="7">
        <v>1.0</v>
      </c>
      <c r="E144" s="64"/>
      <c r="F144" s="63">
        <v>0.0</v>
      </c>
      <c r="G144" s="7">
        <v>0.0</v>
      </c>
      <c r="H144" s="7">
        <v>1.0</v>
      </c>
      <c r="I144" s="64"/>
      <c r="J144" s="63">
        <v>1.0</v>
      </c>
      <c r="K144" s="7">
        <v>1.0</v>
      </c>
      <c r="L144" s="7">
        <v>1.0</v>
      </c>
      <c r="M144" s="64"/>
      <c r="N144" s="63">
        <v>1.0</v>
      </c>
      <c r="O144" s="7">
        <v>1.0</v>
      </c>
      <c r="P144" s="7">
        <v>1.0</v>
      </c>
      <c r="Q144" s="64"/>
      <c r="R144" s="63">
        <v>1.0</v>
      </c>
      <c r="S144" s="7">
        <v>1.0</v>
      </c>
      <c r="T144" s="7">
        <v>1.0</v>
      </c>
      <c r="U144" s="64"/>
      <c r="V144" s="65">
        <f t="shared" ref="V144:X144" si="99">SUM(B144,F144,J144,N144,R144)</f>
        <v>4</v>
      </c>
      <c r="W144" s="65">
        <f t="shared" si="99"/>
        <v>4</v>
      </c>
      <c r="X144" s="65">
        <f t="shared" si="99"/>
        <v>5</v>
      </c>
      <c r="Z144" s="65">
        <f>'review 1 - annotator 2 - eval'!V144</f>
        <v>3</v>
      </c>
      <c r="AA144" s="65">
        <f>'review 1 - annotator 2 - eval'!W144</f>
        <v>5</v>
      </c>
      <c r="AB144" s="65">
        <f>'review 1 - annotator 2 - eval'!X144</f>
        <v>5</v>
      </c>
    </row>
    <row r="145">
      <c r="A145" s="8" t="s">
        <v>947</v>
      </c>
      <c r="B145" s="63">
        <v>1.0</v>
      </c>
      <c r="C145" s="7">
        <v>1.0</v>
      </c>
      <c r="D145" s="7">
        <v>1.0</v>
      </c>
      <c r="E145" s="64"/>
      <c r="F145" s="63">
        <v>1.0</v>
      </c>
      <c r="G145" s="7">
        <v>1.0</v>
      </c>
      <c r="H145" s="7">
        <v>1.0</v>
      </c>
      <c r="I145" s="64"/>
      <c r="J145" s="63">
        <v>1.0</v>
      </c>
      <c r="K145" s="7">
        <v>1.0</v>
      </c>
      <c r="L145" s="7">
        <v>1.0</v>
      </c>
      <c r="M145" s="64"/>
      <c r="N145" s="63">
        <v>1.0</v>
      </c>
      <c r="O145" s="7">
        <v>1.0</v>
      </c>
      <c r="P145" s="7">
        <v>1.0</v>
      </c>
      <c r="Q145" s="64"/>
      <c r="R145" s="63">
        <v>1.0</v>
      </c>
      <c r="S145" s="7">
        <v>1.0</v>
      </c>
      <c r="T145" s="7">
        <v>1.0</v>
      </c>
      <c r="U145" s="64"/>
      <c r="V145" s="65">
        <f t="shared" ref="V145:X145" si="100">SUM(B145,F145,J145,N145,R145)</f>
        <v>5</v>
      </c>
      <c r="W145" s="65">
        <f t="shared" si="100"/>
        <v>5</v>
      </c>
      <c r="X145" s="65">
        <f t="shared" si="100"/>
        <v>5</v>
      </c>
      <c r="Z145" s="65">
        <f>'review 1 - annotator 2 - eval'!V145</f>
        <v>5</v>
      </c>
      <c r="AA145" s="65">
        <f>'review 1 - annotator 2 - eval'!W145</f>
        <v>5</v>
      </c>
      <c r="AB145" s="65">
        <f>'review 1 - annotator 2 - eval'!X145</f>
        <v>5</v>
      </c>
    </row>
    <row r="146">
      <c r="A146" s="8" t="s">
        <v>948</v>
      </c>
      <c r="B146" s="63">
        <v>1.0</v>
      </c>
      <c r="C146" s="7">
        <v>1.0</v>
      </c>
      <c r="D146" s="7">
        <v>1.0</v>
      </c>
      <c r="E146" s="64"/>
      <c r="F146" s="63">
        <v>0.0</v>
      </c>
      <c r="G146" s="7">
        <v>0.0</v>
      </c>
      <c r="H146" s="7">
        <v>1.0</v>
      </c>
      <c r="I146" s="64"/>
      <c r="J146" s="63">
        <v>1.0</v>
      </c>
      <c r="K146" s="7">
        <v>1.0</v>
      </c>
      <c r="L146" s="7">
        <v>1.0</v>
      </c>
      <c r="M146" s="64"/>
      <c r="N146" s="63">
        <v>1.0</v>
      </c>
      <c r="O146" s="7">
        <v>1.0</v>
      </c>
      <c r="P146" s="7">
        <v>1.0</v>
      </c>
      <c r="Q146" s="64"/>
      <c r="R146" s="63">
        <v>0.0</v>
      </c>
      <c r="S146" s="7">
        <v>0.0</v>
      </c>
      <c r="T146" s="7">
        <v>0.0</v>
      </c>
      <c r="U146" s="64"/>
      <c r="V146" s="65">
        <f t="shared" ref="V146:X146" si="101">SUM(B146,F146,J146,N146,R146)</f>
        <v>3</v>
      </c>
      <c r="W146" s="65">
        <f t="shared" si="101"/>
        <v>3</v>
      </c>
      <c r="X146" s="65">
        <f t="shared" si="101"/>
        <v>4</v>
      </c>
      <c r="Z146" s="65">
        <f>'review 1 - annotator 2 - eval'!V146</f>
        <v>3</v>
      </c>
      <c r="AA146" s="65">
        <f>'review 1 - annotator 2 - eval'!W146</f>
        <v>4</v>
      </c>
      <c r="AB146" s="65">
        <f>'review 1 - annotator 2 - eval'!X146</f>
        <v>5</v>
      </c>
    </row>
    <row r="147">
      <c r="A147" s="8" t="s">
        <v>949</v>
      </c>
      <c r="B147" s="63">
        <v>1.0</v>
      </c>
      <c r="C147" s="7">
        <v>1.0</v>
      </c>
      <c r="D147" s="7">
        <v>1.0</v>
      </c>
      <c r="E147" s="64"/>
      <c r="F147" s="63">
        <v>1.0</v>
      </c>
      <c r="G147" s="7">
        <v>1.0</v>
      </c>
      <c r="H147" s="7">
        <v>1.0</v>
      </c>
      <c r="I147" s="64"/>
      <c r="J147" s="63">
        <v>1.0</v>
      </c>
      <c r="K147" s="7">
        <v>1.0</v>
      </c>
      <c r="L147" s="7">
        <v>1.0</v>
      </c>
      <c r="M147" s="64"/>
      <c r="N147" s="63">
        <v>1.0</v>
      </c>
      <c r="O147" s="7">
        <v>1.0</v>
      </c>
      <c r="P147" s="7">
        <v>1.0</v>
      </c>
      <c r="Q147" s="64"/>
      <c r="R147" s="63">
        <v>1.0</v>
      </c>
      <c r="S147" s="7">
        <v>1.0</v>
      </c>
      <c r="T147" s="7">
        <v>1.0</v>
      </c>
      <c r="U147" s="64"/>
      <c r="V147" s="65">
        <f t="shared" ref="V147:X147" si="102">SUM(B147,F147,J147,N147,R147)</f>
        <v>5</v>
      </c>
      <c r="W147" s="65">
        <f t="shared" si="102"/>
        <v>5</v>
      </c>
      <c r="X147" s="65">
        <f t="shared" si="102"/>
        <v>5</v>
      </c>
      <c r="Z147" s="65">
        <f>'review 1 - annotator 2 - eval'!V147</f>
        <v>5</v>
      </c>
      <c r="AA147" s="65">
        <f>'review 1 - annotator 2 - eval'!W147</f>
        <v>5</v>
      </c>
      <c r="AB147" s="65">
        <f>'review 1 - annotator 2 - eval'!X147</f>
        <v>5</v>
      </c>
    </row>
    <row r="148">
      <c r="A148" s="8" t="s">
        <v>950</v>
      </c>
      <c r="B148" s="63">
        <v>1.0</v>
      </c>
      <c r="C148" s="7">
        <v>1.0</v>
      </c>
      <c r="D148" s="7">
        <v>1.0</v>
      </c>
      <c r="E148" s="64"/>
      <c r="F148" s="63">
        <v>1.0</v>
      </c>
      <c r="G148" s="7">
        <v>1.0</v>
      </c>
      <c r="H148" s="7">
        <v>1.0</v>
      </c>
      <c r="I148" s="64"/>
      <c r="J148" s="63">
        <v>1.0</v>
      </c>
      <c r="K148" s="7">
        <v>1.0</v>
      </c>
      <c r="L148" s="7">
        <v>1.0</v>
      </c>
      <c r="M148" s="64"/>
      <c r="N148" s="63">
        <v>0.0</v>
      </c>
      <c r="O148" s="7">
        <v>1.0</v>
      </c>
      <c r="P148" s="7">
        <v>1.0</v>
      </c>
      <c r="Q148" s="64"/>
      <c r="R148" s="63">
        <v>1.0</v>
      </c>
      <c r="S148" s="7">
        <v>1.0</v>
      </c>
      <c r="T148" s="7">
        <v>1.0</v>
      </c>
      <c r="U148" s="64"/>
      <c r="V148" s="65">
        <f t="shared" ref="V148:X148" si="103">SUM(B148,F148,J148,N148,R148)</f>
        <v>4</v>
      </c>
      <c r="W148" s="65">
        <f t="shared" si="103"/>
        <v>5</v>
      </c>
      <c r="X148" s="65">
        <f t="shared" si="103"/>
        <v>5</v>
      </c>
      <c r="Z148" s="65">
        <f>'review 1 - annotator 2 - eval'!V148</f>
        <v>5</v>
      </c>
      <c r="AA148" s="65">
        <f>'review 1 - annotator 2 - eval'!W148</f>
        <v>5</v>
      </c>
      <c r="AB148" s="65">
        <f>'review 1 - annotator 2 - eval'!X148</f>
        <v>5</v>
      </c>
    </row>
    <row r="149">
      <c r="A149" s="8" t="s">
        <v>951</v>
      </c>
      <c r="B149" s="63">
        <v>1.0</v>
      </c>
      <c r="C149" s="7">
        <v>1.0</v>
      </c>
      <c r="D149" s="7">
        <v>1.0</v>
      </c>
      <c r="E149" s="64"/>
      <c r="F149" s="63">
        <v>1.0</v>
      </c>
      <c r="G149" s="7">
        <v>1.0</v>
      </c>
      <c r="H149" s="7">
        <v>1.0</v>
      </c>
      <c r="I149" s="64"/>
      <c r="J149" s="63">
        <v>1.0</v>
      </c>
      <c r="K149" s="7">
        <v>1.0</v>
      </c>
      <c r="L149" s="7">
        <v>1.0</v>
      </c>
      <c r="M149" s="64"/>
      <c r="N149" s="63">
        <v>1.0</v>
      </c>
      <c r="O149" s="7">
        <v>1.0</v>
      </c>
      <c r="P149" s="7">
        <v>1.0</v>
      </c>
      <c r="Q149" s="64"/>
      <c r="R149" s="63">
        <v>1.0</v>
      </c>
      <c r="S149" s="7">
        <v>1.0</v>
      </c>
      <c r="T149" s="7">
        <v>1.0</v>
      </c>
      <c r="U149" s="64"/>
      <c r="V149" s="65">
        <f t="shared" ref="V149:X149" si="104">SUM(B149,F149,J149,N149,R149)</f>
        <v>5</v>
      </c>
      <c r="W149" s="65">
        <f t="shared" si="104"/>
        <v>5</v>
      </c>
      <c r="X149" s="65">
        <f t="shared" si="104"/>
        <v>5</v>
      </c>
      <c r="Z149" s="65">
        <f>'review 1 - annotator 2 - eval'!V149</f>
        <v>5</v>
      </c>
      <c r="AA149" s="65">
        <f>'review 1 - annotator 2 - eval'!W149</f>
        <v>5</v>
      </c>
      <c r="AB149" s="65">
        <f>'review 1 - annotator 2 - eval'!X149</f>
        <v>5</v>
      </c>
    </row>
    <row r="150">
      <c r="A150" s="8" t="s">
        <v>952</v>
      </c>
      <c r="B150" s="66">
        <v>1.0</v>
      </c>
      <c r="C150" s="67">
        <v>1.0</v>
      </c>
      <c r="D150" s="67">
        <v>1.0</v>
      </c>
      <c r="E150" s="68"/>
      <c r="F150" s="66">
        <v>1.0</v>
      </c>
      <c r="G150" s="67">
        <v>1.0</v>
      </c>
      <c r="H150" s="67">
        <v>1.0</v>
      </c>
      <c r="I150" s="68"/>
      <c r="J150" s="66">
        <v>1.0</v>
      </c>
      <c r="K150" s="67">
        <v>1.0</v>
      </c>
      <c r="L150" s="67">
        <v>1.0</v>
      </c>
      <c r="M150" s="68"/>
      <c r="N150" s="66">
        <v>1.0</v>
      </c>
      <c r="O150" s="67">
        <v>1.0</v>
      </c>
      <c r="P150" s="67">
        <v>1.0</v>
      </c>
      <c r="Q150" s="68"/>
      <c r="R150" s="66">
        <v>1.0</v>
      </c>
      <c r="S150" s="67">
        <v>1.0</v>
      </c>
      <c r="T150" s="67">
        <v>1.0</v>
      </c>
      <c r="U150" s="68"/>
      <c r="V150" s="65">
        <f t="shared" ref="V150:X150" si="105">SUM(B150,F150,J150,N150,R150)</f>
        <v>5</v>
      </c>
      <c r="W150" s="65">
        <f t="shared" si="105"/>
        <v>5</v>
      </c>
      <c r="X150" s="65">
        <f t="shared" si="105"/>
        <v>5</v>
      </c>
      <c r="Z150" s="65">
        <f>'review 1 - annotator 2 - eval'!V150</f>
        <v>5</v>
      </c>
      <c r="AA150" s="65">
        <f>'review 1 - annotator 2 - eval'!W150</f>
        <v>5</v>
      </c>
      <c r="AB150" s="65">
        <f>'review 1 - annotator 2 - eval'!X150</f>
        <v>5</v>
      </c>
    </row>
    <row r="151">
      <c r="A151" s="26" t="s">
        <v>585</v>
      </c>
      <c r="B151" s="52" t="s">
        <v>935</v>
      </c>
      <c r="F151" s="53" t="s">
        <v>936</v>
      </c>
      <c r="J151" s="54" t="s">
        <v>937</v>
      </c>
      <c r="N151" s="55" t="s">
        <v>938</v>
      </c>
      <c r="R151" s="56" t="s">
        <v>939</v>
      </c>
      <c r="Z151" s="65" t="str">
        <f>'review 1 - annotator 2 - eval'!V151</f>
        <v/>
      </c>
      <c r="AA151" s="65" t="str">
        <f>'review 1 - annotator 2 - eval'!W151</f>
        <v/>
      </c>
      <c r="AB151" s="65" t="str">
        <f>'review 1 - annotator 2 - eval'!X151</f>
        <v/>
      </c>
    </row>
    <row r="152">
      <c r="B152" s="57" t="s">
        <v>36</v>
      </c>
      <c r="E152" s="58"/>
      <c r="F152" s="57" t="s">
        <v>965</v>
      </c>
      <c r="I152" s="58"/>
      <c r="J152" s="57" t="s">
        <v>38</v>
      </c>
      <c r="M152" s="58"/>
      <c r="N152" s="57" t="s">
        <v>39</v>
      </c>
      <c r="Q152" s="58"/>
      <c r="R152" s="57" t="s">
        <v>966</v>
      </c>
      <c r="U152" s="58"/>
      <c r="Z152" s="65" t="str">
        <f>'review 1 - annotator 2 - eval'!V152</f>
        <v/>
      </c>
      <c r="AA152" s="65" t="str">
        <f>'review 1 - annotator 2 - eval'!W152</f>
        <v/>
      </c>
      <c r="AB152" s="65" t="str">
        <f>'review 1 - annotator 2 - eval'!X152</f>
        <v/>
      </c>
    </row>
    <row r="153">
      <c r="B153" s="60" t="s">
        <v>943</v>
      </c>
      <c r="C153" s="61" t="s">
        <v>944</v>
      </c>
      <c r="D153" s="61" t="s">
        <v>945</v>
      </c>
      <c r="E153" s="62"/>
      <c r="F153" s="60" t="s">
        <v>943</v>
      </c>
      <c r="G153" s="61" t="s">
        <v>944</v>
      </c>
      <c r="H153" s="61" t="s">
        <v>945</v>
      </c>
      <c r="I153" s="62"/>
      <c r="J153" s="60" t="s">
        <v>943</v>
      </c>
      <c r="K153" s="61" t="s">
        <v>944</v>
      </c>
      <c r="L153" s="61" t="s">
        <v>945</v>
      </c>
      <c r="M153" s="62"/>
      <c r="N153" s="60" t="s">
        <v>943</v>
      </c>
      <c r="O153" s="61" t="s">
        <v>944</v>
      </c>
      <c r="P153" s="61" t="s">
        <v>945</v>
      </c>
      <c r="Q153" s="62"/>
      <c r="R153" s="60" t="s">
        <v>943</v>
      </c>
      <c r="S153" s="61" t="s">
        <v>944</v>
      </c>
      <c r="T153" s="61" t="s">
        <v>945</v>
      </c>
      <c r="U153" s="62"/>
      <c r="Z153" s="65" t="str">
        <f>'review 1 - annotator 2 - eval'!V153</f>
        <v/>
      </c>
      <c r="AA153" s="65" t="str">
        <f>'review 1 - annotator 2 - eval'!W153</f>
        <v/>
      </c>
      <c r="AB153" s="65" t="str">
        <f>'review 1 - annotator 2 - eval'!X153</f>
        <v/>
      </c>
    </row>
    <row r="154">
      <c r="A154" s="8" t="s">
        <v>946</v>
      </c>
      <c r="B154" s="70">
        <v>0.0</v>
      </c>
      <c r="C154" s="71">
        <v>0.0</v>
      </c>
      <c r="D154" s="7">
        <v>1.0</v>
      </c>
      <c r="E154" s="64"/>
      <c r="F154" s="63">
        <v>1.0</v>
      </c>
      <c r="G154" s="7">
        <v>0.0</v>
      </c>
      <c r="H154" s="7">
        <v>1.0</v>
      </c>
      <c r="I154" s="64"/>
      <c r="J154" s="63">
        <v>1.0</v>
      </c>
      <c r="K154" s="7">
        <v>1.0</v>
      </c>
      <c r="L154" s="7">
        <v>1.0</v>
      </c>
      <c r="M154" s="64"/>
      <c r="N154" s="63">
        <v>1.0</v>
      </c>
      <c r="O154" s="7">
        <v>1.0</v>
      </c>
      <c r="P154" s="7">
        <v>1.0</v>
      </c>
      <c r="Q154" s="64"/>
      <c r="R154" s="63">
        <v>1.0</v>
      </c>
      <c r="S154" s="7">
        <v>1.0</v>
      </c>
      <c r="T154" s="7">
        <v>1.0</v>
      </c>
      <c r="U154" s="64"/>
      <c r="V154" s="65">
        <f t="shared" ref="V154:X154" si="106">SUM(B154,F154,J154,N154,R154)</f>
        <v>4</v>
      </c>
      <c r="W154" s="65">
        <f t="shared" si="106"/>
        <v>3</v>
      </c>
      <c r="X154" s="65">
        <f t="shared" si="106"/>
        <v>5</v>
      </c>
      <c r="Z154" s="65">
        <f>'review 1 - annotator 2 - eval'!V154</f>
        <v>4</v>
      </c>
      <c r="AA154" s="65">
        <f>'review 1 - annotator 2 - eval'!W154</f>
        <v>4</v>
      </c>
      <c r="AB154" s="65">
        <f>'review 1 - annotator 2 - eval'!X154</f>
        <v>5</v>
      </c>
    </row>
    <row r="155">
      <c r="A155" s="8" t="s">
        <v>947</v>
      </c>
      <c r="B155" s="70">
        <v>1.0</v>
      </c>
      <c r="C155" s="71">
        <v>1.0</v>
      </c>
      <c r="D155" s="7">
        <v>1.0</v>
      </c>
      <c r="E155" s="64"/>
      <c r="F155" s="63">
        <v>1.0</v>
      </c>
      <c r="G155" s="7">
        <v>1.0</v>
      </c>
      <c r="H155" s="7">
        <v>1.0</v>
      </c>
      <c r="I155" s="64"/>
      <c r="J155" s="63">
        <v>1.0</v>
      </c>
      <c r="K155" s="7">
        <v>1.0</v>
      </c>
      <c r="L155" s="7">
        <v>1.0</v>
      </c>
      <c r="M155" s="64"/>
      <c r="N155" s="63">
        <v>1.0</v>
      </c>
      <c r="O155" s="7">
        <v>1.0</v>
      </c>
      <c r="P155" s="7">
        <v>1.0</v>
      </c>
      <c r="Q155" s="64"/>
      <c r="R155" s="63">
        <v>1.0</v>
      </c>
      <c r="S155" s="7">
        <v>1.0</v>
      </c>
      <c r="T155" s="7">
        <v>1.0</v>
      </c>
      <c r="U155" s="64"/>
      <c r="V155" s="65">
        <f t="shared" ref="V155:X155" si="107">SUM(B155,F155,J155,N155,R155)</f>
        <v>5</v>
      </c>
      <c r="W155" s="65">
        <f t="shared" si="107"/>
        <v>5</v>
      </c>
      <c r="X155" s="65">
        <f t="shared" si="107"/>
        <v>5</v>
      </c>
      <c r="Z155" s="65">
        <f>'review 1 - annotator 2 - eval'!V155</f>
        <v>5</v>
      </c>
      <c r="AA155" s="65">
        <f>'review 1 - annotator 2 - eval'!W155</f>
        <v>5</v>
      </c>
      <c r="AB155" s="65">
        <f>'review 1 - annotator 2 - eval'!X155</f>
        <v>5</v>
      </c>
    </row>
    <row r="156">
      <c r="A156" s="8" t="s">
        <v>948</v>
      </c>
      <c r="B156" s="70">
        <v>0.0</v>
      </c>
      <c r="C156" s="71">
        <v>0.0</v>
      </c>
      <c r="D156" s="7">
        <v>1.0</v>
      </c>
      <c r="E156" s="64"/>
      <c r="F156" s="63">
        <v>1.0</v>
      </c>
      <c r="G156" s="7">
        <v>0.0</v>
      </c>
      <c r="H156" s="7">
        <v>1.0</v>
      </c>
      <c r="I156" s="64"/>
      <c r="J156" s="63">
        <v>1.0</v>
      </c>
      <c r="K156" s="7">
        <v>1.0</v>
      </c>
      <c r="L156" s="7">
        <v>1.0</v>
      </c>
      <c r="M156" s="64"/>
      <c r="N156" s="63">
        <v>1.0</v>
      </c>
      <c r="O156" s="7">
        <v>1.0</v>
      </c>
      <c r="P156" s="7">
        <v>1.0</v>
      </c>
      <c r="Q156" s="64"/>
      <c r="R156" s="63">
        <v>1.0</v>
      </c>
      <c r="S156" s="7">
        <v>1.0</v>
      </c>
      <c r="T156" s="7">
        <v>1.0</v>
      </c>
      <c r="U156" s="64"/>
      <c r="V156" s="65">
        <f t="shared" ref="V156:X156" si="108">SUM(B156,F156,J156,N156,R156)</f>
        <v>4</v>
      </c>
      <c r="W156" s="65">
        <f t="shared" si="108"/>
        <v>3</v>
      </c>
      <c r="X156" s="65">
        <f t="shared" si="108"/>
        <v>5</v>
      </c>
      <c r="Z156" s="65">
        <f>'review 1 - annotator 2 - eval'!V156</f>
        <v>4</v>
      </c>
      <c r="AA156" s="65">
        <f>'review 1 - annotator 2 - eval'!W156</f>
        <v>4</v>
      </c>
      <c r="AB156" s="65">
        <f>'review 1 - annotator 2 - eval'!X156</f>
        <v>5</v>
      </c>
    </row>
    <row r="157">
      <c r="A157" s="8" t="s">
        <v>949</v>
      </c>
      <c r="B157" s="70">
        <v>1.0</v>
      </c>
      <c r="C157" s="71">
        <v>1.0</v>
      </c>
      <c r="D157" s="7">
        <v>1.0</v>
      </c>
      <c r="E157" s="64"/>
      <c r="F157" s="63">
        <v>1.0</v>
      </c>
      <c r="G157" s="7">
        <v>1.0</v>
      </c>
      <c r="H157" s="7">
        <v>1.0</v>
      </c>
      <c r="I157" s="64"/>
      <c r="J157" s="63">
        <v>1.0</v>
      </c>
      <c r="K157" s="7">
        <v>1.0</v>
      </c>
      <c r="L157" s="7">
        <v>1.0</v>
      </c>
      <c r="M157" s="64"/>
      <c r="N157" s="63">
        <v>1.0</v>
      </c>
      <c r="O157" s="7">
        <v>1.0</v>
      </c>
      <c r="P157" s="7">
        <v>1.0</v>
      </c>
      <c r="Q157" s="64"/>
      <c r="R157" s="63">
        <v>1.0</v>
      </c>
      <c r="S157" s="7">
        <v>1.0</v>
      </c>
      <c r="T157" s="7">
        <v>1.0</v>
      </c>
      <c r="U157" s="64"/>
      <c r="V157" s="65">
        <f t="shared" ref="V157:X157" si="109">SUM(B157,F157,J157,N157,R157)</f>
        <v>5</v>
      </c>
      <c r="W157" s="65">
        <f t="shared" si="109"/>
        <v>5</v>
      </c>
      <c r="X157" s="65">
        <f t="shared" si="109"/>
        <v>5</v>
      </c>
      <c r="Z157" s="65">
        <f>'review 1 - annotator 2 - eval'!V157</f>
        <v>5</v>
      </c>
      <c r="AA157" s="65">
        <f>'review 1 - annotator 2 - eval'!W157</f>
        <v>5</v>
      </c>
      <c r="AB157" s="65">
        <f>'review 1 - annotator 2 - eval'!X157</f>
        <v>5</v>
      </c>
    </row>
    <row r="158">
      <c r="A158" s="8" t="s">
        <v>950</v>
      </c>
      <c r="B158" s="70">
        <v>1.0</v>
      </c>
      <c r="C158" s="71">
        <v>1.0</v>
      </c>
      <c r="D158" s="7">
        <v>1.0</v>
      </c>
      <c r="E158" s="64"/>
      <c r="F158" s="63">
        <v>1.0</v>
      </c>
      <c r="G158" s="7">
        <v>1.0</v>
      </c>
      <c r="H158" s="7">
        <v>1.0</v>
      </c>
      <c r="I158" s="64"/>
      <c r="J158" s="63">
        <v>1.0</v>
      </c>
      <c r="K158" s="7">
        <v>1.0</v>
      </c>
      <c r="L158" s="7">
        <v>1.0</v>
      </c>
      <c r="M158" s="64"/>
      <c r="N158" s="63">
        <v>1.0</v>
      </c>
      <c r="O158" s="7">
        <v>1.0</v>
      </c>
      <c r="P158" s="7">
        <v>1.0</v>
      </c>
      <c r="Q158" s="64"/>
      <c r="R158" s="63">
        <v>1.0</v>
      </c>
      <c r="S158" s="7">
        <v>1.0</v>
      </c>
      <c r="T158" s="7">
        <v>1.0</v>
      </c>
      <c r="U158" s="64"/>
      <c r="V158" s="65">
        <f t="shared" ref="V158:X158" si="110">SUM(B158,F158,J158,N158,R158)</f>
        <v>5</v>
      </c>
      <c r="W158" s="65">
        <f t="shared" si="110"/>
        <v>5</v>
      </c>
      <c r="X158" s="65">
        <f t="shared" si="110"/>
        <v>5</v>
      </c>
      <c r="Z158" s="65">
        <f>'review 1 - annotator 2 - eval'!V158</f>
        <v>5</v>
      </c>
      <c r="AA158" s="65">
        <f>'review 1 - annotator 2 - eval'!W158</f>
        <v>5</v>
      </c>
      <c r="AB158" s="65">
        <f>'review 1 - annotator 2 - eval'!X158</f>
        <v>5</v>
      </c>
    </row>
    <row r="159">
      <c r="A159" s="8" t="s">
        <v>951</v>
      </c>
      <c r="B159" s="70">
        <v>1.0</v>
      </c>
      <c r="C159" s="71">
        <v>1.0</v>
      </c>
      <c r="D159" s="7">
        <v>1.0</v>
      </c>
      <c r="E159" s="64"/>
      <c r="F159" s="63">
        <v>1.0</v>
      </c>
      <c r="G159" s="7">
        <v>1.0</v>
      </c>
      <c r="H159" s="7">
        <v>1.0</v>
      </c>
      <c r="I159" s="64"/>
      <c r="J159" s="63">
        <v>1.0</v>
      </c>
      <c r="K159" s="7">
        <v>1.0</v>
      </c>
      <c r="L159" s="7">
        <v>1.0</v>
      </c>
      <c r="M159" s="64"/>
      <c r="N159" s="63">
        <v>1.0</v>
      </c>
      <c r="O159" s="7">
        <v>1.0</v>
      </c>
      <c r="P159" s="7">
        <v>1.0</v>
      </c>
      <c r="Q159" s="64"/>
      <c r="R159" s="63">
        <v>1.0</v>
      </c>
      <c r="S159" s="7">
        <v>1.0</v>
      </c>
      <c r="T159" s="7">
        <v>1.0</v>
      </c>
      <c r="U159" s="64"/>
      <c r="V159" s="65">
        <f t="shared" ref="V159:X159" si="111">SUM(B159,F159,J159,N159,R159)</f>
        <v>5</v>
      </c>
      <c r="W159" s="65">
        <f t="shared" si="111"/>
        <v>5</v>
      </c>
      <c r="X159" s="65">
        <f t="shared" si="111"/>
        <v>5</v>
      </c>
      <c r="Z159" s="65">
        <f>'review 1 - annotator 2 - eval'!V159</f>
        <v>5</v>
      </c>
      <c r="AA159" s="65">
        <f>'review 1 - annotator 2 - eval'!W159</f>
        <v>5</v>
      </c>
      <c r="AB159" s="65">
        <f>'review 1 - annotator 2 - eval'!X159</f>
        <v>5</v>
      </c>
    </row>
    <row r="160">
      <c r="A160" s="8" t="s">
        <v>952</v>
      </c>
      <c r="B160" s="72">
        <v>1.0</v>
      </c>
      <c r="C160" s="73">
        <v>1.0</v>
      </c>
      <c r="D160" s="67">
        <v>1.0</v>
      </c>
      <c r="E160" s="68"/>
      <c r="F160" s="66">
        <v>1.0</v>
      </c>
      <c r="G160" s="67">
        <v>1.0</v>
      </c>
      <c r="H160" s="67">
        <v>1.0</v>
      </c>
      <c r="I160" s="68"/>
      <c r="J160" s="66">
        <v>1.0</v>
      </c>
      <c r="K160" s="67">
        <v>1.0</v>
      </c>
      <c r="L160" s="67">
        <v>1.0</v>
      </c>
      <c r="M160" s="68"/>
      <c r="N160" s="66">
        <v>1.0</v>
      </c>
      <c r="O160" s="67">
        <v>1.0</v>
      </c>
      <c r="P160" s="67">
        <v>1.0</v>
      </c>
      <c r="Q160" s="68"/>
      <c r="R160" s="66">
        <v>1.0</v>
      </c>
      <c r="S160" s="67">
        <v>1.0</v>
      </c>
      <c r="T160" s="67">
        <v>1.0</v>
      </c>
      <c r="U160" s="68"/>
      <c r="V160" s="65">
        <f t="shared" ref="V160:X160" si="112">SUM(B160,F160,J160,N160,R160)</f>
        <v>5</v>
      </c>
      <c r="W160" s="65">
        <f t="shared" si="112"/>
        <v>5</v>
      </c>
      <c r="X160" s="65">
        <f t="shared" si="112"/>
        <v>5</v>
      </c>
      <c r="Z160" s="65">
        <f>'review 1 - annotator 2 - eval'!V160</f>
        <v>5</v>
      </c>
      <c r="AA160" s="65">
        <f>'review 1 - annotator 2 - eval'!W160</f>
        <v>5</v>
      </c>
      <c r="AB160" s="65">
        <f>'review 1 - annotator 2 - eval'!X160</f>
        <v>5</v>
      </c>
    </row>
    <row r="161">
      <c r="A161" s="26" t="s">
        <v>594</v>
      </c>
      <c r="B161" s="52" t="s">
        <v>935</v>
      </c>
      <c r="F161" s="53" t="s">
        <v>936</v>
      </c>
      <c r="J161" s="54" t="s">
        <v>937</v>
      </c>
      <c r="N161" s="55" t="s">
        <v>938</v>
      </c>
      <c r="R161" s="56" t="s">
        <v>939</v>
      </c>
      <c r="Z161" s="65" t="str">
        <f>'review 1 - annotator 2 - eval'!V161</f>
        <v/>
      </c>
      <c r="AA161" s="65" t="str">
        <f>'review 1 - annotator 2 - eval'!W161</f>
        <v/>
      </c>
      <c r="AB161" s="65" t="str">
        <f>'review 1 - annotator 2 - eval'!X161</f>
        <v/>
      </c>
    </row>
    <row r="162">
      <c r="B162" s="57" t="s">
        <v>138</v>
      </c>
      <c r="E162" s="58"/>
      <c r="F162" s="57" t="s">
        <v>275</v>
      </c>
      <c r="I162" s="58"/>
      <c r="J162" s="57" t="s">
        <v>276</v>
      </c>
      <c r="M162" s="58"/>
      <c r="N162" s="57" t="s">
        <v>967</v>
      </c>
      <c r="Q162" s="58"/>
      <c r="R162" s="57" t="s">
        <v>968</v>
      </c>
      <c r="U162" s="58"/>
      <c r="Z162" s="65" t="str">
        <f>'review 1 - annotator 2 - eval'!V162</f>
        <v/>
      </c>
      <c r="AA162" s="65" t="str">
        <f>'review 1 - annotator 2 - eval'!W162</f>
        <v/>
      </c>
      <c r="AB162" s="65" t="str">
        <f>'review 1 - annotator 2 - eval'!X162</f>
        <v/>
      </c>
    </row>
    <row r="163">
      <c r="B163" s="60" t="s">
        <v>943</v>
      </c>
      <c r="C163" s="61" t="s">
        <v>944</v>
      </c>
      <c r="D163" s="61" t="s">
        <v>945</v>
      </c>
      <c r="E163" s="62"/>
      <c r="F163" s="60" t="s">
        <v>943</v>
      </c>
      <c r="G163" s="61" t="s">
        <v>944</v>
      </c>
      <c r="H163" s="61" t="s">
        <v>945</v>
      </c>
      <c r="I163" s="62"/>
      <c r="J163" s="60" t="s">
        <v>943</v>
      </c>
      <c r="K163" s="61" t="s">
        <v>944</v>
      </c>
      <c r="L163" s="61" t="s">
        <v>945</v>
      </c>
      <c r="M163" s="62"/>
      <c r="N163" s="60" t="s">
        <v>943</v>
      </c>
      <c r="O163" s="61" t="s">
        <v>944</v>
      </c>
      <c r="P163" s="61" t="s">
        <v>945</v>
      </c>
      <c r="Q163" s="62"/>
      <c r="R163" s="60" t="s">
        <v>943</v>
      </c>
      <c r="S163" s="61" t="s">
        <v>944</v>
      </c>
      <c r="T163" s="61" t="s">
        <v>945</v>
      </c>
      <c r="U163" s="62"/>
      <c r="Z163" s="65" t="str">
        <f>'review 1 - annotator 2 - eval'!V163</f>
        <v/>
      </c>
      <c r="AA163" s="65" t="str">
        <f>'review 1 - annotator 2 - eval'!W163</f>
        <v/>
      </c>
      <c r="AB163" s="65" t="str">
        <f>'review 1 - annotator 2 - eval'!X163</f>
        <v/>
      </c>
    </row>
    <row r="164">
      <c r="A164" s="8" t="s">
        <v>946</v>
      </c>
      <c r="B164" s="63">
        <v>1.0</v>
      </c>
      <c r="C164" s="7">
        <v>1.0</v>
      </c>
      <c r="D164" s="7">
        <v>1.0</v>
      </c>
      <c r="E164" s="64"/>
      <c r="F164" s="63">
        <v>1.0</v>
      </c>
      <c r="G164" s="7">
        <v>1.0</v>
      </c>
      <c r="H164" s="7">
        <v>1.0</v>
      </c>
      <c r="I164" s="64"/>
      <c r="J164" s="63">
        <v>1.0</v>
      </c>
      <c r="K164" s="7">
        <v>1.0</v>
      </c>
      <c r="L164" s="7">
        <v>1.0</v>
      </c>
      <c r="M164" s="64"/>
      <c r="N164" s="63">
        <v>0.0</v>
      </c>
      <c r="O164" s="7">
        <v>0.0</v>
      </c>
      <c r="P164" s="7">
        <v>1.0</v>
      </c>
      <c r="Q164" s="64"/>
      <c r="R164" s="63">
        <v>0.0</v>
      </c>
      <c r="S164" s="7">
        <v>0.0</v>
      </c>
      <c r="T164" s="7">
        <v>1.0</v>
      </c>
      <c r="U164" s="64"/>
      <c r="V164" s="65">
        <f t="shared" ref="V164:X164" si="113">SUM(B164,F164,J164,N164,R164)</f>
        <v>3</v>
      </c>
      <c r="W164" s="65">
        <f t="shared" si="113"/>
        <v>3</v>
      </c>
      <c r="X164" s="65">
        <f t="shared" si="113"/>
        <v>5</v>
      </c>
      <c r="Z164" s="65">
        <f>'review 1 - annotator 2 - eval'!V164</f>
        <v>4</v>
      </c>
      <c r="AA164" s="65">
        <f>'review 1 - annotator 2 - eval'!W164</f>
        <v>2</v>
      </c>
      <c r="AB164" s="65">
        <f>'review 1 - annotator 2 - eval'!X164</f>
        <v>4</v>
      </c>
    </row>
    <row r="165">
      <c r="A165" s="8" t="s">
        <v>947</v>
      </c>
      <c r="B165" s="63">
        <v>1.0</v>
      </c>
      <c r="C165" s="7">
        <v>1.0</v>
      </c>
      <c r="D165" s="7">
        <v>1.0</v>
      </c>
      <c r="E165" s="64"/>
      <c r="F165" s="63">
        <v>1.0</v>
      </c>
      <c r="G165" s="7">
        <v>1.0</v>
      </c>
      <c r="H165" s="7">
        <v>1.0</v>
      </c>
      <c r="I165" s="64"/>
      <c r="J165" s="63">
        <v>1.0</v>
      </c>
      <c r="K165" s="7">
        <v>1.0</v>
      </c>
      <c r="L165" s="7">
        <v>1.0</v>
      </c>
      <c r="M165" s="64"/>
      <c r="N165" s="63">
        <v>0.0</v>
      </c>
      <c r="O165" s="7">
        <v>1.0</v>
      </c>
      <c r="P165" s="7">
        <v>1.0</v>
      </c>
      <c r="Q165" s="64"/>
      <c r="R165" s="63">
        <v>1.0</v>
      </c>
      <c r="S165" s="7">
        <v>1.0</v>
      </c>
      <c r="T165" s="7">
        <v>1.0</v>
      </c>
      <c r="U165" s="64"/>
      <c r="V165" s="65">
        <f t="shared" ref="V165:X165" si="114">SUM(B165,F165,J165,N165,R165)</f>
        <v>4</v>
      </c>
      <c r="W165" s="65">
        <f t="shared" si="114"/>
        <v>5</v>
      </c>
      <c r="X165" s="65">
        <f t="shared" si="114"/>
        <v>5</v>
      </c>
      <c r="Z165" s="65">
        <f>'review 1 - annotator 2 - eval'!V165</f>
        <v>5</v>
      </c>
      <c r="AA165" s="65">
        <f>'review 1 - annotator 2 - eval'!W165</f>
        <v>5</v>
      </c>
      <c r="AB165" s="65">
        <f>'review 1 - annotator 2 - eval'!X165</f>
        <v>5</v>
      </c>
    </row>
    <row r="166">
      <c r="A166" s="8" t="s">
        <v>948</v>
      </c>
      <c r="B166" s="63">
        <v>1.0</v>
      </c>
      <c r="C166" s="7">
        <v>1.0</v>
      </c>
      <c r="D166" s="7">
        <v>1.0</v>
      </c>
      <c r="E166" s="64"/>
      <c r="F166" s="63">
        <v>1.0</v>
      </c>
      <c r="G166" s="7">
        <v>0.0</v>
      </c>
      <c r="H166" s="7">
        <v>1.0</v>
      </c>
      <c r="I166" s="64"/>
      <c r="J166" s="63">
        <v>1.0</v>
      </c>
      <c r="K166" s="7">
        <v>1.0</v>
      </c>
      <c r="L166" s="7">
        <v>1.0</v>
      </c>
      <c r="M166" s="64"/>
      <c r="N166" s="63">
        <v>0.0</v>
      </c>
      <c r="O166" s="7">
        <v>0.0</v>
      </c>
      <c r="P166" s="7">
        <v>0.0</v>
      </c>
      <c r="Q166" s="64"/>
      <c r="R166" s="63">
        <v>0.0</v>
      </c>
      <c r="S166" s="7">
        <v>0.0</v>
      </c>
      <c r="T166" s="7">
        <v>1.0</v>
      </c>
      <c r="U166" s="64"/>
      <c r="V166" s="65">
        <f t="shared" ref="V166:X166" si="115">SUM(B166,F166,J166,N166,R166)</f>
        <v>3</v>
      </c>
      <c r="W166" s="65">
        <f t="shared" si="115"/>
        <v>2</v>
      </c>
      <c r="X166" s="65">
        <f t="shared" si="115"/>
        <v>4</v>
      </c>
      <c r="Z166" s="65">
        <f>'review 1 - annotator 2 - eval'!V166</f>
        <v>3</v>
      </c>
      <c r="AA166" s="65">
        <f>'review 1 - annotator 2 - eval'!W166</f>
        <v>2</v>
      </c>
      <c r="AB166" s="65">
        <f>'review 1 - annotator 2 - eval'!X166</f>
        <v>4</v>
      </c>
    </row>
    <row r="167">
      <c r="A167" s="8" t="s">
        <v>949</v>
      </c>
      <c r="B167" s="63">
        <v>1.0</v>
      </c>
      <c r="C167" s="7">
        <v>1.0</v>
      </c>
      <c r="D167" s="7">
        <v>1.0</v>
      </c>
      <c r="E167" s="64"/>
      <c r="F167" s="63">
        <v>1.0</v>
      </c>
      <c r="G167" s="7">
        <v>1.0</v>
      </c>
      <c r="H167" s="7">
        <v>1.0</v>
      </c>
      <c r="I167" s="64"/>
      <c r="J167" s="63">
        <v>1.0</v>
      </c>
      <c r="K167" s="7">
        <v>1.0</v>
      </c>
      <c r="L167" s="7">
        <v>1.0</v>
      </c>
      <c r="M167" s="64"/>
      <c r="N167" s="63">
        <v>0.0</v>
      </c>
      <c r="O167" s="7">
        <v>1.0</v>
      </c>
      <c r="P167" s="7">
        <v>1.0</v>
      </c>
      <c r="Q167" s="64"/>
      <c r="R167" s="63">
        <v>1.0</v>
      </c>
      <c r="S167" s="7">
        <v>1.0</v>
      </c>
      <c r="T167" s="7">
        <v>1.0</v>
      </c>
      <c r="U167" s="64"/>
      <c r="V167" s="65">
        <f t="shared" ref="V167:X167" si="116">SUM(B167,F167,J167,N167,R167)</f>
        <v>4</v>
      </c>
      <c r="W167" s="65">
        <f t="shared" si="116"/>
        <v>5</v>
      </c>
      <c r="X167" s="65">
        <f t="shared" si="116"/>
        <v>5</v>
      </c>
      <c r="Z167" s="65">
        <f>'review 1 - annotator 2 - eval'!V167</f>
        <v>5</v>
      </c>
      <c r="AA167" s="65">
        <f>'review 1 - annotator 2 - eval'!W167</f>
        <v>5</v>
      </c>
      <c r="AB167" s="65">
        <f>'review 1 - annotator 2 - eval'!X167</f>
        <v>5</v>
      </c>
    </row>
    <row r="168">
      <c r="A168" s="8" t="s">
        <v>950</v>
      </c>
      <c r="B168" s="63">
        <v>1.0</v>
      </c>
      <c r="C168" s="7">
        <v>1.0</v>
      </c>
      <c r="D168" s="7">
        <v>1.0</v>
      </c>
      <c r="E168" s="64"/>
      <c r="F168" s="63">
        <v>1.0</v>
      </c>
      <c r="G168" s="7">
        <v>1.0</v>
      </c>
      <c r="H168" s="7">
        <v>1.0</v>
      </c>
      <c r="I168" s="64"/>
      <c r="J168" s="63">
        <v>1.0</v>
      </c>
      <c r="K168" s="7">
        <v>1.0</v>
      </c>
      <c r="L168" s="7">
        <v>1.0</v>
      </c>
      <c r="M168" s="64"/>
      <c r="N168" s="63">
        <v>0.0</v>
      </c>
      <c r="O168" s="7">
        <v>1.0</v>
      </c>
      <c r="P168" s="7">
        <v>1.0</v>
      </c>
      <c r="Q168" s="64"/>
      <c r="R168" s="63">
        <v>0.0</v>
      </c>
      <c r="S168" s="7">
        <v>1.0</v>
      </c>
      <c r="T168" s="7">
        <v>1.0</v>
      </c>
      <c r="U168" s="64"/>
      <c r="V168" s="65">
        <f t="shared" ref="V168:X168" si="117">SUM(B168,F168,J168,N168,R168)</f>
        <v>3</v>
      </c>
      <c r="W168" s="65">
        <f t="shared" si="117"/>
        <v>5</v>
      </c>
      <c r="X168" s="65">
        <f t="shared" si="117"/>
        <v>5</v>
      </c>
      <c r="Z168" s="65">
        <f>'review 1 - annotator 2 - eval'!V168</f>
        <v>5</v>
      </c>
      <c r="AA168" s="65">
        <f>'review 1 - annotator 2 - eval'!W168</f>
        <v>5</v>
      </c>
      <c r="AB168" s="65">
        <f>'review 1 - annotator 2 - eval'!X168</f>
        <v>5</v>
      </c>
    </row>
    <row r="169">
      <c r="A169" s="8" t="s">
        <v>951</v>
      </c>
      <c r="B169" s="63">
        <v>1.0</v>
      </c>
      <c r="C169" s="7">
        <v>1.0</v>
      </c>
      <c r="D169" s="7">
        <v>1.0</v>
      </c>
      <c r="E169" s="64"/>
      <c r="F169" s="63">
        <v>1.0</v>
      </c>
      <c r="G169" s="7">
        <v>1.0</v>
      </c>
      <c r="H169" s="7">
        <v>1.0</v>
      </c>
      <c r="I169" s="64"/>
      <c r="J169" s="63">
        <v>1.0</v>
      </c>
      <c r="K169" s="7">
        <v>1.0</v>
      </c>
      <c r="L169" s="7">
        <v>1.0</v>
      </c>
      <c r="M169" s="64"/>
      <c r="N169" s="63">
        <v>0.0</v>
      </c>
      <c r="O169" s="7">
        <v>1.0</v>
      </c>
      <c r="P169" s="7">
        <v>1.0</v>
      </c>
      <c r="Q169" s="64"/>
      <c r="R169" s="63">
        <v>1.0</v>
      </c>
      <c r="S169" s="7">
        <v>1.0</v>
      </c>
      <c r="T169" s="7">
        <v>1.0</v>
      </c>
      <c r="U169" s="64"/>
      <c r="V169" s="65">
        <f t="shared" ref="V169:X169" si="118">SUM(B169,F169,J169,N169,R169)</f>
        <v>4</v>
      </c>
      <c r="W169" s="65">
        <f t="shared" si="118"/>
        <v>5</v>
      </c>
      <c r="X169" s="65">
        <f t="shared" si="118"/>
        <v>5</v>
      </c>
      <c r="Z169" s="65">
        <f>'review 1 - annotator 2 - eval'!V169</f>
        <v>5</v>
      </c>
      <c r="AA169" s="65">
        <f>'review 1 - annotator 2 - eval'!W169</f>
        <v>5</v>
      </c>
      <c r="AB169" s="65">
        <f>'review 1 - annotator 2 - eval'!X169</f>
        <v>5</v>
      </c>
    </row>
    <row r="170">
      <c r="A170" s="8" t="s">
        <v>952</v>
      </c>
      <c r="B170" s="66">
        <v>1.0</v>
      </c>
      <c r="C170" s="67">
        <v>1.0</v>
      </c>
      <c r="D170" s="67">
        <v>1.0</v>
      </c>
      <c r="E170" s="68"/>
      <c r="F170" s="66">
        <v>1.0</v>
      </c>
      <c r="G170" s="67">
        <v>1.0</v>
      </c>
      <c r="H170" s="67">
        <v>1.0</v>
      </c>
      <c r="I170" s="68"/>
      <c r="J170" s="66">
        <v>1.0</v>
      </c>
      <c r="K170" s="67">
        <v>1.0</v>
      </c>
      <c r="L170" s="67">
        <v>1.0</v>
      </c>
      <c r="M170" s="68"/>
      <c r="N170" s="66">
        <v>0.0</v>
      </c>
      <c r="O170" s="67">
        <v>1.0</v>
      </c>
      <c r="P170" s="67">
        <v>1.0</v>
      </c>
      <c r="Q170" s="68"/>
      <c r="R170" s="66">
        <v>1.0</v>
      </c>
      <c r="S170" s="67">
        <v>1.0</v>
      </c>
      <c r="T170" s="67">
        <v>1.0</v>
      </c>
      <c r="U170" s="68"/>
      <c r="V170" s="65">
        <f t="shared" ref="V170:X170" si="119">SUM(B170,F170,J170,N170,R170)</f>
        <v>4</v>
      </c>
      <c r="W170" s="65">
        <f t="shared" si="119"/>
        <v>5</v>
      </c>
      <c r="X170" s="65">
        <f t="shared" si="119"/>
        <v>5</v>
      </c>
      <c r="Z170" s="65">
        <f>'review 1 - annotator 2 - eval'!V170</f>
        <v>5</v>
      </c>
      <c r="AA170" s="65">
        <f>'review 1 - annotator 2 - eval'!W170</f>
        <v>5</v>
      </c>
      <c r="AB170" s="65">
        <f>'review 1 - annotator 2 - eval'!X170</f>
        <v>5</v>
      </c>
    </row>
    <row r="171">
      <c r="A171" s="26" t="s">
        <v>603</v>
      </c>
      <c r="B171" s="52" t="s">
        <v>935</v>
      </c>
      <c r="F171" s="53" t="s">
        <v>936</v>
      </c>
      <c r="J171" s="54" t="s">
        <v>937</v>
      </c>
      <c r="N171" s="55" t="s">
        <v>938</v>
      </c>
      <c r="R171" s="56" t="s">
        <v>939</v>
      </c>
      <c r="Z171" s="65" t="str">
        <f>'review 1 - annotator 2 - eval'!V171</f>
        <v/>
      </c>
      <c r="AA171" s="65" t="str">
        <f>'review 1 - annotator 2 - eval'!W171</f>
        <v/>
      </c>
      <c r="AB171" s="65" t="str">
        <f>'review 1 - annotator 2 - eval'!X171</f>
        <v/>
      </c>
    </row>
    <row r="172">
      <c r="B172" s="57" t="s">
        <v>195</v>
      </c>
      <c r="E172" s="58"/>
      <c r="F172" s="57" t="s">
        <v>969</v>
      </c>
      <c r="I172" s="58"/>
      <c r="J172" s="57" t="s">
        <v>18</v>
      </c>
      <c r="M172" s="58"/>
      <c r="N172" s="57" t="s">
        <v>329</v>
      </c>
      <c r="Q172" s="58"/>
      <c r="R172" s="57" t="s">
        <v>970</v>
      </c>
      <c r="U172" s="58"/>
      <c r="Z172" s="65" t="str">
        <f>'review 1 - annotator 2 - eval'!V172</f>
        <v/>
      </c>
      <c r="AA172" s="65" t="str">
        <f>'review 1 - annotator 2 - eval'!W172</f>
        <v/>
      </c>
      <c r="AB172" s="65" t="str">
        <f>'review 1 - annotator 2 - eval'!X172</f>
        <v/>
      </c>
    </row>
    <row r="173">
      <c r="B173" s="60" t="s">
        <v>943</v>
      </c>
      <c r="C173" s="61" t="s">
        <v>944</v>
      </c>
      <c r="D173" s="61" t="s">
        <v>945</v>
      </c>
      <c r="E173" s="62"/>
      <c r="F173" s="60" t="s">
        <v>943</v>
      </c>
      <c r="G173" s="61" t="s">
        <v>944</v>
      </c>
      <c r="H173" s="61" t="s">
        <v>945</v>
      </c>
      <c r="I173" s="62"/>
      <c r="J173" s="60" t="s">
        <v>943</v>
      </c>
      <c r="K173" s="61" t="s">
        <v>944</v>
      </c>
      <c r="L173" s="61" t="s">
        <v>945</v>
      </c>
      <c r="M173" s="62"/>
      <c r="N173" s="60" t="s">
        <v>943</v>
      </c>
      <c r="O173" s="61" t="s">
        <v>944</v>
      </c>
      <c r="P173" s="61" t="s">
        <v>945</v>
      </c>
      <c r="Q173" s="62"/>
      <c r="R173" s="60" t="s">
        <v>943</v>
      </c>
      <c r="S173" s="61" t="s">
        <v>944</v>
      </c>
      <c r="T173" s="61" t="s">
        <v>945</v>
      </c>
      <c r="U173" s="62"/>
      <c r="Z173" s="65" t="str">
        <f>'review 1 - annotator 2 - eval'!V173</f>
        <v/>
      </c>
      <c r="AA173" s="65" t="str">
        <f>'review 1 - annotator 2 - eval'!W173</f>
        <v/>
      </c>
      <c r="AB173" s="65" t="str">
        <f>'review 1 - annotator 2 - eval'!X173</f>
        <v/>
      </c>
    </row>
    <row r="174">
      <c r="A174" s="8" t="s">
        <v>946</v>
      </c>
      <c r="B174" s="63">
        <v>0.0</v>
      </c>
      <c r="C174" s="7">
        <v>0.0</v>
      </c>
      <c r="D174" s="7">
        <v>1.0</v>
      </c>
      <c r="E174" s="64"/>
      <c r="F174" s="63">
        <v>1.0</v>
      </c>
      <c r="G174" s="7">
        <v>1.0</v>
      </c>
      <c r="H174" s="7">
        <v>1.0</v>
      </c>
      <c r="I174" s="64"/>
      <c r="J174" s="63">
        <v>0.0</v>
      </c>
      <c r="K174" s="7">
        <v>1.0</v>
      </c>
      <c r="L174" s="7">
        <v>1.0</v>
      </c>
      <c r="M174" s="64"/>
      <c r="N174" s="63">
        <v>0.0</v>
      </c>
      <c r="O174" s="7">
        <v>0.0</v>
      </c>
      <c r="P174" s="7">
        <v>0.0</v>
      </c>
      <c r="Q174" s="64"/>
      <c r="R174" s="63">
        <v>1.0</v>
      </c>
      <c r="S174" s="7">
        <v>1.0</v>
      </c>
      <c r="T174" s="7">
        <v>1.0</v>
      </c>
      <c r="U174" s="64"/>
      <c r="V174" s="65">
        <f t="shared" ref="V174:X174" si="120">SUM(B174,F174,J174,N174,R174)</f>
        <v>2</v>
      </c>
      <c r="W174" s="65">
        <f t="shared" si="120"/>
        <v>3</v>
      </c>
      <c r="X174" s="65">
        <f t="shared" si="120"/>
        <v>4</v>
      </c>
      <c r="Z174" s="65">
        <f>'review 1 - annotator 2 - eval'!V174</f>
        <v>3</v>
      </c>
      <c r="AA174" s="65">
        <f>'review 1 - annotator 2 - eval'!W174</f>
        <v>4</v>
      </c>
      <c r="AB174" s="65">
        <f>'review 1 - annotator 2 - eval'!X174</f>
        <v>4</v>
      </c>
    </row>
    <row r="175">
      <c r="A175" s="8" t="s">
        <v>947</v>
      </c>
      <c r="B175" s="63">
        <v>1.0</v>
      </c>
      <c r="C175" s="7">
        <v>1.0</v>
      </c>
      <c r="D175" s="7">
        <v>1.0</v>
      </c>
      <c r="E175" s="64"/>
      <c r="F175" s="63">
        <v>1.0</v>
      </c>
      <c r="G175" s="7">
        <v>1.0</v>
      </c>
      <c r="H175" s="7">
        <v>1.0</v>
      </c>
      <c r="I175" s="64"/>
      <c r="J175" s="63">
        <v>0.0</v>
      </c>
      <c r="K175" s="7">
        <v>1.0</v>
      </c>
      <c r="L175" s="7">
        <v>1.0</v>
      </c>
      <c r="M175" s="64"/>
      <c r="N175" s="63">
        <v>1.0</v>
      </c>
      <c r="O175" s="7">
        <v>1.0</v>
      </c>
      <c r="P175" s="7">
        <v>1.0</v>
      </c>
      <c r="Q175" s="64"/>
      <c r="R175" s="63">
        <v>1.0</v>
      </c>
      <c r="S175" s="7">
        <v>1.0</v>
      </c>
      <c r="T175" s="7">
        <v>1.0</v>
      </c>
      <c r="U175" s="64"/>
      <c r="V175" s="65">
        <f t="shared" ref="V175:X175" si="121">SUM(B175,F175,J175,N175,R175)</f>
        <v>4</v>
      </c>
      <c r="W175" s="65">
        <f t="shared" si="121"/>
        <v>5</v>
      </c>
      <c r="X175" s="65">
        <f t="shared" si="121"/>
        <v>5</v>
      </c>
      <c r="Z175" s="65">
        <f>'review 1 - annotator 2 - eval'!V175</f>
        <v>4</v>
      </c>
      <c r="AA175" s="65">
        <f>'review 1 - annotator 2 - eval'!W175</f>
        <v>5</v>
      </c>
      <c r="AB175" s="65">
        <f>'review 1 - annotator 2 - eval'!X175</f>
        <v>5</v>
      </c>
    </row>
    <row r="176">
      <c r="A176" s="8" t="s">
        <v>948</v>
      </c>
      <c r="B176" s="63">
        <v>0.0</v>
      </c>
      <c r="C176" s="7">
        <v>0.0</v>
      </c>
      <c r="D176" s="7">
        <v>1.0</v>
      </c>
      <c r="E176" s="64"/>
      <c r="F176" s="63">
        <v>0.0</v>
      </c>
      <c r="G176" s="7">
        <v>1.0</v>
      </c>
      <c r="H176" s="7">
        <v>1.0</v>
      </c>
      <c r="I176" s="64"/>
      <c r="J176" s="63">
        <v>0.0</v>
      </c>
      <c r="K176" s="7">
        <v>1.0</v>
      </c>
      <c r="L176" s="7">
        <v>1.0</v>
      </c>
      <c r="M176" s="64"/>
      <c r="N176" s="63">
        <v>0.0</v>
      </c>
      <c r="O176" s="7">
        <v>0.0</v>
      </c>
      <c r="P176" s="7">
        <v>0.0</v>
      </c>
      <c r="Q176" s="64"/>
      <c r="R176" s="63">
        <v>1.0</v>
      </c>
      <c r="S176" s="7">
        <v>1.0</v>
      </c>
      <c r="T176" s="7">
        <v>1.0</v>
      </c>
      <c r="U176" s="64"/>
      <c r="V176" s="65">
        <f t="shared" ref="V176:X176" si="122">SUM(B176,F176,J176,N176,R176)</f>
        <v>1</v>
      </c>
      <c r="W176" s="65">
        <f t="shared" si="122"/>
        <v>3</v>
      </c>
      <c r="X176" s="65">
        <f t="shared" si="122"/>
        <v>4</v>
      </c>
      <c r="Z176" s="65">
        <f>'review 1 - annotator 2 - eval'!V176</f>
        <v>3</v>
      </c>
      <c r="AA176" s="65">
        <f>'review 1 - annotator 2 - eval'!W176</f>
        <v>4</v>
      </c>
      <c r="AB176" s="65">
        <f>'review 1 - annotator 2 - eval'!X176</f>
        <v>4</v>
      </c>
    </row>
    <row r="177">
      <c r="A177" s="8" t="s">
        <v>949</v>
      </c>
      <c r="B177" s="63">
        <v>1.0</v>
      </c>
      <c r="C177" s="7">
        <v>1.0</v>
      </c>
      <c r="D177" s="7">
        <v>1.0</v>
      </c>
      <c r="E177" s="64"/>
      <c r="F177" s="63">
        <v>1.0</v>
      </c>
      <c r="G177" s="7">
        <v>1.0</v>
      </c>
      <c r="H177" s="7">
        <v>1.0</v>
      </c>
      <c r="I177" s="64"/>
      <c r="J177" s="63">
        <v>0.0</v>
      </c>
      <c r="K177" s="7">
        <v>1.0</v>
      </c>
      <c r="L177" s="7">
        <v>1.0</v>
      </c>
      <c r="M177" s="64"/>
      <c r="N177" s="63">
        <v>0.0</v>
      </c>
      <c r="O177" s="7">
        <v>0.0</v>
      </c>
      <c r="P177" s="7">
        <v>0.0</v>
      </c>
      <c r="Q177" s="64"/>
      <c r="R177" s="63">
        <v>1.0</v>
      </c>
      <c r="S177" s="7">
        <v>1.0</v>
      </c>
      <c r="T177" s="7">
        <v>1.0</v>
      </c>
      <c r="U177" s="64"/>
      <c r="V177" s="65">
        <f t="shared" ref="V177:X177" si="123">SUM(B177,F177,J177,N177,R177)</f>
        <v>3</v>
      </c>
      <c r="W177" s="65">
        <f t="shared" si="123"/>
        <v>4</v>
      </c>
      <c r="X177" s="65">
        <f t="shared" si="123"/>
        <v>4</v>
      </c>
      <c r="Z177" s="65">
        <f>'review 1 - annotator 2 - eval'!V177</f>
        <v>3</v>
      </c>
      <c r="AA177" s="65">
        <f>'review 1 - annotator 2 - eval'!W177</f>
        <v>4</v>
      </c>
      <c r="AB177" s="65">
        <f>'review 1 - annotator 2 - eval'!X177</f>
        <v>4</v>
      </c>
    </row>
    <row r="178">
      <c r="A178" s="8" t="s">
        <v>950</v>
      </c>
      <c r="B178" s="63">
        <v>1.0</v>
      </c>
      <c r="C178" s="7">
        <v>1.0</v>
      </c>
      <c r="D178" s="7">
        <v>1.0</v>
      </c>
      <c r="E178" s="64"/>
      <c r="F178" s="63">
        <v>1.0</v>
      </c>
      <c r="G178" s="7">
        <v>1.0</v>
      </c>
      <c r="H178" s="7">
        <v>1.0</v>
      </c>
      <c r="I178" s="64"/>
      <c r="J178" s="63">
        <v>0.0</v>
      </c>
      <c r="K178" s="7">
        <v>1.0</v>
      </c>
      <c r="L178" s="7">
        <v>1.0</v>
      </c>
      <c r="M178" s="64"/>
      <c r="N178" s="63">
        <v>0.0</v>
      </c>
      <c r="O178" s="7">
        <v>0.0</v>
      </c>
      <c r="P178" s="7">
        <v>0.0</v>
      </c>
      <c r="Q178" s="64"/>
      <c r="R178" s="63">
        <v>1.0</v>
      </c>
      <c r="S178" s="7">
        <v>1.0</v>
      </c>
      <c r="T178" s="7">
        <v>1.0</v>
      </c>
      <c r="U178" s="64"/>
      <c r="V178" s="65">
        <f t="shared" ref="V178:X178" si="124">SUM(B178,F178,J178,N178,R178)</f>
        <v>3</v>
      </c>
      <c r="W178" s="65">
        <f t="shared" si="124"/>
        <v>4</v>
      </c>
      <c r="X178" s="65">
        <f t="shared" si="124"/>
        <v>4</v>
      </c>
      <c r="Z178" s="65">
        <f>'review 1 - annotator 2 - eval'!V178</f>
        <v>3</v>
      </c>
      <c r="AA178" s="65">
        <f>'review 1 - annotator 2 - eval'!W178</f>
        <v>4</v>
      </c>
      <c r="AB178" s="65">
        <f>'review 1 - annotator 2 - eval'!X178</f>
        <v>4</v>
      </c>
    </row>
    <row r="179">
      <c r="A179" s="8" t="s">
        <v>951</v>
      </c>
      <c r="B179" s="63">
        <v>1.0</v>
      </c>
      <c r="C179" s="7">
        <v>1.0</v>
      </c>
      <c r="D179" s="7">
        <v>1.0</v>
      </c>
      <c r="E179" s="64"/>
      <c r="F179" s="63">
        <v>1.0</v>
      </c>
      <c r="G179" s="7">
        <v>1.0</v>
      </c>
      <c r="H179" s="7">
        <v>1.0</v>
      </c>
      <c r="I179" s="64"/>
      <c r="J179" s="63">
        <v>0.0</v>
      </c>
      <c r="K179" s="7">
        <v>1.0</v>
      </c>
      <c r="L179" s="7">
        <v>1.0</v>
      </c>
      <c r="M179" s="64"/>
      <c r="N179" s="63">
        <v>0.0</v>
      </c>
      <c r="O179" s="7">
        <v>0.0</v>
      </c>
      <c r="P179" s="7">
        <v>0.0</v>
      </c>
      <c r="Q179" s="64"/>
      <c r="R179" s="63">
        <v>1.0</v>
      </c>
      <c r="S179" s="7">
        <v>1.0</v>
      </c>
      <c r="T179" s="7">
        <v>1.0</v>
      </c>
      <c r="U179" s="64"/>
      <c r="V179" s="65">
        <f t="shared" ref="V179:X179" si="125">SUM(B179,F179,J179,N179,R179)</f>
        <v>3</v>
      </c>
      <c r="W179" s="65">
        <f t="shared" si="125"/>
        <v>4</v>
      </c>
      <c r="X179" s="65">
        <f t="shared" si="125"/>
        <v>4</v>
      </c>
      <c r="Z179" s="65">
        <f>'review 1 - annotator 2 - eval'!V179</f>
        <v>3</v>
      </c>
      <c r="AA179" s="65">
        <f>'review 1 - annotator 2 - eval'!W179</f>
        <v>4</v>
      </c>
      <c r="AB179" s="65">
        <f>'review 1 - annotator 2 - eval'!X179</f>
        <v>4</v>
      </c>
    </row>
    <row r="180">
      <c r="A180" s="8" t="s">
        <v>952</v>
      </c>
      <c r="B180" s="66">
        <v>1.0</v>
      </c>
      <c r="C180" s="67">
        <v>1.0</v>
      </c>
      <c r="D180" s="67">
        <v>1.0</v>
      </c>
      <c r="E180" s="68"/>
      <c r="F180" s="66">
        <v>1.0</v>
      </c>
      <c r="G180" s="67">
        <v>1.0</v>
      </c>
      <c r="H180" s="67">
        <v>1.0</v>
      </c>
      <c r="I180" s="68"/>
      <c r="J180" s="66">
        <v>0.0</v>
      </c>
      <c r="K180" s="67">
        <v>1.0</v>
      </c>
      <c r="L180" s="67">
        <v>1.0</v>
      </c>
      <c r="M180" s="68"/>
      <c r="N180" s="66">
        <v>0.0</v>
      </c>
      <c r="O180" s="67">
        <v>0.0</v>
      </c>
      <c r="P180" s="67">
        <v>0.0</v>
      </c>
      <c r="Q180" s="68"/>
      <c r="R180" s="66">
        <v>1.0</v>
      </c>
      <c r="S180" s="67">
        <v>1.0</v>
      </c>
      <c r="T180" s="67">
        <v>1.0</v>
      </c>
      <c r="U180" s="68"/>
      <c r="V180" s="65">
        <f t="shared" ref="V180:X180" si="126">SUM(B180,F180,J180,N180,R180)</f>
        <v>3</v>
      </c>
      <c r="W180" s="65">
        <f t="shared" si="126"/>
        <v>4</v>
      </c>
      <c r="X180" s="65">
        <f t="shared" si="126"/>
        <v>4</v>
      </c>
      <c r="Z180" s="65">
        <f>'review 1 - annotator 2 - eval'!V180</f>
        <v>3</v>
      </c>
      <c r="AA180" s="65">
        <f>'review 1 - annotator 2 - eval'!W180</f>
        <v>4</v>
      </c>
      <c r="AB180" s="65">
        <f>'review 1 - annotator 2 - eval'!X180</f>
        <v>4</v>
      </c>
    </row>
    <row r="181">
      <c r="A181" s="26" t="s">
        <v>614</v>
      </c>
      <c r="B181" s="52" t="s">
        <v>935</v>
      </c>
      <c r="F181" s="53" t="s">
        <v>936</v>
      </c>
      <c r="J181" s="54" t="s">
        <v>937</v>
      </c>
      <c r="N181" s="55" t="s">
        <v>938</v>
      </c>
      <c r="R181" s="56" t="s">
        <v>939</v>
      </c>
      <c r="Z181" s="65" t="str">
        <f>'review 1 - annotator 2 - eval'!V181</f>
        <v/>
      </c>
      <c r="AA181" s="65" t="str">
        <f>'review 1 - annotator 2 - eval'!W181</f>
        <v/>
      </c>
      <c r="AB181" s="65" t="str">
        <f>'review 1 - annotator 2 - eval'!X181</f>
        <v/>
      </c>
    </row>
    <row r="182">
      <c r="B182" s="57" t="s">
        <v>263</v>
      </c>
      <c r="E182" s="58"/>
      <c r="F182" s="57" t="s">
        <v>94</v>
      </c>
      <c r="I182" s="58"/>
      <c r="J182" s="57" t="s">
        <v>18</v>
      </c>
      <c r="M182" s="58"/>
      <c r="N182" s="57" t="s">
        <v>95</v>
      </c>
      <c r="Q182" s="58"/>
      <c r="R182" s="57" t="s">
        <v>971</v>
      </c>
      <c r="U182" s="58"/>
      <c r="Z182" s="65" t="str">
        <f>'review 1 - annotator 2 - eval'!V182</f>
        <v/>
      </c>
      <c r="AA182" s="65" t="str">
        <f>'review 1 - annotator 2 - eval'!W182</f>
        <v/>
      </c>
      <c r="AB182" s="65" t="str">
        <f>'review 1 - annotator 2 - eval'!X182</f>
        <v/>
      </c>
    </row>
    <row r="183">
      <c r="B183" s="60" t="s">
        <v>943</v>
      </c>
      <c r="C183" s="61" t="s">
        <v>944</v>
      </c>
      <c r="D183" s="61" t="s">
        <v>945</v>
      </c>
      <c r="E183" s="62"/>
      <c r="F183" s="60" t="s">
        <v>943</v>
      </c>
      <c r="G183" s="61" t="s">
        <v>944</v>
      </c>
      <c r="H183" s="61" t="s">
        <v>945</v>
      </c>
      <c r="I183" s="62"/>
      <c r="J183" s="60" t="s">
        <v>943</v>
      </c>
      <c r="K183" s="61" t="s">
        <v>944</v>
      </c>
      <c r="L183" s="61" t="s">
        <v>945</v>
      </c>
      <c r="M183" s="62"/>
      <c r="N183" s="60" t="s">
        <v>943</v>
      </c>
      <c r="O183" s="61" t="s">
        <v>944</v>
      </c>
      <c r="P183" s="61" t="s">
        <v>945</v>
      </c>
      <c r="Q183" s="62"/>
      <c r="R183" s="60" t="s">
        <v>943</v>
      </c>
      <c r="S183" s="61" t="s">
        <v>944</v>
      </c>
      <c r="T183" s="61" t="s">
        <v>945</v>
      </c>
      <c r="U183" s="62"/>
      <c r="Z183" s="65" t="str">
        <f>'review 1 - annotator 2 - eval'!V183</f>
        <v/>
      </c>
      <c r="AA183" s="65" t="str">
        <f>'review 1 - annotator 2 - eval'!W183</f>
        <v/>
      </c>
      <c r="AB183" s="65" t="str">
        <f>'review 1 - annotator 2 - eval'!X183</f>
        <v/>
      </c>
    </row>
    <row r="184">
      <c r="A184" s="8" t="s">
        <v>946</v>
      </c>
      <c r="B184" s="63">
        <v>1.0</v>
      </c>
      <c r="C184" s="7">
        <v>1.0</v>
      </c>
      <c r="D184" s="7">
        <v>1.0</v>
      </c>
      <c r="E184" s="64"/>
      <c r="F184" s="63">
        <v>1.0</v>
      </c>
      <c r="G184" s="7">
        <v>1.0</v>
      </c>
      <c r="H184" s="7">
        <v>1.0</v>
      </c>
      <c r="I184" s="64"/>
      <c r="J184" s="63">
        <v>1.0</v>
      </c>
      <c r="K184" s="7">
        <v>1.0</v>
      </c>
      <c r="L184" s="7">
        <v>1.0</v>
      </c>
      <c r="M184" s="64"/>
      <c r="N184" s="63">
        <v>1.0</v>
      </c>
      <c r="O184" s="7">
        <v>1.0</v>
      </c>
      <c r="P184" s="7">
        <v>1.0</v>
      </c>
      <c r="Q184" s="64"/>
      <c r="R184" s="63">
        <v>1.0</v>
      </c>
      <c r="S184" s="7">
        <v>1.0</v>
      </c>
      <c r="T184" s="7">
        <v>1.0</v>
      </c>
      <c r="U184" s="64"/>
      <c r="V184" s="65">
        <f t="shared" ref="V184:X184" si="127">SUM(B184,F184,J184,N184,R184)</f>
        <v>5</v>
      </c>
      <c r="W184" s="65">
        <f t="shared" si="127"/>
        <v>5</v>
      </c>
      <c r="X184" s="65">
        <f t="shared" si="127"/>
        <v>5</v>
      </c>
      <c r="Z184" s="65">
        <f>'review 1 - annotator 2 - eval'!V184</f>
        <v>5</v>
      </c>
      <c r="AA184" s="65">
        <f>'review 1 - annotator 2 - eval'!W184</f>
        <v>5</v>
      </c>
      <c r="AB184" s="65">
        <f>'review 1 - annotator 2 - eval'!X184</f>
        <v>5</v>
      </c>
    </row>
    <row r="185">
      <c r="A185" s="8" t="s">
        <v>947</v>
      </c>
      <c r="B185" s="63">
        <v>1.0</v>
      </c>
      <c r="C185" s="7">
        <v>1.0</v>
      </c>
      <c r="D185" s="7">
        <v>1.0</v>
      </c>
      <c r="E185" s="64"/>
      <c r="F185" s="63">
        <v>1.0</v>
      </c>
      <c r="G185" s="7">
        <v>1.0</v>
      </c>
      <c r="H185" s="7">
        <v>1.0</v>
      </c>
      <c r="I185" s="64"/>
      <c r="J185" s="63">
        <v>1.0</v>
      </c>
      <c r="K185" s="7">
        <v>1.0</v>
      </c>
      <c r="L185" s="7">
        <v>1.0</v>
      </c>
      <c r="M185" s="64"/>
      <c r="N185" s="63">
        <v>1.0</v>
      </c>
      <c r="O185" s="7">
        <v>1.0</v>
      </c>
      <c r="P185" s="7">
        <v>1.0</v>
      </c>
      <c r="Q185" s="64"/>
      <c r="R185" s="63">
        <v>1.0</v>
      </c>
      <c r="S185" s="7">
        <v>1.0</v>
      </c>
      <c r="T185" s="7">
        <v>1.0</v>
      </c>
      <c r="U185" s="64"/>
      <c r="V185" s="65">
        <f t="shared" ref="V185:X185" si="128">SUM(B185,F185,J185,N185,R185)</f>
        <v>5</v>
      </c>
      <c r="W185" s="65">
        <f t="shared" si="128"/>
        <v>5</v>
      </c>
      <c r="X185" s="65">
        <f t="shared" si="128"/>
        <v>5</v>
      </c>
      <c r="Z185" s="65">
        <f>'review 1 - annotator 2 - eval'!V185</f>
        <v>5</v>
      </c>
      <c r="AA185" s="65">
        <f>'review 1 - annotator 2 - eval'!W185</f>
        <v>5</v>
      </c>
      <c r="AB185" s="65">
        <f>'review 1 - annotator 2 - eval'!X185</f>
        <v>5</v>
      </c>
    </row>
    <row r="186">
      <c r="A186" s="8" t="s">
        <v>948</v>
      </c>
      <c r="B186" s="63">
        <v>1.0</v>
      </c>
      <c r="C186" s="7">
        <v>1.0</v>
      </c>
      <c r="D186" s="7">
        <v>1.0</v>
      </c>
      <c r="E186" s="64"/>
      <c r="F186" s="63">
        <v>1.0</v>
      </c>
      <c r="G186" s="7">
        <v>1.0</v>
      </c>
      <c r="H186" s="7">
        <v>1.0</v>
      </c>
      <c r="I186" s="64"/>
      <c r="J186" s="63">
        <v>1.0</v>
      </c>
      <c r="K186" s="7">
        <v>1.0</v>
      </c>
      <c r="L186" s="7">
        <v>1.0</v>
      </c>
      <c r="M186" s="64"/>
      <c r="N186" s="63">
        <v>1.0</v>
      </c>
      <c r="O186" s="7">
        <v>1.0</v>
      </c>
      <c r="P186" s="7">
        <v>1.0</v>
      </c>
      <c r="Q186" s="64"/>
      <c r="R186" s="63">
        <v>1.0</v>
      </c>
      <c r="S186" s="7">
        <v>1.0</v>
      </c>
      <c r="T186" s="7">
        <v>1.0</v>
      </c>
      <c r="U186" s="64"/>
      <c r="V186" s="65">
        <f t="shared" ref="V186:X186" si="129">SUM(B186,F186,J186,N186,R186)</f>
        <v>5</v>
      </c>
      <c r="W186" s="65">
        <f t="shared" si="129"/>
        <v>5</v>
      </c>
      <c r="X186" s="65">
        <f t="shared" si="129"/>
        <v>5</v>
      </c>
      <c r="Z186" s="65">
        <f>'review 1 - annotator 2 - eval'!V186</f>
        <v>5</v>
      </c>
      <c r="AA186" s="65">
        <f>'review 1 - annotator 2 - eval'!W186</f>
        <v>5</v>
      </c>
      <c r="AB186" s="65">
        <f>'review 1 - annotator 2 - eval'!X186</f>
        <v>5</v>
      </c>
    </row>
    <row r="187">
      <c r="A187" s="8" t="s">
        <v>949</v>
      </c>
      <c r="B187" s="63">
        <v>1.0</v>
      </c>
      <c r="C187" s="7">
        <v>1.0</v>
      </c>
      <c r="D187" s="7">
        <v>1.0</v>
      </c>
      <c r="E187" s="64"/>
      <c r="F187" s="63">
        <v>1.0</v>
      </c>
      <c r="G187" s="7">
        <v>1.0</v>
      </c>
      <c r="H187" s="7">
        <v>1.0</v>
      </c>
      <c r="I187" s="64"/>
      <c r="J187" s="63">
        <v>1.0</v>
      </c>
      <c r="K187" s="7">
        <v>1.0</v>
      </c>
      <c r="L187" s="7">
        <v>1.0</v>
      </c>
      <c r="M187" s="64"/>
      <c r="N187" s="63">
        <v>1.0</v>
      </c>
      <c r="O187" s="7">
        <v>1.0</v>
      </c>
      <c r="P187" s="7">
        <v>1.0</v>
      </c>
      <c r="Q187" s="64"/>
      <c r="R187" s="63">
        <v>1.0</v>
      </c>
      <c r="S187" s="7">
        <v>1.0</v>
      </c>
      <c r="T187" s="7">
        <v>1.0</v>
      </c>
      <c r="U187" s="64"/>
      <c r="V187" s="65">
        <f t="shared" ref="V187:X187" si="130">SUM(B187,F187,J187,N187,R187)</f>
        <v>5</v>
      </c>
      <c r="W187" s="65">
        <f t="shared" si="130"/>
        <v>5</v>
      </c>
      <c r="X187" s="65">
        <f t="shared" si="130"/>
        <v>5</v>
      </c>
      <c r="Z187" s="65">
        <f>'review 1 - annotator 2 - eval'!V187</f>
        <v>5</v>
      </c>
      <c r="AA187" s="65">
        <f>'review 1 - annotator 2 - eval'!W187</f>
        <v>5</v>
      </c>
      <c r="AB187" s="65">
        <f>'review 1 - annotator 2 - eval'!X187</f>
        <v>5</v>
      </c>
    </row>
    <row r="188">
      <c r="A188" s="8" t="s">
        <v>950</v>
      </c>
      <c r="B188" s="63">
        <v>1.0</v>
      </c>
      <c r="C188" s="7">
        <v>1.0</v>
      </c>
      <c r="D188" s="7">
        <v>1.0</v>
      </c>
      <c r="E188" s="64"/>
      <c r="F188" s="63">
        <v>1.0</v>
      </c>
      <c r="G188" s="7">
        <v>1.0</v>
      </c>
      <c r="H188" s="7">
        <v>1.0</v>
      </c>
      <c r="I188" s="64"/>
      <c r="J188" s="63">
        <v>1.0</v>
      </c>
      <c r="K188" s="7">
        <v>1.0</v>
      </c>
      <c r="L188" s="7">
        <v>1.0</v>
      </c>
      <c r="M188" s="64"/>
      <c r="N188" s="63">
        <v>1.0</v>
      </c>
      <c r="O188" s="7">
        <v>1.0</v>
      </c>
      <c r="P188" s="7">
        <v>1.0</v>
      </c>
      <c r="Q188" s="64"/>
      <c r="R188" s="63">
        <v>1.0</v>
      </c>
      <c r="S188" s="7">
        <v>1.0</v>
      </c>
      <c r="T188" s="7">
        <v>1.0</v>
      </c>
      <c r="U188" s="64"/>
      <c r="V188" s="65">
        <f t="shared" ref="V188:X188" si="131">SUM(B188,F188,J188,N188,R188)</f>
        <v>5</v>
      </c>
      <c r="W188" s="65">
        <f t="shared" si="131"/>
        <v>5</v>
      </c>
      <c r="X188" s="65">
        <f t="shared" si="131"/>
        <v>5</v>
      </c>
      <c r="Z188" s="65">
        <f>'review 1 - annotator 2 - eval'!V188</f>
        <v>5</v>
      </c>
      <c r="AA188" s="65">
        <f>'review 1 - annotator 2 - eval'!W188</f>
        <v>5</v>
      </c>
      <c r="AB188" s="65">
        <f>'review 1 - annotator 2 - eval'!X188</f>
        <v>5</v>
      </c>
    </row>
    <row r="189">
      <c r="A189" s="8" t="s">
        <v>951</v>
      </c>
      <c r="B189" s="63">
        <v>1.0</v>
      </c>
      <c r="C189" s="7">
        <v>1.0</v>
      </c>
      <c r="D189" s="7">
        <v>1.0</v>
      </c>
      <c r="E189" s="64"/>
      <c r="F189" s="63">
        <v>1.0</v>
      </c>
      <c r="G189" s="7">
        <v>1.0</v>
      </c>
      <c r="H189" s="7">
        <v>1.0</v>
      </c>
      <c r="I189" s="64"/>
      <c r="J189" s="63">
        <v>1.0</v>
      </c>
      <c r="K189" s="7">
        <v>1.0</v>
      </c>
      <c r="L189" s="7">
        <v>1.0</v>
      </c>
      <c r="M189" s="64"/>
      <c r="N189" s="63">
        <v>1.0</v>
      </c>
      <c r="O189" s="7">
        <v>1.0</v>
      </c>
      <c r="P189" s="7">
        <v>1.0</v>
      </c>
      <c r="Q189" s="64"/>
      <c r="R189" s="63">
        <v>1.0</v>
      </c>
      <c r="S189" s="7">
        <v>1.0</v>
      </c>
      <c r="T189" s="7">
        <v>1.0</v>
      </c>
      <c r="U189" s="64"/>
      <c r="V189" s="65">
        <f t="shared" ref="V189:X189" si="132">SUM(B189,F189,J189,N189,R189)</f>
        <v>5</v>
      </c>
      <c r="W189" s="65">
        <f t="shared" si="132"/>
        <v>5</v>
      </c>
      <c r="X189" s="65">
        <f t="shared" si="132"/>
        <v>5</v>
      </c>
      <c r="Z189" s="65">
        <f>'review 1 - annotator 2 - eval'!V189</f>
        <v>5</v>
      </c>
      <c r="AA189" s="65">
        <f>'review 1 - annotator 2 - eval'!W189</f>
        <v>5</v>
      </c>
      <c r="AB189" s="65">
        <f>'review 1 - annotator 2 - eval'!X189</f>
        <v>5</v>
      </c>
    </row>
    <row r="190">
      <c r="A190" s="8" t="s">
        <v>952</v>
      </c>
      <c r="B190" s="66">
        <v>1.0</v>
      </c>
      <c r="C190" s="67">
        <v>1.0</v>
      </c>
      <c r="D190" s="67">
        <v>1.0</v>
      </c>
      <c r="E190" s="68"/>
      <c r="F190" s="66">
        <v>1.0</v>
      </c>
      <c r="G190" s="67">
        <v>1.0</v>
      </c>
      <c r="H190" s="67">
        <v>1.0</v>
      </c>
      <c r="I190" s="68"/>
      <c r="J190" s="66">
        <v>1.0</v>
      </c>
      <c r="K190" s="67">
        <v>1.0</v>
      </c>
      <c r="L190" s="67">
        <v>1.0</v>
      </c>
      <c r="M190" s="68"/>
      <c r="N190" s="66">
        <v>1.0</v>
      </c>
      <c r="O190" s="67">
        <v>1.0</v>
      </c>
      <c r="P190" s="67">
        <v>1.0</v>
      </c>
      <c r="Q190" s="68"/>
      <c r="R190" s="66">
        <v>1.0</v>
      </c>
      <c r="S190" s="67">
        <v>1.0</v>
      </c>
      <c r="T190" s="67">
        <v>1.0</v>
      </c>
      <c r="U190" s="68"/>
      <c r="V190" s="65">
        <f t="shared" ref="V190:X190" si="133">SUM(B190,F190,J190,N190,R190)</f>
        <v>5</v>
      </c>
      <c r="W190" s="65">
        <f t="shared" si="133"/>
        <v>5</v>
      </c>
      <c r="X190" s="65">
        <f t="shared" si="133"/>
        <v>5</v>
      </c>
      <c r="Z190" s="65">
        <f>'review 1 - annotator 2 - eval'!V190</f>
        <v>5</v>
      </c>
      <c r="AA190" s="65">
        <f>'review 1 - annotator 2 - eval'!W190</f>
        <v>5</v>
      </c>
      <c r="AB190" s="65">
        <f>'review 1 - annotator 2 - eval'!X190</f>
        <v>5</v>
      </c>
    </row>
    <row r="191">
      <c r="A191" s="26" t="s">
        <v>623</v>
      </c>
      <c r="B191" s="52" t="s">
        <v>935</v>
      </c>
      <c r="F191" s="53" t="s">
        <v>936</v>
      </c>
      <c r="J191" s="54" t="s">
        <v>937</v>
      </c>
      <c r="N191" s="55" t="s">
        <v>938</v>
      </c>
      <c r="R191" s="56" t="s">
        <v>939</v>
      </c>
      <c r="Z191" s="65" t="str">
        <f>'review 1 - annotator 2 - eval'!V191</f>
        <v/>
      </c>
      <c r="AA191" s="65" t="str">
        <f>'review 1 - annotator 2 - eval'!W191</f>
        <v/>
      </c>
      <c r="AB191" s="65" t="str">
        <f>'review 1 - annotator 2 - eval'!X191</f>
        <v/>
      </c>
    </row>
    <row r="192">
      <c r="B192" s="57" t="s">
        <v>69</v>
      </c>
      <c r="E192" s="58"/>
      <c r="F192" s="57" t="s">
        <v>70</v>
      </c>
      <c r="I192" s="58"/>
      <c r="J192" s="57" t="s">
        <v>972</v>
      </c>
      <c r="M192" s="58"/>
      <c r="N192" s="57" t="s">
        <v>72</v>
      </c>
      <c r="Q192" s="58"/>
      <c r="R192" s="57" t="s">
        <v>973</v>
      </c>
      <c r="U192" s="58"/>
      <c r="Z192" s="65" t="str">
        <f>'review 1 - annotator 2 - eval'!V192</f>
        <v/>
      </c>
      <c r="AA192" s="65" t="str">
        <f>'review 1 - annotator 2 - eval'!W192</f>
        <v/>
      </c>
      <c r="AB192" s="65" t="str">
        <f>'review 1 - annotator 2 - eval'!X192</f>
        <v/>
      </c>
    </row>
    <row r="193">
      <c r="B193" s="60" t="s">
        <v>943</v>
      </c>
      <c r="C193" s="61" t="s">
        <v>944</v>
      </c>
      <c r="D193" s="61" t="s">
        <v>945</v>
      </c>
      <c r="E193" s="62"/>
      <c r="F193" s="60" t="s">
        <v>943</v>
      </c>
      <c r="G193" s="61" t="s">
        <v>944</v>
      </c>
      <c r="H193" s="61" t="s">
        <v>945</v>
      </c>
      <c r="I193" s="62"/>
      <c r="J193" s="60" t="s">
        <v>943</v>
      </c>
      <c r="K193" s="61" t="s">
        <v>944</v>
      </c>
      <c r="L193" s="61" t="s">
        <v>945</v>
      </c>
      <c r="M193" s="62"/>
      <c r="N193" s="60" t="s">
        <v>943</v>
      </c>
      <c r="O193" s="61" t="s">
        <v>944</v>
      </c>
      <c r="P193" s="61" t="s">
        <v>945</v>
      </c>
      <c r="Q193" s="62"/>
      <c r="R193" s="60" t="s">
        <v>943</v>
      </c>
      <c r="S193" s="61" t="s">
        <v>944</v>
      </c>
      <c r="T193" s="61" t="s">
        <v>945</v>
      </c>
      <c r="U193" s="62"/>
      <c r="Z193" s="65" t="str">
        <f>'review 1 - annotator 2 - eval'!V193</f>
        <v/>
      </c>
      <c r="AA193" s="65" t="str">
        <f>'review 1 - annotator 2 - eval'!W193</f>
        <v/>
      </c>
      <c r="AB193" s="65" t="str">
        <f>'review 1 - annotator 2 - eval'!X193</f>
        <v/>
      </c>
    </row>
    <row r="194">
      <c r="A194" s="8" t="s">
        <v>946</v>
      </c>
      <c r="B194" s="63">
        <v>0.0</v>
      </c>
      <c r="C194" s="7">
        <v>0.0</v>
      </c>
      <c r="D194" s="7">
        <v>0.0</v>
      </c>
      <c r="E194" s="64"/>
      <c r="F194" s="63">
        <v>1.0</v>
      </c>
      <c r="G194" s="7">
        <v>1.0</v>
      </c>
      <c r="H194" s="7">
        <v>1.0</v>
      </c>
      <c r="I194" s="64"/>
      <c r="J194" s="63">
        <v>0.0</v>
      </c>
      <c r="K194" s="7">
        <v>1.0</v>
      </c>
      <c r="L194" s="7">
        <v>1.0</v>
      </c>
      <c r="M194" s="64"/>
      <c r="N194" s="63">
        <v>1.0</v>
      </c>
      <c r="O194" s="7">
        <v>1.0</v>
      </c>
      <c r="P194" s="7">
        <v>1.0</v>
      </c>
      <c r="Q194" s="64"/>
      <c r="R194" s="63">
        <v>1.0</v>
      </c>
      <c r="S194" s="7">
        <v>1.0</v>
      </c>
      <c r="T194" s="7">
        <v>1.0</v>
      </c>
      <c r="U194" s="64"/>
      <c r="V194" s="65">
        <f t="shared" ref="V194:X194" si="134">SUM(B194,F194,J194,N194,R194)</f>
        <v>3</v>
      </c>
      <c r="W194" s="65">
        <f t="shared" si="134"/>
        <v>4</v>
      </c>
      <c r="X194" s="65">
        <f t="shared" si="134"/>
        <v>4</v>
      </c>
      <c r="Z194" s="65">
        <f>'review 1 - annotator 2 - eval'!V194</f>
        <v>3</v>
      </c>
      <c r="AA194" s="65">
        <f>'review 1 - annotator 2 - eval'!W194</f>
        <v>3</v>
      </c>
      <c r="AB194" s="65">
        <f>'review 1 - annotator 2 - eval'!X194</f>
        <v>4</v>
      </c>
    </row>
    <row r="195">
      <c r="A195" s="8" t="s">
        <v>947</v>
      </c>
      <c r="B195" s="63">
        <v>1.0</v>
      </c>
      <c r="C195" s="7">
        <v>1.0</v>
      </c>
      <c r="D195" s="7">
        <v>1.0</v>
      </c>
      <c r="E195" s="64"/>
      <c r="F195" s="63">
        <v>1.0</v>
      </c>
      <c r="G195" s="7">
        <v>1.0</v>
      </c>
      <c r="H195" s="7">
        <v>1.0</v>
      </c>
      <c r="I195" s="64"/>
      <c r="J195" s="63">
        <v>0.0</v>
      </c>
      <c r="K195" s="7">
        <v>1.0</v>
      </c>
      <c r="L195" s="7">
        <v>1.0</v>
      </c>
      <c r="M195" s="64"/>
      <c r="N195" s="63">
        <v>1.0</v>
      </c>
      <c r="O195" s="7">
        <v>1.0</v>
      </c>
      <c r="P195" s="7">
        <v>1.0</v>
      </c>
      <c r="Q195" s="64"/>
      <c r="R195" s="63">
        <v>1.0</v>
      </c>
      <c r="S195" s="7">
        <v>1.0</v>
      </c>
      <c r="T195" s="7">
        <v>1.0</v>
      </c>
      <c r="U195" s="64"/>
      <c r="V195" s="65">
        <f t="shared" ref="V195:X195" si="135">SUM(B195,F195,J195,N195,R195)</f>
        <v>4</v>
      </c>
      <c r="W195" s="65">
        <f t="shared" si="135"/>
        <v>5</v>
      </c>
      <c r="X195" s="65">
        <f t="shared" si="135"/>
        <v>5</v>
      </c>
      <c r="Z195" s="65">
        <f>'review 1 - annotator 2 - eval'!V195</f>
        <v>4</v>
      </c>
      <c r="AA195" s="65">
        <f>'review 1 - annotator 2 - eval'!W195</f>
        <v>5</v>
      </c>
      <c r="AB195" s="65">
        <f>'review 1 - annotator 2 - eval'!X195</f>
        <v>5</v>
      </c>
    </row>
    <row r="196">
      <c r="A196" s="8" t="s">
        <v>948</v>
      </c>
      <c r="B196" s="63">
        <v>0.0</v>
      </c>
      <c r="C196" s="7">
        <v>0.0</v>
      </c>
      <c r="D196" s="7">
        <v>0.0</v>
      </c>
      <c r="E196" s="64"/>
      <c r="F196" s="63">
        <v>0.0</v>
      </c>
      <c r="G196" s="7">
        <v>1.0</v>
      </c>
      <c r="H196" s="7">
        <v>1.0</v>
      </c>
      <c r="I196" s="64"/>
      <c r="J196" s="63">
        <v>0.0</v>
      </c>
      <c r="K196" s="7">
        <v>1.0</v>
      </c>
      <c r="L196" s="7">
        <v>1.0</v>
      </c>
      <c r="M196" s="64"/>
      <c r="N196" s="63">
        <v>1.0</v>
      </c>
      <c r="O196" s="7">
        <v>1.0</v>
      </c>
      <c r="P196" s="7">
        <v>1.0</v>
      </c>
      <c r="Q196" s="64"/>
      <c r="R196" s="63">
        <v>1.0</v>
      </c>
      <c r="S196" s="7">
        <v>1.0</v>
      </c>
      <c r="T196" s="7">
        <v>1.0</v>
      </c>
      <c r="U196" s="64"/>
      <c r="V196" s="65">
        <f t="shared" ref="V196:X196" si="136">SUM(B196,F196,J196,N196,R196)</f>
        <v>2</v>
      </c>
      <c r="W196" s="65">
        <f t="shared" si="136"/>
        <v>4</v>
      </c>
      <c r="X196" s="65">
        <f t="shared" si="136"/>
        <v>4</v>
      </c>
      <c r="Z196" s="65">
        <f>'review 1 - annotator 2 - eval'!V196</f>
        <v>3</v>
      </c>
      <c r="AA196" s="65">
        <f>'review 1 - annotator 2 - eval'!W196</f>
        <v>3</v>
      </c>
      <c r="AB196" s="65">
        <f>'review 1 - annotator 2 - eval'!X196</f>
        <v>4</v>
      </c>
    </row>
    <row r="197">
      <c r="A197" s="8" t="s">
        <v>949</v>
      </c>
      <c r="B197" s="63">
        <v>0.0</v>
      </c>
      <c r="C197" s="7">
        <v>1.0</v>
      </c>
      <c r="D197" s="7">
        <v>1.0</v>
      </c>
      <c r="E197" s="64"/>
      <c r="F197" s="63">
        <v>1.0</v>
      </c>
      <c r="G197" s="7">
        <v>1.0</v>
      </c>
      <c r="H197" s="7">
        <v>1.0</v>
      </c>
      <c r="I197" s="64"/>
      <c r="J197" s="63">
        <v>1.0</v>
      </c>
      <c r="K197" s="7">
        <v>1.0</v>
      </c>
      <c r="L197" s="7">
        <v>1.0</v>
      </c>
      <c r="M197" s="64"/>
      <c r="N197" s="63">
        <v>1.0</v>
      </c>
      <c r="O197" s="7">
        <v>1.0</v>
      </c>
      <c r="P197" s="7">
        <v>1.0</v>
      </c>
      <c r="Q197" s="64"/>
      <c r="R197" s="63">
        <v>1.0</v>
      </c>
      <c r="S197" s="7">
        <v>1.0</v>
      </c>
      <c r="T197" s="7">
        <v>1.0</v>
      </c>
      <c r="U197" s="64"/>
      <c r="V197" s="65">
        <f t="shared" ref="V197:X197" si="137">SUM(B197,F197,J197,N197,R197)</f>
        <v>4</v>
      </c>
      <c r="W197" s="65">
        <f t="shared" si="137"/>
        <v>5</v>
      </c>
      <c r="X197" s="65">
        <f t="shared" si="137"/>
        <v>5</v>
      </c>
      <c r="Z197" s="65">
        <f>'review 1 - annotator 2 - eval'!V197</f>
        <v>5</v>
      </c>
      <c r="AA197" s="65">
        <f>'review 1 - annotator 2 - eval'!W197</f>
        <v>5</v>
      </c>
      <c r="AB197" s="65">
        <f>'review 1 - annotator 2 - eval'!X197</f>
        <v>5</v>
      </c>
    </row>
    <row r="198">
      <c r="A198" s="8" t="s">
        <v>950</v>
      </c>
      <c r="B198" s="63">
        <v>1.0</v>
      </c>
      <c r="C198" s="7">
        <v>1.0</v>
      </c>
      <c r="D198" s="7">
        <v>1.0</v>
      </c>
      <c r="E198" s="64"/>
      <c r="F198" s="63">
        <v>1.0</v>
      </c>
      <c r="G198" s="7">
        <v>1.0</v>
      </c>
      <c r="H198" s="7">
        <v>1.0</v>
      </c>
      <c r="I198" s="64"/>
      <c r="J198" s="63">
        <v>1.0</v>
      </c>
      <c r="K198" s="7">
        <v>1.0</v>
      </c>
      <c r="L198" s="7">
        <v>1.0</v>
      </c>
      <c r="M198" s="64"/>
      <c r="N198" s="63">
        <v>1.0</v>
      </c>
      <c r="O198" s="7">
        <v>1.0</v>
      </c>
      <c r="P198" s="7">
        <v>1.0</v>
      </c>
      <c r="Q198" s="64"/>
      <c r="R198" s="63">
        <v>1.0</v>
      </c>
      <c r="S198" s="7">
        <v>1.0</v>
      </c>
      <c r="T198" s="7">
        <v>1.0</v>
      </c>
      <c r="U198" s="64"/>
      <c r="V198" s="65">
        <f t="shared" ref="V198:X198" si="138">SUM(B198,F198,J198,N198,R198)</f>
        <v>5</v>
      </c>
      <c r="W198" s="65">
        <f t="shared" si="138"/>
        <v>5</v>
      </c>
      <c r="X198" s="65">
        <f t="shared" si="138"/>
        <v>5</v>
      </c>
      <c r="Z198" s="65">
        <f>'review 1 - annotator 2 - eval'!V198</f>
        <v>5</v>
      </c>
      <c r="AA198" s="65">
        <f>'review 1 - annotator 2 - eval'!W198</f>
        <v>4</v>
      </c>
      <c r="AB198" s="65">
        <f>'review 1 - annotator 2 - eval'!X198</f>
        <v>4</v>
      </c>
    </row>
    <row r="199">
      <c r="A199" s="8" t="s">
        <v>951</v>
      </c>
      <c r="B199" s="63">
        <v>0.0</v>
      </c>
      <c r="C199" s="7">
        <v>1.0</v>
      </c>
      <c r="D199" s="7">
        <v>1.0</v>
      </c>
      <c r="E199" s="64"/>
      <c r="F199" s="63">
        <v>1.0</v>
      </c>
      <c r="G199" s="7">
        <v>1.0</v>
      </c>
      <c r="H199" s="7">
        <v>1.0</v>
      </c>
      <c r="I199" s="64"/>
      <c r="J199" s="63">
        <v>0.0</v>
      </c>
      <c r="K199" s="7">
        <v>1.0</v>
      </c>
      <c r="L199" s="7">
        <v>1.0</v>
      </c>
      <c r="M199" s="64"/>
      <c r="N199" s="63">
        <v>1.0</v>
      </c>
      <c r="O199" s="7">
        <v>1.0</v>
      </c>
      <c r="P199" s="7">
        <v>1.0</v>
      </c>
      <c r="Q199" s="64"/>
      <c r="R199" s="63">
        <v>1.0</v>
      </c>
      <c r="S199" s="7">
        <v>1.0</v>
      </c>
      <c r="T199" s="7">
        <v>1.0</v>
      </c>
      <c r="U199" s="64"/>
      <c r="V199" s="65">
        <f t="shared" ref="V199:X199" si="139">SUM(B199,F199,J199,N199,R199)</f>
        <v>3</v>
      </c>
      <c r="W199" s="65">
        <f t="shared" si="139"/>
        <v>5</v>
      </c>
      <c r="X199" s="65">
        <f t="shared" si="139"/>
        <v>5</v>
      </c>
      <c r="Z199" s="65">
        <f>'review 1 - annotator 2 - eval'!V199</f>
        <v>4</v>
      </c>
      <c r="AA199" s="65">
        <f>'review 1 - annotator 2 - eval'!W199</f>
        <v>5</v>
      </c>
      <c r="AB199" s="65">
        <f>'review 1 - annotator 2 - eval'!X199</f>
        <v>5</v>
      </c>
    </row>
    <row r="200">
      <c r="A200" s="8" t="s">
        <v>952</v>
      </c>
      <c r="B200" s="66">
        <v>0.0</v>
      </c>
      <c r="C200" s="67">
        <v>1.0</v>
      </c>
      <c r="D200" s="67">
        <v>1.0</v>
      </c>
      <c r="E200" s="68"/>
      <c r="F200" s="66">
        <v>1.0</v>
      </c>
      <c r="G200" s="67">
        <v>1.0</v>
      </c>
      <c r="H200" s="67">
        <v>1.0</v>
      </c>
      <c r="I200" s="68"/>
      <c r="J200" s="66">
        <v>0.0</v>
      </c>
      <c r="K200" s="67">
        <v>1.0</v>
      </c>
      <c r="L200" s="67">
        <v>1.0</v>
      </c>
      <c r="M200" s="68"/>
      <c r="N200" s="66">
        <v>1.0</v>
      </c>
      <c r="O200" s="67">
        <v>1.0</v>
      </c>
      <c r="P200" s="67">
        <v>1.0</v>
      </c>
      <c r="Q200" s="68"/>
      <c r="R200" s="66">
        <v>1.0</v>
      </c>
      <c r="S200" s="67">
        <v>1.0</v>
      </c>
      <c r="T200" s="67">
        <v>1.0</v>
      </c>
      <c r="U200" s="68"/>
      <c r="V200" s="65">
        <f t="shared" ref="V200:X200" si="140">SUM(B200,F200,J200,N200,R200)</f>
        <v>3</v>
      </c>
      <c r="W200" s="65">
        <f t="shared" si="140"/>
        <v>5</v>
      </c>
      <c r="X200" s="65">
        <f t="shared" si="140"/>
        <v>5</v>
      </c>
      <c r="Z200" s="65">
        <f>'review 1 - annotator 2 - eval'!V200</f>
        <v>4</v>
      </c>
      <c r="AA200" s="65">
        <f>'review 1 - annotator 2 - eval'!W200</f>
        <v>5</v>
      </c>
      <c r="AB200" s="65">
        <f>'review 1 - annotator 2 - eval'!X200</f>
        <v>5</v>
      </c>
    </row>
    <row r="207">
      <c r="X207" s="60" t="s">
        <v>943</v>
      </c>
      <c r="Y207" s="61" t="s">
        <v>944</v>
      </c>
      <c r="Z207" s="61" t="s">
        <v>945</v>
      </c>
    </row>
    <row r="208">
      <c r="W208" s="8" t="s">
        <v>946</v>
      </c>
      <c r="X208" s="65">
        <f t="shared" ref="X208:Z208" si="141">SUM(V4,V14,V24,V34,V44,V54,V64,V74,V84,V94,V104,V114,V124,V134,V144,V154,V164,V174,V184,V194)</f>
        <v>81</v>
      </c>
      <c r="Y208" s="65">
        <f t="shared" si="141"/>
        <v>86</v>
      </c>
      <c r="Z208" s="65">
        <f t="shared" si="141"/>
        <v>94</v>
      </c>
    </row>
    <row r="209">
      <c r="W209" s="8" t="s">
        <v>947</v>
      </c>
      <c r="X209" s="65">
        <f t="shared" ref="X209:Z209" si="142">SUM(V5,V15,V25,V35,V45,V55,V65,V75,V85,V95,V105,V115,V125,V135,V145,V155,V165,V175,V185,V195)</f>
        <v>93</v>
      </c>
      <c r="Y209" s="65">
        <f t="shared" si="142"/>
        <v>95</v>
      </c>
      <c r="Z209" s="65">
        <f t="shared" si="142"/>
        <v>96</v>
      </c>
    </row>
    <row r="210">
      <c r="W210" s="8" t="s">
        <v>948</v>
      </c>
      <c r="X210" s="65">
        <f t="shared" ref="X210:Z210" si="143">SUM(V6,V16,V26,V36,V46,V56,V66,V76,V86,V96,V106,V116,V126,V136,V146,V156,V166,V176,V186,V196)</f>
        <v>70</v>
      </c>
      <c r="Y210" s="65">
        <f t="shared" si="143"/>
        <v>79</v>
      </c>
      <c r="Z210" s="65">
        <f t="shared" si="143"/>
        <v>90</v>
      </c>
    </row>
    <row r="211">
      <c r="W211" s="8" t="s">
        <v>949</v>
      </c>
      <c r="X211" s="65">
        <f t="shared" ref="X211:Z211" si="144">SUM(V7,V17,V27,V37,V47,V57,V67,V77,V87,V97,V107,V117,V127,V137,V147,V157,V167,V177,V187,V197)</f>
        <v>92</v>
      </c>
      <c r="Y211" s="65">
        <f t="shared" si="144"/>
        <v>94</v>
      </c>
      <c r="Z211" s="65">
        <f t="shared" si="144"/>
        <v>96</v>
      </c>
    </row>
    <row r="212">
      <c r="W212" s="8" t="s">
        <v>950</v>
      </c>
      <c r="X212" s="65">
        <f t="shared" ref="X212:Z212" si="145">SUM(V8,V18,V28,V38,V48,V58,V68,V78,V88,V98,V108,V118,V128,V138,V148,V158,V168,V178,V188,V198)</f>
        <v>83</v>
      </c>
      <c r="Y212" s="65">
        <f t="shared" si="145"/>
        <v>87</v>
      </c>
      <c r="Z212" s="65">
        <f t="shared" si="145"/>
        <v>95</v>
      </c>
    </row>
    <row r="213">
      <c r="W213" s="8" t="s">
        <v>951</v>
      </c>
      <c r="X213" s="65">
        <f t="shared" ref="X213:Z213" si="146">SUM(V9,V19,V29,V39,V49,V59,V69,V79,V89,V99,V109,V119,V129,V139,V149,V159,V169,V179,V189,V199)</f>
        <v>90</v>
      </c>
      <c r="Y213" s="65">
        <f t="shared" si="146"/>
        <v>94</v>
      </c>
      <c r="Z213" s="65">
        <f t="shared" si="146"/>
        <v>95</v>
      </c>
    </row>
    <row r="214">
      <c r="W214" s="8" t="s">
        <v>952</v>
      </c>
      <c r="X214" s="65">
        <f t="shared" ref="X214:Z214" si="147">SUM(V10,V20,V30,V40,V50,V60,V70,V80,V90,V100,V110,V120,V130,V140,V150,V160,V170,V180,V190,V200)</f>
        <v>90</v>
      </c>
      <c r="Y214" s="65">
        <f t="shared" si="147"/>
        <v>94</v>
      </c>
      <c r="Z214" s="65">
        <f t="shared" si="147"/>
        <v>96</v>
      </c>
    </row>
    <row r="215">
      <c r="W215" s="74"/>
    </row>
  </sheetData>
  <mergeCells count="220">
    <mergeCell ref="F172:I172"/>
    <mergeCell ref="J172:M172"/>
    <mergeCell ref="A181:A183"/>
    <mergeCell ref="F181:I181"/>
    <mergeCell ref="J181:M181"/>
    <mergeCell ref="N181:Q181"/>
    <mergeCell ref="R181:U181"/>
    <mergeCell ref="F192:I192"/>
    <mergeCell ref="J192:M192"/>
    <mergeCell ref="N192:Q192"/>
    <mergeCell ref="R192:U192"/>
    <mergeCell ref="B181:E181"/>
    <mergeCell ref="B182:E182"/>
    <mergeCell ref="A191:A193"/>
    <mergeCell ref="F191:I191"/>
    <mergeCell ref="J191:M191"/>
    <mergeCell ref="N191:Q191"/>
    <mergeCell ref="R191:U191"/>
    <mergeCell ref="A151:A153"/>
    <mergeCell ref="B151:E151"/>
    <mergeCell ref="F151:I151"/>
    <mergeCell ref="J151:M151"/>
    <mergeCell ref="N151:Q151"/>
    <mergeCell ref="R151:U151"/>
    <mergeCell ref="B152:E152"/>
    <mergeCell ref="F152:I152"/>
    <mergeCell ref="J152:M152"/>
    <mergeCell ref="A161:A163"/>
    <mergeCell ref="F161:I161"/>
    <mergeCell ref="J161:M161"/>
    <mergeCell ref="N161:Q161"/>
    <mergeCell ref="R161:U161"/>
    <mergeCell ref="N172:Q172"/>
    <mergeCell ref="R172:U172"/>
    <mergeCell ref="A171:A173"/>
    <mergeCell ref="B171:E171"/>
    <mergeCell ref="F171:I171"/>
    <mergeCell ref="J171:M171"/>
    <mergeCell ref="N171:Q171"/>
    <mergeCell ref="R171:U171"/>
    <mergeCell ref="B172:E172"/>
    <mergeCell ref="F182:I182"/>
    <mergeCell ref="J182:M182"/>
    <mergeCell ref="N182:Q182"/>
    <mergeCell ref="R182:U182"/>
    <mergeCell ref="B191:E191"/>
    <mergeCell ref="B192:E192"/>
    <mergeCell ref="N2:Q2"/>
    <mergeCell ref="R2:U2"/>
    <mergeCell ref="A1:A3"/>
    <mergeCell ref="B1:E1"/>
    <mergeCell ref="F1:I1"/>
    <mergeCell ref="J1:M1"/>
    <mergeCell ref="N1:Q1"/>
    <mergeCell ref="R1:U1"/>
    <mergeCell ref="B2:E2"/>
    <mergeCell ref="F12:I12"/>
    <mergeCell ref="J12:M12"/>
    <mergeCell ref="N12:Q12"/>
    <mergeCell ref="R12:U12"/>
    <mergeCell ref="B21:E21"/>
    <mergeCell ref="B22:E22"/>
    <mergeCell ref="F22:I22"/>
    <mergeCell ref="J22:M22"/>
    <mergeCell ref="N22:Q22"/>
    <mergeCell ref="R22:U22"/>
    <mergeCell ref="F2:I2"/>
    <mergeCell ref="J2:M2"/>
    <mergeCell ref="A11:A13"/>
    <mergeCell ref="F11:I11"/>
    <mergeCell ref="J11:M11"/>
    <mergeCell ref="N11:Q11"/>
    <mergeCell ref="R11:U11"/>
    <mergeCell ref="B11:E11"/>
    <mergeCell ref="B12:E12"/>
    <mergeCell ref="A21:A23"/>
    <mergeCell ref="F21:I21"/>
    <mergeCell ref="J21:M21"/>
    <mergeCell ref="N21:Q21"/>
    <mergeCell ref="R21:U21"/>
    <mergeCell ref="N32:Q32"/>
    <mergeCell ref="R32:U32"/>
    <mergeCell ref="A31:A33"/>
    <mergeCell ref="B31:E31"/>
    <mergeCell ref="F31:I31"/>
    <mergeCell ref="J31:M31"/>
    <mergeCell ref="N31:Q31"/>
    <mergeCell ref="R31:U31"/>
    <mergeCell ref="B32:E32"/>
    <mergeCell ref="F42:I42"/>
    <mergeCell ref="J42:M42"/>
    <mergeCell ref="N42:Q42"/>
    <mergeCell ref="R42:U42"/>
    <mergeCell ref="B51:E51"/>
    <mergeCell ref="B52:E52"/>
    <mergeCell ref="F32:I32"/>
    <mergeCell ref="J32:M32"/>
    <mergeCell ref="A41:A43"/>
    <mergeCell ref="F41:I41"/>
    <mergeCell ref="J41:M41"/>
    <mergeCell ref="N41:Q41"/>
    <mergeCell ref="R41:U41"/>
    <mergeCell ref="N52:Q52"/>
    <mergeCell ref="R52:U52"/>
    <mergeCell ref="B41:E41"/>
    <mergeCell ref="B42:E42"/>
    <mergeCell ref="A51:A53"/>
    <mergeCell ref="F51:I51"/>
    <mergeCell ref="J51:M51"/>
    <mergeCell ref="N51:Q51"/>
    <mergeCell ref="R51:U51"/>
    <mergeCell ref="F62:I62"/>
    <mergeCell ref="J62:M62"/>
    <mergeCell ref="N62:Q62"/>
    <mergeCell ref="R62:U62"/>
    <mergeCell ref="B71:E71"/>
    <mergeCell ref="B72:E72"/>
    <mergeCell ref="F72:I72"/>
    <mergeCell ref="J72:M72"/>
    <mergeCell ref="F52:I52"/>
    <mergeCell ref="J52:M52"/>
    <mergeCell ref="A61:A63"/>
    <mergeCell ref="F61:I61"/>
    <mergeCell ref="J61:M61"/>
    <mergeCell ref="N61:Q61"/>
    <mergeCell ref="R61:U61"/>
    <mergeCell ref="N72:Q72"/>
    <mergeCell ref="R72:U72"/>
    <mergeCell ref="B61:E61"/>
    <mergeCell ref="B62:E62"/>
    <mergeCell ref="A71:A73"/>
    <mergeCell ref="F71:I71"/>
    <mergeCell ref="J71:M71"/>
    <mergeCell ref="N71:Q71"/>
    <mergeCell ref="R71:U71"/>
    <mergeCell ref="N82:Q82"/>
    <mergeCell ref="R82:U82"/>
    <mergeCell ref="B91:E91"/>
    <mergeCell ref="B92:E92"/>
    <mergeCell ref="F92:I92"/>
    <mergeCell ref="J92:M92"/>
    <mergeCell ref="N92:Q92"/>
    <mergeCell ref="R92:U92"/>
    <mergeCell ref="A81:A83"/>
    <mergeCell ref="B81:E81"/>
    <mergeCell ref="F81:I81"/>
    <mergeCell ref="J81:M81"/>
    <mergeCell ref="N81:Q81"/>
    <mergeCell ref="R81:U81"/>
    <mergeCell ref="B82:E82"/>
    <mergeCell ref="F82:I82"/>
    <mergeCell ref="J82:M82"/>
    <mergeCell ref="A91:A93"/>
    <mergeCell ref="F91:I91"/>
    <mergeCell ref="J91:M91"/>
    <mergeCell ref="N91:Q91"/>
    <mergeCell ref="R91:U91"/>
    <mergeCell ref="N102:Q102"/>
    <mergeCell ref="R102:U102"/>
    <mergeCell ref="A101:A103"/>
    <mergeCell ref="B101:E101"/>
    <mergeCell ref="F101:I101"/>
    <mergeCell ref="J101:M101"/>
    <mergeCell ref="N101:Q101"/>
    <mergeCell ref="R101:U101"/>
    <mergeCell ref="B102:E102"/>
    <mergeCell ref="F112:I112"/>
    <mergeCell ref="J112:M112"/>
    <mergeCell ref="N112:Q112"/>
    <mergeCell ref="R112:U112"/>
    <mergeCell ref="B121:E121"/>
    <mergeCell ref="B122:E122"/>
    <mergeCell ref="F102:I102"/>
    <mergeCell ref="J102:M102"/>
    <mergeCell ref="A111:A113"/>
    <mergeCell ref="F111:I111"/>
    <mergeCell ref="J111:M111"/>
    <mergeCell ref="N111:Q111"/>
    <mergeCell ref="R111:U111"/>
    <mergeCell ref="N122:Q122"/>
    <mergeCell ref="R122:U122"/>
    <mergeCell ref="B111:E111"/>
    <mergeCell ref="B112:E112"/>
    <mergeCell ref="A121:A123"/>
    <mergeCell ref="F121:I121"/>
    <mergeCell ref="J121:M121"/>
    <mergeCell ref="N121:Q121"/>
    <mergeCell ref="R121:U121"/>
    <mergeCell ref="F132:I132"/>
    <mergeCell ref="J132:M132"/>
    <mergeCell ref="N132:Q132"/>
    <mergeCell ref="R132:U132"/>
    <mergeCell ref="B141:E141"/>
    <mergeCell ref="B142:E142"/>
    <mergeCell ref="F142:I142"/>
    <mergeCell ref="J142:M142"/>
    <mergeCell ref="F122:I122"/>
    <mergeCell ref="J122:M122"/>
    <mergeCell ref="A131:A133"/>
    <mergeCell ref="F131:I131"/>
    <mergeCell ref="J131:M131"/>
    <mergeCell ref="N131:Q131"/>
    <mergeCell ref="R131:U131"/>
    <mergeCell ref="N142:Q142"/>
    <mergeCell ref="R142:U142"/>
    <mergeCell ref="B131:E131"/>
    <mergeCell ref="B132:E132"/>
    <mergeCell ref="A141:A143"/>
    <mergeCell ref="F141:I141"/>
    <mergeCell ref="J141:M141"/>
    <mergeCell ref="N141:Q141"/>
    <mergeCell ref="R141:U141"/>
    <mergeCell ref="N152:Q152"/>
    <mergeCell ref="R152:U152"/>
    <mergeCell ref="B161:E161"/>
    <mergeCell ref="B162:E162"/>
    <mergeCell ref="F162:I162"/>
    <mergeCell ref="J162:M162"/>
    <mergeCell ref="N162:Q162"/>
    <mergeCell ref="R162:U16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805</v>
      </c>
      <c r="B1" s="52" t="s">
        <v>935</v>
      </c>
      <c r="F1" s="53" t="s">
        <v>936</v>
      </c>
      <c r="J1" s="54" t="s">
        <v>937</v>
      </c>
      <c r="N1" s="55" t="s">
        <v>938</v>
      </c>
      <c r="R1" s="56" t="s">
        <v>939</v>
      </c>
    </row>
    <row r="2">
      <c r="B2" s="76" t="s">
        <v>412</v>
      </c>
      <c r="E2" s="58"/>
      <c r="F2" s="32" t="s">
        <v>940</v>
      </c>
      <c r="J2" s="76" t="s">
        <v>941</v>
      </c>
      <c r="M2" s="58"/>
      <c r="N2" s="76" t="s">
        <v>231</v>
      </c>
      <c r="Q2" s="58"/>
      <c r="R2" s="76" t="s">
        <v>942</v>
      </c>
      <c r="U2" s="58"/>
      <c r="Z2" s="77" t="s">
        <v>974</v>
      </c>
      <c r="AA2" s="78"/>
      <c r="AB2" s="78"/>
      <c r="AC2" s="79"/>
      <c r="AD2" s="15"/>
    </row>
    <row r="3">
      <c r="B3" s="80" t="s">
        <v>943</v>
      </c>
      <c r="C3" s="81" t="s">
        <v>944</v>
      </c>
      <c r="D3" s="81" t="s">
        <v>945</v>
      </c>
      <c r="E3" s="82"/>
      <c r="F3" s="80" t="s">
        <v>943</v>
      </c>
      <c r="G3" s="81" t="s">
        <v>944</v>
      </c>
      <c r="H3" s="81" t="s">
        <v>945</v>
      </c>
      <c r="I3" s="82"/>
      <c r="J3" s="80" t="s">
        <v>943</v>
      </c>
      <c r="K3" s="81" t="s">
        <v>944</v>
      </c>
      <c r="L3" s="81" t="s">
        <v>945</v>
      </c>
      <c r="M3" s="82"/>
      <c r="N3" s="80" t="s">
        <v>943</v>
      </c>
      <c r="O3" s="81" t="s">
        <v>944</v>
      </c>
      <c r="P3" s="81" t="s">
        <v>945</v>
      </c>
      <c r="Q3" s="82"/>
      <c r="R3" s="80" t="s">
        <v>943</v>
      </c>
      <c r="S3" s="81" t="s">
        <v>944</v>
      </c>
      <c r="T3" s="81" t="s">
        <v>945</v>
      </c>
      <c r="U3" s="82"/>
      <c r="V3" s="60" t="s">
        <v>943</v>
      </c>
      <c r="W3" s="61" t="s">
        <v>944</v>
      </c>
      <c r="X3" s="61" t="s">
        <v>945</v>
      </c>
      <c r="Z3" s="83"/>
      <c r="AA3" s="60" t="s">
        <v>943</v>
      </c>
      <c r="AB3" s="61" t="s">
        <v>944</v>
      </c>
      <c r="AC3" s="62" t="s">
        <v>945</v>
      </c>
      <c r="AD3" s="5"/>
    </row>
    <row r="4">
      <c r="A4" s="8" t="s">
        <v>946</v>
      </c>
      <c r="B4" s="70">
        <v>1.0</v>
      </c>
      <c r="C4" s="71">
        <v>1.0</v>
      </c>
      <c r="D4" s="71">
        <v>1.0</v>
      </c>
      <c r="E4" s="84"/>
      <c r="F4" s="70">
        <v>1.0</v>
      </c>
      <c r="G4" s="71">
        <v>1.0</v>
      </c>
      <c r="H4" s="71">
        <v>1.0</v>
      </c>
      <c r="I4" s="84"/>
      <c r="J4" s="70">
        <v>1.0</v>
      </c>
      <c r="K4" s="71">
        <v>1.0</v>
      </c>
      <c r="L4" s="71">
        <v>1.0</v>
      </c>
      <c r="M4" s="84"/>
      <c r="N4" s="70">
        <v>1.0</v>
      </c>
      <c r="O4" s="71">
        <v>1.0</v>
      </c>
      <c r="P4" s="71">
        <v>1.0</v>
      </c>
      <c r="Q4" s="84"/>
      <c r="R4" s="70">
        <v>1.0</v>
      </c>
      <c r="S4" s="71">
        <v>1.0</v>
      </c>
      <c r="T4" s="71">
        <v>1.0</v>
      </c>
      <c r="U4" s="84"/>
      <c r="V4" s="65">
        <f t="shared" ref="V4:X4" si="1">SUM(B4,F4,J4,N4,R4)</f>
        <v>5</v>
      </c>
      <c r="W4" s="65">
        <f t="shared" si="1"/>
        <v>5</v>
      </c>
      <c r="X4" s="65">
        <f t="shared" si="1"/>
        <v>5</v>
      </c>
      <c r="Z4" s="85" t="s">
        <v>946</v>
      </c>
      <c r="AA4" s="65">
        <f t="shared" ref="AA4:AC4" si="2">SUM(V4,V14,V24,V34,V44,V54,V64,V74,V84,V94,V104,V114,V124,V134,V144,V154,V164,V174,V184,V194)</f>
        <v>79</v>
      </c>
      <c r="AB4" s="65">
        <f t="shared" si="2"/>
        <v>80</v>
      </c>
      <c r="AC4" s="86">
        <f t="shared" si="2"/>
        <v>92</v>
      </c>
    </row>
    <row r="5">
      <c r="A5" s="87" t="s">
        <v>947</v>
      </c>
      <c r="B5" s="70">
        <v>1.0</v>
      </c>
      <c r="C5" s="71">
        <v>1.0</v>
      </c>
      <c r="D5" s="71">
        <v>1.0</v>
      </c>
      <c r="E5" s="84"/>
      <c r="F5" s="70">
        <v>1.0</v>
      </c>
      <c r="G5" s="71">
        <v>1.0</v>
      </c>
      <c r="H5" s="71">
        <v>1.0</v>
      </c>
      <c r="I5" s="84"/>
      <c r="J5" s="70">
        <v>1.0</v>
      </c>
      <c r="K5" s="71">
        <v>1.0</v>
      </c>
      <c r="L5" s="71">
        <v>1.0</v>
      </c>
      <c r="M5" s="84"/>
      <c r="N5" s="70">
        <v>1.0</v>
      </c>
      <c r="O5" s="71">
        <v>1.0</v>
      </c>
      <c r="P5" s="71">
        <v>1.0</v>
      </c>
      <c r="Q5" s="84"/>
      <c r="R5" s="70">
        <v>1.0</v>
      </c>
      <c r="S5" s="71">
        <v>1.0</v>
      </c>
      <c r="T5" s="71">
        <v>1.0</v>
      </c>
      <c r="U5" s="84"/>
      <c r="V5" s="65">
        <f t="shared" ref="V5:X5" si="3">SUM(B5,F5,J5,N5,R5)</f>
        <v>5</v>
      </c>
      <c r="W5" s="65">
        <f t="shared" si="3"/>
        <v>5</v>
      </c>
      <c r="X5" s="65">
        <f t="shared" si="3"/>
        <v>5</v>
      </c>
      <c r="Z5" s="85" t="s">
        <v>947</v>
      </c>
      <c r="AA5" s="65">
        <f t="shared" ref="AA5:AC5" si="4">SUM(V5,V15,V25,V35,V45,V55,V65,V75,V85,V95,V105,V115,V125,V135,V145,V155,V165,V175,V185,V195)</f>
        <v>93</v>
      </c>
      <c r="AB5" s="65">
        <f t="shared" si="4"/>
        <v>95</v>
      </c>
      <c r="AC5" s="86">
        <f t="shared" si="4"/>
        <v>97</v>
      </c>
    </row>
    <row r="6">
      <c r="A6" s="87" t="s">
        <v>948</v>
      </c>
      <c r="B6" s="70">
        <v>1.0</v>
      </c>
      <c r="C6" s="71">
        <v>1.0</v>
      </c>
      <c r="D6" s="71">
        <v>1.0</v>
      </c>
      <c r="E6" s="84"/>
      <c r="F6" s="70">
        <v>0.0</v>
      </c>
      <c r="G6" s="71">
        <v>0.0</v>
      </c>
      <c r="H6" s="71">
        <v>1.0</v>
      </c>
      <c r="I6" s="84"/>
      <c r="J6" s="70">
        <v>1.0</v>
      </c>
      <c r="K6" s="71">
        <v>1.0</v>
      </c>
      <c r="L6" s="71">
        <v>1.0</v>
      </c>
      <c r="M6" s="84"/>
      <c r="N6" s="70">
        <v>0.0</v>
      </c>
      <c r="O6" s="71">
        <v>0.0</v>
      </c>
      <c r="P6" s="71">
        <v>1.0</v>
      </c>
      <c r="Q6" s="84"/>
      <c r="R6" s="70">
        <v>1.0</v>
      </c>
      <c r="S6" s="71">
        <v>1.0</v>
      </c>
      <c r="T6" s="71">
        <v>1.0</v>
      </c>
      <c r="U6" s="84"/>
      <c r="V6" s="65">
        <f t="shared" ref="V6:X6" si="5">SUM(B6,F6,J6,N6,R6)</f>
        <v>3</v>
      </c>
      <c r="W6" s="65">
        <f t="shared" si="5"/>
        <v>3</v>
      </c>
      <c r="X6" s="65">
        <f t="shared" si="5"/>
        <v>5</v>
      </c>
      <c r="Z6" s="85" t="s">
        <v>948</v>
      </c>
      <c r="AA6" s="65">
        <f t="shared" ref="AA6:AC6" si="6">SUM(V6,V16,V26,V36,V46,V56,V66,V76,V86,V96,V106,V116,V126,V136,V146,V156,V166,V176,V186,V196)</f>
        <v>74</v>
      </c>
      <c r="AB6" s="65">
        <f t="shared" si="6"/>
        <v>74</v>
      </c>
      <c r="AC6" s="86">
        <f t="shared" si="6"/>
        <v>91</v>
      </c>
    </row>
    <row r="7">
      <c r="A7" s="87" t="s">
        <v>949</v>
      </c>
      <c r="B7" s="70">
        <v>1.0</v>
      </c>
      <c r="C7" s="71">
        <v>1.0</v>
      </c>
      <c r="D7" s="71">
        <v>1.0</v>
      </c>
      <c r="E7" s="84"/>
      <c r="F7" s="70">
        <v>1.0</v>
      </c>
      <c r="G7" s="71">
        <v>1.0</v>
      </c>
      <c r="H7" s="71">
        <v>1.0</v>
      </c>
      <c r="I7" s="84"/>
      <c r="J7" s="70">
        <v>1.0</v>
      </c>
      <c r="K7" s="71">
        <v>1.0</v>
      </c>
      <c r="L7" s="71">
        <v>1.0</v>
      </c>
      <c r="M7" s="84"/>
      <c r="N7" s="70">
        <v>1.0</v>
      </c>
      <c r="O7" s="71">
        <v>1.0</v>
      </c>
      <c r="P7" s="71">
        <v>1.0</v>
      </c>
      <c r="Q7" s="84"/>
      <c r="R7" s="70">
        <v>1.0</v>
      </c>
      <c r="S7" s="71">
        <v>1.0</v>
      </c>
      <c r="T7" s="71">
        <v>1.0</v>
      </c>
      <c r="U7" s="84"/>
      <c r="V7" s="65">
        <f t="shared" ref="V7:X7" si="7">SUM(B7,F7,J7,N7,R7)</f>
        <v>5</v>
      </c>
      <c r="W7" s="65">
        <f t="shared" si="7"/>
        <v>5</v>
      </c>
      <c r="X7" s="65">
        <f t="shared" si="7"/>
        <v>5</v>
      </c>
      <c r="Z7" s="85" t="s">
        <v>949</v>
      </c>
      <c r="AA7" s="65">
        <f t="shared" ref="AA7:AC7" si="8">SUM(V7,V17,V27,V37,V47,V57,V67,V77,V87,V97,V107,V117,V127,V137,V147,V157,V167,V177,V187,V197)</f>
        <v>92</v>
      </c>
      <c r="AB7" s="65">
        <f t="shared" si="8"/>
        <v>95</v>
      </c>
      <c r="AC7" s="86">
        <f t="shared" si="8"/>
        <v>97</v>
      </c>
    </row>
    <row r="8">
      <c r="A8" s="87" t="s">
        <v>950</v>
      </c>
      <c r="B8" s="70">
        <v>1.0</v>
      </c>
      <c r="C8" s="71">
        <v>1.0</v>
      </c>
      <c r="D8" s="71">
        <v>1.0</v>
      </c>
      <c r="E8" s="84"/>
      <c r="F8" s="70">
        <v>0.0</v>
      </c>
      <c r="G8" s="71">
        <v>1.0</v>
      </c>
      <c r="H8" s="71">
        <v>1.0</v>
      </c>
      <c r="I8" s="84"/>
      <c r="J8" s="70">
        <v>1.0</v>
      </c>
      <c r="K8" s="71">
        <v>1.0</v>
      </c>
      <c r="L8" s="71">
        <v>1.0</v>
      </c>
      <c r="M8" s="84"/>
      <c r="N8" s="70">
        <v>1.0</v>
      </c>
      <c r="O8" s="71">
        <v>1.0</v>
      </c>
      <c r="P8" s="71">
        <v>1.0</v>
      </c>
      <c r="Q8" s="84"/>
      <c r="R8" s="70">
        <v>1.0</v>
      </c>
      <c r="S8" s="71">
        <v>1.0</v>
      </c>
      <c r="T8" s="71">
        <v>1.0</v>
      </c>
      <c r="U8" s="84"/>
      <c r="V8" s="65">
        <f t="shared" ref="V8:X8" si="9">SUM(B8,F8,J8,N8,R8)</f>
        <v>4</v>
      </c>
      <c r="W8" s="65">
        <f t="shared" si="9"/>
        <v>5</v>
      </c>
      <c r="X8" s="65">
        <f t="shared" si="9"/>
        <v>5</v>
      </c>
      <c r="Z8" s="85" t="s">
        <v>950</v>
      </c>
      <c r="AA8" s="65">
        <f t="shared" ref="AA8:AC8" si="10">SUM(V8,V18,V28,V38,V48,V58,V68,V78,V88,V98,V108,V118,V128,V138,V148,V158,V168,V178,V188,V198)</f>
        <v>86</v>
      </c>
      <c r="AB8" s="65">
        <f t="shared" si="10"/>
        <v>88</v>
      </c>
      <c r="AC8" s="86">
        <f t="shared" si="10"/>
        <v>94</v>
      </c>
    </row>
    <row r="9">
      <c r="A9" s="87" t="s">
        <v>951</v>
      </c>
      <c r="B9" s="70">
        <v>1.0</v>
      </c>
      <c r="C9" s="71">
        <v>1.0</v>
      </c>
      <c r="D9" s="71">
        <v>1.0</v>
      </c>
      <c r="E9" s="84"/>
      <c r="F9" s="70">
        <v>1.0</v>
      </c>
      <c r="G9" s="71">
        <v>1.0</v>
      </c>
      <c r="H9" s="71">
        <v>1.0</v>
      </c>
      <c r="I9" s="84"/>
      <c r="J9" s="70">
        <v>1.0</v>
      </c>
      <c r="K9" s="71">
        <v>1.0</v>
      </c>
      <c r="L9" s="71">
        <v>1.0</v>
      </c>
      <c r="M9" s="84"/>
      <c r="N9" s="70">
        <v>1.0</v>
      </c>
      <c r="O9" s="71">
        <v>1.0</v>
      </c>
      <c r="P9" s="71">
        <v>1.0</v>
      </c>
      <c r="Q9" s="84"/>
      <c r="R9" s="70">
        <v>1.0</v>
      </c>
      <c r="S9" s="71">
        <v>1.0</v>
      </c>
      <c r="T9" s="71">
        <v>1.0</v>
      </c>
      <c r="U9" s="84"/>
      <c r="V9" s="65">
        <f t="shared" ref="V9:X9" si="11">SUM(B9,F9,J9,N9,R9)</f>
        <v>5</v>
      </c>
      <c r="W9" s="65">
        <f t="shared" si="11"/>
        <v>5</v>
      </c>
      <c r="X9" s="65">
        <f t="shared" si="11"/>
        <v>5</v>
      </c>
      <c r="Z9" s="85" t="s">
        <v>951</v>
      </c>
      <c r="AA9" s="65">
        <f t="shared" ref="AA9:AC9" si="12">SUM(V9,V19,V29,V39,V49,V59,V69,V79,V89,V99,V109,V119,V129,V139,V149,V159,V169,V179,V189,V199)</f>
        <v>93</v>
      </c>
      <c r="AB9" s="65">
        <f t="shared" si="12"/>
        <v>95</v>
      </c>
      <c r="AC9" s="86">
        <f t="shared" si="12"/>
        <v>96</v>
      </c>
    </row>
    <row r="10">
      <c r="A10" s="87" t="s">
        <v>952</v>
      </c>
      <c r="B10" s="72">
        <v>1.0</v>
      </c>
      <c r="C10" s="73">
        <v>1.0</v>
      </c>
      <c r="D10" s="73">
        <v>1.0</v>
      </c>
      <c r="E10" s="88"/>
      <c r="F10" s="72">
        <v>1.0</v>
      </c>
      <c r="G10" s="73">
        <v>1.0</v>
      </c>
      <c r="H10" s="73">
        <v>1.0</v>
      </c>
      <c r="I10" s="88"/>
      <c r="J10" s="72">
        <v>1.0</v>
      </c>
      <c r="K10" s="73">
        <v>1.0</v>
      </c>
      <c r="L10" s="73">
        <v>1.0</v>
      </c>
      <c r="M10" s="88"/>
      <c r="N10" s="72">
        <v>1.0</v>
      </c>
      <c r="O10" s="73">
        <v>1.0</v>
      </c>
      <c r="P10" s="73">
        <v>1.0</v>
      </c>
      <c r="Q10" s="88"/>
      <c r="R10" s="72">
        <v>1.0</v>
      </c>
      <c r="S10" s="73">
        <v>1.0</v>
      </c>
      <c r="T10" s="73">
        <v>1.0</v>
      </c>
      <c r="U10" s="88"/>
      <c r="V10" s="65">
        <f t="shared" ref="V10:X10" si="13">SUM(B10,F10,J10,N10,R10)</f>
        <v>5</v>
      </c>
      <c r="W10" s="65">
        <f t="shared" si="13"/>
        <v>5</v>
      </c>
      <c r="X10" s="65">
        <f t="shared" si="13"/>
        <v>5</v>
      </c>
      <c r="Z10" s="89"/>
      <c r="AA10" s="90"/>
      <c r="AB10" s="90"/>
      <c r="AC10" s="91"/>
    </row>
    <row r="11">
      <c r="A11" s="75" t="s">
        <v>443</v>
      </c>
      <c r="B11" s="52" t="s">
        <v>935</v>
      </c>
      <c r="F11" s="53" t="s">
        <v>936</v>
      </c>
      <c r="J11" s="54" t="s">
        <v>937</v>
      </c>
      <c r="N11" s="55" t="s">
        <v>938</v>
      </c>
      <c r="R11" s="56" t="s">
        <v>939</v>
      </c>
    </row>
    <row r="12">
      <c r="B12" s="76" t="s">
        <v>58</v>
      </c>
      <c r="E12" s="58"/>
      <c r="F12" s="92" t="s">
        <v>59</v>
      </c>
      <c r="I12" s="58"/>
      <c r="J12" s="76" t="s">
        <v>18</v>
      </c>
      <c r="M12" s="58"/>
      <c r="N12" s="76" t="s">
        <v>60</v>
      </c>
      <c r="Q12" s="58"/>
      <c r="R12" s="76" t="s">
        <v>61</v>
      </c>
      <c r="U12" s="58"/>
      <c r="Z12" s="15" t="s">
        <v>975</v>
      </c>
      <c r="AD12" s="15"/>
    </row>
    <row r="13">
      <c r="B13" s="80" t="s">
        <v>943</v>
      </c>
      <c r="C13" s="81" t="s">
        <v>944</v>
      </c>
      <c r="D13" s="81" t="s">
        <v>945</v>
      </c>
      <c r="E13" s="82"/>
      <c r="F13" s="80" t="s">
        <v>943</v>
      </c>
      <c r="G13" s="81" t="s">
        <v>944</v>
      </c>
      <c r="H13" s="81" t="s">
        <v>945</v>
      </c>
      <c r="I13" s="82"/>
      <c r="J13" s="80" t="s">
        <v>943</v>
      </c>
      <c r="K13" s="81" t="s">
        <v>944</v>
      </c>
      <c r="L13" s="81" t="s">
        <v>945</v>
      </c>
      <c r="M13" s="82"/>
      <c r="N13" s="80" t="s">
        <v>943</v>
      </c>
      <c r="O13" s="81" t="s">
        <v>944</v>
      </c>
      <c r="P13" s="81" t="s">
        <v>945</v>
      </c>
      <c r="Q13" s="82"/>
      <c r="R13" s="80" t="s">
        <v>943</v>
      </c>
      <c r="S13" s="81" t="s">
        <v>944</v>
      </c>
      <c r="T13" s="81" t="s">
        <v>945</v>
      </c>
      <c r="U13" s="82"/>
      <c r="AA13" s="15" t="s">
        <v>943</v>
      </c>
      <c r="AB13" s="15" t="s">
        <v>944</v>
      </c>
      <c r="AC13" s="15" t="s">
        <v>945</v>
      </c>
      <c r="AD13" s="15"/>
    </row>
    <row r="14">
      <c r="A14" s="8" t="s">
        <v>946</v>
      </c>
      <c r="B14" s="70">
        <v>1.0</v>
      </c>
      <c r="C14" s="71">
        <v>1.0</v>
      </c>
      <c r="D14" s="71">
        <v>1.0</v>
      </c>
      <c r="E14" s="84"/>
      <c r="F14" s="70">
        <v>1.0</v>
      </c>
      <c r="G14" s="71">
        <v>1.0</v>
      </c>
      <c r="H14" s="71">
        <v>1.0</v>
      </c>
      <c r="I14" s="84"/>
      <c r="J14" s="70">
        <v>1.0</v>
      </c>
      <c r="K14" s="71">
        <v>1.0</v>
      </c>
      <c r="L14" s="71">
        <v>1.0</v>
      </c>
      <c r="M14" s="84"/>
      <c r="N14" s="70">
        <v>1.0</v>
      </c>
      <c r="O14" s="71">
        <v>0.0</v>
      </c>
      <c r="P14" s="71">
        <v>1.0</v>
      </c>
      <c r="Q14" s="84"/>
      <c r="R14" s="70">
        <v>1.0</v>
      </c>
      <c r="S14" s="71">
        <v>1.0</v>
      </c>
      <c r="T14" s="71">
        <v>1.0</v>
      </c>
      <c r="U14" s="84"/>
      <c r="V14" s="65">
        <f t="shared" ref="V14:X14" si="14">SUM(B14,F14,J14,N14,R14)</f>
        <v>5</v>
      </c>
      <c r="W14" s="65">
        <f t="shared" si="14"/>
        <v>4</v>
      </c>
      <c r="X14" s="65">
        <f t="shared" si="14"/>
        <v>5</v>
      </c>
      <c r="Z14" s="15" t="s">
        <v>946</v>
      </c>
      <c r="AA14" s="65">
        <f>'review 1 - annotator 1 - eval'!X208</f>
        <v>81</v>
      </c>
      <c r="AB14" s="65">
        <f>'review 1 - annotator 1 - eval'!Y208</f>
        <v>86</v>
      </c>
      <c r="AC14" s="65">
        <f>'review 1 - annotator 1 - eval'!Z208</f>
        <v>94</v>
      </c>
    </row>
    <row r="15">
      <c r="A15" s="87" t="s">
        <v>947</v>
      </c>
      <c r="B15" s="70">
        <v>1.0</v>
      </c>
      <c r="C15" s="71">
        <v>1.0</v>
      </c>
      <c r="D15" s="71">
        <v>1.0</v>
      </c>
      <c r="E15" s="84"/>
      <c r="F15" s="70">
        <v>1.0</v>
      </c>
      <c r="G15" s="71">
        <v>1.0</v>
      </c>
      <c r="H15" s="71">
        <v>1.0</v>
      </c>
      <c r="I15" s="84"/>
      <c r="J15" s="70">
        <v>1.0</v>
      </c>
      <c r="K15" s="71">
        <v>1.0</v>
      </c>
      <c r="L15" s="71">
        <v>1.0</v>
      </c>
      <c r="M15" s="84"/>
      <c r="N15" s="70">
        <v>1.0</v>
      </c>
      <c r="O15" s="71">
        <v>1.0</v>
      </c>
      <c r="P15" s="71">
        <v>1.0</v>
      </c>
      <c r="Q15" s="84"/>
      <c r="R15" s="70">
        <v>1.0</v>
      </c>
      <c r="S15" s="71">
        <v>1.0</v>
      </c>
      <c r="T15" s="71">
        <v>1.0</v>
      </c>
      <c r="U15" s="84"/>
      <c r="V15" s="65">
        <f t="shared" ref="V15:X15" si="15">SUM(B15,F15,J15,N15,R15)</f>
        <v>5</v>
      </c>
      <c r="W15" s="65">
        <f t="shared" si="15"/>
        <v>5</v>
      </c>
      <c r="X15" s="65">
        <f t="shared" si="15"/>
        <v>5</v>
      </c>
      <c r="Z15" s="15" t="s">
        <v>947</v>
      </c>
      <c r="AA15" s="65">
        <f>'review 1 - annotator 1 - eval'!X209</f>
        <v>93</v>
      </c>
      <c r="AB15" s="65">
        <f>'review 1 - annotator 1 - eval'!Y209</f>
        <v>95</v>
      </c>
      <c r="AC15" s="65">
        <f>'review 1 - annotator 1 - eval'!Z209</f>
        <v>96</v>
      </c>
    </row>
    <row r="16">
      <c r="A16" s="87" t="s">
        <v>948</v>
      </c>
      <c r="B16" s="70">
        <v>1.0</v>
      </c>
      <c r="C16" s="71">
        <v>1.0</v>
      </c>
      <c r="D16" s="71">
        <v>1.0</v>
      </c>
      <c r="E16" s="84"/>
      <c r="F16" s="70">
        <v>1.0</v>
      </c>
      <c r="G16" s="71">
        <v>1.0</v>
      </c>
      <c r="H16" s="71">
        <v>1.0</v>
      </c>
      <c r="I16" s="84"/>
      <c r="J16" s="70">
        <v>1.0</v>
      </c>
      <c r="K16" s="71">
        <v>1.0</v>
      </c>
      <c r="L16" s="71">
        <v>1.0</v>
      </c>
      <c r="M16" s="84"/>
      <c r="N16" s="70">
        <v>1.0</v>
      </c>
      <c r="O16" s="71">
        <v>0.0</v>
      </c>
      <c r="P16" s="71">
        <v>1.0</v>
      </c>
      <c r="Q16" s="84"/>
      <c r="R16" s="70">
        <v>1.0</v>
      </c>
      <c r="S16" s="71">
        <v>1.0</v>
      </c>
      <c r="T16" s="71">
        <v>1.0</v>
      </c>
      <c r="U16" s="84"/>
      <c r="V16" s="65">
        <f t="shared" ref="V16:X16" si="16">SUM(B16,F16,J16,N16,R16)</f>
        <v>5</v>
      </c>
      <c r="W16" s="65">
        <f t="shared" si="16"/>
        <v>4</v>
      </c>
      <c r="X16" s="65">
        <f t="shared" si="16"/>
        <v>5</v>
      </c>
      <c r="Z16" s="15" t="s">
        <v>948</v>
      </c>
      <c r="AA16" s="65">
        <f>'review 1 - annotator 1 - eval'!X210</f>
        <v>70</v>
      </c>
      <c r="AB16" s="65">
        <f>'review 1 - annotator 1 - eval'!Y210</f>
        <v>79</v>
      </c>
      <c r="AC16" s="65">
        <f>'review 1 - annotator 1 - eval'!Z210</f>
        <v>90</v>
      </c>
    </row>
    <row r="17">
      <c r="A17" s="87" t="s">
        <v>949</v>
      </c>
      <c r="B17" s="70">
        <v>1.0</v>
      </c>
      <c r="C17" s="71">
        <v>1.0</v>
      </c>
      <c r="D17" s="71">
        <v>1.0</v>
      </c>
      <c r="E17" s="84"/>
      <c r="F17" s="70">
        <v>1.0</v>
      </c>
      <c r="G17" s="71">
        <v>1.0</v>
      </c>
      <c r="H17" s="71">
        <v>1.0</v>
      </c>
      <c r="I17" s="84"/>
      <c r="J17" s="70">
        <v>1.0</v>
      </c>
      <c r="K17" s="71">
        <v>1.0</v>
      </c>
      <c r="L17" s="71">
        <v>1.0</v>
      </c>
      <c r="M17" s="84"/>
      <c r="N17" s="70">
        <v>1.0</v>
      </c>
      <c r="O17" s="71">
        <v>1.0</v>
      </c>
      <c r="P17" s="71">
        <v>1.0</v>
      </c>
      <c r="Q17" s="84"/>
      <c r="R17" s="70">
        <v>1.0</v>
      </c>
      <c r="S17" s="71">
        <v>1.0</v>
      </c>
      <c r="T17" s="71">
        <v>1.0</v>
      </c>
      <c r="U17" s="84"/>
      <c r="V17" s="65">
        <f t="shared" ref="V17:X17" si="17">SUM(B17,F17,J17,N17,R17)</f>
        <v>5</v>
      </c>
      <c r="W17" s="65">
        <f t="shared" si="17"/>
        <v>5</v>
      </c>
      <c r="X17" s="65">
        <f t="shared" si="17"/>
        <v>5</v>
      </c>
      <c r="Z17" s="15" t="s">
        <v>949</v>
      </c>
      <c r="AA17" s="65">
        <f>'review 1 - annotator 1 - eval'!X211</f>
        <v>92</v>
      </c>
      <c r="AB17" s="65">
        <f>'review 1 - annotator 1 - eval'!Y211</f>
        <v>94</v>
      </c>
      <c r="AC17" s="65">
        <f>'review 1 - annotator 1 - eval'!Z211</f>
        <v>96</v>
      </c>
    </row>
    <row r="18">
      <c r="A18" s="87" t="s">
        <v>950</v>
      </c>
      <c r="B18" s="70">
        <v>1.0</v>
      </c>
      <c r="C18" s="71">
        <v>1.0</v>
      </c>
      <c r="D18" s="71">
        <v>1.0</v>
      </c>
      <c r="E18" s="84"/>
      <c r="F18" s="70">
        <v>0.0</v>
      </c>
      <c r="G18" s="71">
        <v>1.0</v>
      </c>
      <c r="H18" s="71">
        <v>1.0</v>
      </c>
      <c r="I18" s="84"/>
      <c r="J18" s="70">
        <v>1.0</v>
      </c>
      <c r="K18" s="71">
        <v>1.0</v>
      </c>
      <c r="L18" s="71">
        <v>1.0</v>
      </c>
      <c r="M18" s="84"/>
      <c r="N18" s="70">
        <v>1.0</v>
      </c>
      <c r="O18" s="71">
        <v>1.0</v>
      </c>
      <c r="P18" s="71">
        <v>1.0</v>
      </c>
      <c r="Q18" s="84"/>
      <c r="R18" s="70">
        <v>1.0</v>
      </c>
      <c r="S18" s="71">
        <v>1.0</v>
      </c>
      <c r="T18" s="71">
        <v>1.0</v>
      </c>
      <c r="U18" s="84"/>
      <c r="V18" s="65">
        <f t="shared" ref="V18:X18" si="18">SUM(B18,F18,J18,N18,R18)</f>
        <v>4</v>
      </c>
      <c r="W18" s="65">
        <f t="shared" si="18"/>
        <v>5</v>
      </c>
      <c r="X18" s="65">
        <f t="shared" si="18"/>
        <v>5</v>
      </c>
      <c r="Z18" s="15" t="s">
        <v>950</v>
      </c>
      <c r="AA18" s="65">
        <f>'review 1 - annotator 1 - eval'!X212</f>
        <v>83</v>
      </c>
      <c r="AB18" s="65">
        <f>'review 1 - annotator 1 - eval'!Y212</f>
        <v>87</v>
      </c>
      <c r="AC18" s="65">
        <f>'review 1 - annotator 1 - eval'!Z212</f>
        <v>95</v>
      </c>
    </row>
    <row r="19">
      <c r="A19" s="87" t="s">
        <v>951</v>
      </c>
      <c r="B19" s="70">
        <v>1.0</v>
      </c>
      <c r="C19" s="71">
        <v>1.0</v>
      </c>
      <c r="D19" s="71">
        <v>1.0</v>
      </c>
      <c r="E19" s="84"/>
      <c r="F19" s="70">
        <v>1.0</v>
      </c>
      <c r="G19" s="71">
        <v>1.0</v>
      </c>
      <c r="H19" s="71">
        <v>1.0</v>
      </c>
      <c r="I19" s="84"/>
      <c r="J19" s="70">
        <v>1.0</v>
      </c>
      <c r="K19" s="71">
        <v>1.0</v>
      </c>
      <c r="L19" s="71">
        <v>1.0</v>
      </c>
      <c r="M19" s="84"/>
      <c r="N19" s="70">
        <v>1.0</v>
      </c>
      <c r="O19" s="71">
        <v>1.0</v>
      </c>
      <c r="P19" s="71">
        <v>1.0</v>
      </c>
      <c r="Q19" s="84"/>
      <c r="R19" s="70">
        <v>1.0</v>
      </c>
      <c r="S19" s="71">
        <v>1.0</v>
      </c>
      <c r="T19" s="71">
        <v>1.0</v>
      </c>
      <c r="U19" s="84"/>
      <c r="V19" s="65">
        <f t="shared" ref="V19:X19" si="19">SUM(B19,F19,J19,N19,R19)</f>
        <v>5</v>
      </c>
      <c r="W19" s="65">
        <f t="shared" si="19"/>
        <v>5</v>
      </c>
      <c r="X19" s="65">
        <f t="shared" si="19"/>
        <v>5</v>
      </c>
      <c r="Z19" s="15" t="s">
        <v>951</v>
      </c>
      <c r="AA19" s="65">
        <f>'review 1 - annotator 1 - eval'!X213</f>
        <v>90</v>
      </c>
      <c r="AB19" s="65">
        <f>'review 1 - annotator 1 - eval'!Y213</f>
        <v>94</v>
      </c>
      <c r="AC19" s="65">
        <f>'review 1 - annotator 1 - eval'!Z213</f>
        <v>95</v>
      </c>
    </row>
    <row r="20">
      <c r="A20" s="87" t="s">
        <v>952</v>
      </c>
      <c r="B20" s="72">
        <v>1.0</v>
      </c>
      <c r="C20" s="73">
        <v>1.0</v>
      </c>
      <c r="D20" s="73">
        <v>1.0</v>
      </c>
      <c r="E20" s="88"/>
      <c r="F20" s="72">
        <v>1.0</v>
      </c>
      <c r="G20" s="73">
        <v>1.0</v>
      </c>
      <c r="H20" s="73">
        <v>1.0</v>
      </c>
      <c r="I20" s="88"/>
      <c r="J20" s="72">
        <v>1.0</v>
      </c>
      <c r="K20" s="73">
        <v>1.0</v>
      </c>
      <c r="L20" s="73">
        <v>1.0</v>
      </c>
      <c r="M20" s="88"/>
      <c r="N20" s="72">
        <v>1.0</v>
      </c>
      <c r="O20" s="73">
        <v>1.0</v>
      </c>
      <c r="P20" s="73">
        <v>1.0</v>
      </c>
      <c r="Q20" s="88"/>
      <c r="R20" s="72">
        <v>1.0</v>
      </c>
      <c r="S20" s="73">
        <v>1.0</v>
      </c>
      <c r="T20" s="73">
        <v>1.0</v>
      </c>
      <c r="U20" s="88"/>
      <c r="V20" s="65">
        <f t="shared" ref="V20:X20" si="20">SUM(B20,F20,J20,N20,R20)</f>
        <v>5</v>
      </c>
      <c r="W20" s="65">
        <f t="shared" si="20"/>
        <v>5</v>
      </c>
      <c r="X20" s="65">
        <f t="shared" si="20"/>
        <v>5</v>
      </c>
    </row>
    <row r="21">
      <c r="A21" s="75" t="s">
        <v>462</v>
      </c>
      <c r="B21" s="52" t="s">
        <v>935</v>
      </c>
      <c r="F21" s="53" t="s">
        <v>936</v>
      </c>
      <c r="J21" s="54" t="s">
        <v>937</v>
      </c>
      <c r="N21" s="55" t="s">
        <v>938</v>
      </c>
      <c r="R21" s="56" t="s">
        <v>939</v>
      </c>
    </row>
    <row r="22">
      <c r="B22" s="76" t="s">
        <v>149</v>
      </c>
      <c r="E22" s="58"/>
      <c r="F22" s="69" t="s">
        <v>150</v>
      </c>
      <c r="I22" s="58"/>
      <c r="J22" s="76" t="s">
        <v>18</v>
      </c>
      <c r="M22" s="58"/>
      <c r="N22" s="76" t="s">
        <v>152</v>
      </c>
      <c r="Q22" s="58"/>
      <c r="R22" s="57" t="s">
        <v>953</v>
      </c>
      <c r="U22" s="58"/>
      <c r="AA22" s="15" t="s">
        <v>976</v>
      </c>
      <c r="AB22" s="15" t="s">
        <v>977</v>
      </c>
      <c r="AC22" s="15" t="s">
        <v>978</v>
      </c>
    </row>
    <row r="23">
      <c r="B23" s="80" t="s">
        <v>943</v>
      </c>
      <c r="C23" s="81" t="s">
        <v>944</v>
      </c>
      <c r="D23" s="81" t="s">
        <v>945</v>
      </c>
      <c r="E23" s="82"/>
      <c r="F23" s="80" t="s">
        <v>943</v>
      </c>
      <c r="G23" s="81" t="s">
        <v>944</v>
      </c>
      <c r="H23" s="81" t="s">
        <v>945</v>
      </c>
      <c r="I23" s="82"/>
      <c r="J23" s="80" t="s">
        <v>943</v>
      </c>
      <c r="K23" s="81" t="s">
        <v>944</v>
      </c>
      <c r="L23" s="81" t="s">
        <v>945</v>
      </c>
      <c r="M23" s="82"/>
      <c r="N23" s="80" t="s">
        <v>943</v>
      </c>
      <c r="O23" s="81" t="s">
        <v>944</v>
      </c>
      <c r="P23" s="81" t="s">
        <v>945</v>
      </c>
      <c r="Q23" s="82"/>
      <c r="R23" s="80" t="s">
        <v>943</v>
      </c>
      <c r="S23" s="81" t="s">
        <v>944</v>
      </c>
      <c r="T23" s="81" t="s">
        <v>945</v>
      </c>
      <c r="U23" s="82"/>
      <c r="Z23" s="15" t="str">
        <f t="shared" ref="Z23:Z28" si="23">Z4</f>
        <v>Factual Accuracy / Correctness</v>
      </c>
      <c r="AA23" s="65">
        <f t="shared" ref="AA23:AC23" si="21">(AA4+AA14)/2</f>
        <v>80</v>
      </c>
      <c r="AB23" s="65">
        <f t="shared" si="21"/>
        <v>83</v>
      </c>
      <c r="AC23" s="65">
        <f t="shared" si="21"/>
        <v>93</v>
      </c>
    </row>
    <row r="24">
      <c r="A24" s="8" t="s">
        <v>946</v>
      </c>
      <c r="B24" s="70">
        <v>1.0</v>
      </c>
      <c r="C24" s="71">
        <v>1.0</v>
      </c>
      <c r="D24" s="71">
        <v>1.0</v>
      </c>
      <c r="E24" s="84"/>
      <c r="F24" s="70">
        <v>1.0</v>
      </c>
      <c r="G24" s="71">
        <v>1.0</v>
      </c>
      <c r="H24" s="71">
        <v>1.0</v>
      </c>
      <c r="I24" s="84"/>
      <c r="J24" s="70">
        <v>1.0</v>
      </c>
      <c r="K24" s="71">
        <v>1.0</v>
      </c>
      <c r="L24" s="71">
        <v>0.0</v>
      </c>
      <c r="M24" s="84"/>
      <c r="N24" s="70">
        <v>1.0</v>
      </c>
      <c r="O24" s="71">
        <v>1.0</v>
      </c>
      <c r="P24" s="71">
        <v>1.0</v>
      </c>
      <c r="Q24" s="84"/>
      <c r="R24" s="70">
        <v>0.0</v>
      </c>
      <c r="S24" s="71">
        <v>1.0</v>
      </c>
      <c r="T24" s="71">
        <v>1.0</v>
      </c>
      <c r="U24" s="84"/>
      <c r="V24" s="65">
        <f t="shared" ref="V24:X24" si="22">SUM(B24,F24,J24,N24,R24)</f>
        <v>4</v>
      </c>
      <c r="W24" s="65">
        <f t="shared" si="22"/>
        <v>5</v>
      </c>
      <c r="X24" s="65">
        <f t="shared" si="22"/>
        <v>4</v>
      </c>
      <c r="Z24" s="15" t="str">
        <f t="shared" si="23"/>
        <v>Hallucination Detection</v>
      </c>
      <c r="AA24" s="65">
        <f t="shared" ref="AA24:AC24" si="24">(AA5+AA15)/2</f>
        <v>93</v>
      </c>
      <c r="AB24" s="65">
        <f t="shared" si="24"/>
        <v>95</v>
      </c>
      <c r="AC24" s="65">
        <f t="shared" si="24"/>
        <v>96.5</v>
      </c>
    </row>
    <row r="25">
      <c r="A25" s="87" t="s">
        <v>947</v>
      </c>
      <c r="B25" s="70">
        <v>1.0</v>
      </c>
      <c r="C25" s="71">
        <v>1.0</v>
      </c>
      <c r="D25" s="71">
        <v>1.0</v>
      </c>
      <c r="E25" s="84"/>
      <c r="F25" s="70">
        <v>1.0</v>
      </c>
      <c r="G25" s="71">
        <v>1.0</v>
      </c>
      <c r="H25" s="71">
        <v>1.0</v>
      </c>
      <c r="I25" s="84"/>
      <c r="J25" s="70">
        <v>1.0</v>
      </c>
      <c r="K25" s="71">
        <v>1.0</v>
      </c>
      <c r="L25" s="71">
        <v>0.0</v>
      </c>
      <c r="M25" s="84"/>
      <c r="N25" s="70">
        <v>1.0</v>
      </c>
      <c r="O25" s="71">
        <v>1.0</v>
      </c>
      <c r="P25" s="71">
        <v>1.0</v>
      </c>
      <c r="Q25" s="93" t="s">
        <v>979</v>
      </c>
      <c r="R25" s="70">
        <v>1.0</v>
      </c>
      <c r="S25" s="71">
        <v>1.0</v>
      </c>
      <c r="T25" s="71">
        <v>1.0</v>
      </c>
      <c r="U25" s="84"/>
      <c r="V25" s="65">
        <f t="shared" ref="V25:X25" si="25">SUM(B25,F25,J25,N25,R25)</f>
        <v>5</v>
      </c>
      <c r="W25" s="65">
        <f t="shared" si="25"/>
        <v>5</v>
      </c>
      <c r="X25" s="65">
        <f t="shared" si="25"/>
        <v>4</v>
      </c>
      <c r="Z25" s="15" t="str">
        <f t="shared" si="23"/>
        <v>Completeness</v>
      </c>
      <c r="AA25" s="65">
        <f t="shared" ref="AA25:AC25" si="26">(AA6+AA16)/2</f>
        <v>72</v>
      </c>
      <c r="AB25" s="65">
        <f t="shared" si="26"/>
        <v>76.5</v>
      </c>
      <c r="AC25" s="65">
        <f t="shared" si="26"/>
        <v>90.5</v>
      </c>
    </row>
    <row r="26">
      <c r="A26" s="87" t="s">
        <v>948</v>
      </c>
      <c r="B26" s="70">
        <v>1.0</v>
      </c>
      <c r="C26" s="71">
        <v>1.0</v>
      </c>
      <c r="D26" s="71">
        <v>1.0</v>
      </c>
      <c r="E26" s="84"/>
      <c r="F26" s="70">
        <v>1.0</v>
      </c>
      <c r="G26" s="71">
        <v>1.0</v>
      </c>
      <c r="H26" s="71">
        <v>1.0</v>
      </c>
      <c r="I26" s="84"/>
      <c r="J26" s="70">
        <v>0.0</v>
      </c>
      <c r="K26" s="71">
        <v>1.0</v>
      </c>
      <c r="L26" s="71">
        <v>0.0</v>
      </c>
      <c r="M26" s="84"/>
      <c r="N26" s="70">
        <v>0.0</v>
      </c>
      <c r="O26" s="71">
        <v>0.0</v>
      </c>
      <c r="P26" s="71">
        <v>0.0</v>
      </c>
      <c r="Q26" s="84"/>
      <c r="R26" s="70">
        <v>0.0</v>
      </c>
      <c r="S26" s="71">
        <v>1.0</v>
      </c>
      <c r="T26" s="71">
        <v>1.0</v>
      </c>
      <c r="U26" s="84"/>
      <c r="V26" s="65">
        <f t="shared" ref="V26:X26" si="27">SUM(B26,F26,J26,N26,R26)</f>
        <v>2</v>
      </c>
      <c r="W26" s="65">
        <f t="shared" si="27"/>
        <v>4</v>
      </c>
      <c r="X26" s="65">
        <f t="shared" si="27"/>
        <v>3</v>
      </c>
      <c r="Z26" s="15" t="str">
        <f t="shared" si="23"/>
        <v>Relevance / Answerable</v>
      </c>
      <c r="AA26" s="65">
        <f t="shared" ref="AA26:AC26" si="28">(AA7+AA17)/2</f>
        <v>92</v>
      </c>
      <c r="AB26" s="65">
        <f t="shared" si="28"/>
        <v>94.5</v>
      </c>
      <c r="AC26" s="65">
        <f t="shared" si="28"/>
        <v>96.5</v>
      </c>
    </row>
    <row r="27">
      <c r="A27" s="87" t="s">
        <v>949</v>
      </c>
      <c r="B27" s="70">
        <v>1.0</v>
      </c>
      <c r="C27" s="71">
        <v>1.0</v>
      </c>
      <c r="D27" s="71">
        <v>1.0</v>
      </c>
      <c r="E27" s="84"/>
      <c r="F27" s="70">
        <v>1.0</v>
      </c>
      <c r="G27" s="71">
        <v>1.0</v>
      </c>
      <c r="H27" s="71">
        <v>1.0</v>
      </c>
      <c r="I27" s="84"/>
      <c r="J27" s="70">
        <v>1.0</v>
      </c>
      <c r="K27" s="71">
        <v>1.0</v>
      </c>
      <c r="L27" s="71">
        <v>1.0</v>
      </c>
      <c r="M27" s="84"/>
      <c r="N27" s="70">
        <v>1.0</v>
      </c>
      <c r="O27" s="71">
        <v>1.0</v>
      </c>
      <c r="P27" s="71">
        <v>1.0</v>
      </c>
      <c r="Q27" s="84"/>
      <c r="R27" s="70">
        <v>1.0</v>
      </c>
      <c r="S27" s="71">
        <v>1.0</v>
      </c>
      <c r="T27" s="71">
        <v>1.0</v>
      </c>
      <c r="U27" s="84"/>
      <c r="V27" s="65">
        <f t="shared" ref="V27:X27" si="29">SUM(B27,F27,J27,N27,R27)</f>
        <v>5</v>
      </c>
      <c r="W27" s="65">
        <f t="shared" si="29"/>
        <v>5</v>
      </c>
      <c r="X27" s="65">
        <f t="shared" si="29"/>
        <v>5</v>
      </c>
      <c r="Z27" s="15" t="str">
        <f t="shared" si="23"/>
        <v>Extraneous Information</v>
      </c>
      <c r="AA27" s="65">
        <f t="shared" ref="AA27:AC27" si="30">(AA8+AA18)/2</f>
        <v>84.5</v>
      </c>
      <c r="AB27" s="65">
        <f t="shared" si="30"/>
        <v>87.5</v>
      </c>
      <c r="AC27" s="65">
        <f t="shared" si="30"/>
        <v>94.5</v>
      </c>
    </row>
    <row r="28">
      <c r="A28" s="87" t="s">
        <v>950</v>
      </c>
      <c r="B28" s="70">
        <v>1.0</v>
      </c>
      <c r="C28" s="71">
        <v>0.0</v>
      </c>
      <c r="D28" s="71">
        <v>1.0</v>
      </c>
      <c r="E28" s="84"/>
      <c r="F28" s="70">
        <v>1.0</v>
      </c>
      <c r="G28" s="87">
        <v>1.0</v>
      </c>
      <c r="H28" s="71">
        <v>0.0</v>
      </c>
      <c r="I28" s="84"/>
      <c r="J28" s="70">
        <v>1.0</v>
      </c>
      <c r="K28" s="71">
        <v>1.0</v>
      </c>
      <c r="L28" s="71">
        <v>1.0</v>
      </c>
      <c r="M28" s="84"/>
      <c r="N28" s="70">
        <v>1.0</v>
      </c>
      <c r="O28" s="71">
        <v>1.0</v>
      </c>
      <c r="P28" s="71">
        <v>1.0</v>
      </c>
      <c r="Q28" s="84"/>
      <c r="R28" s="70">
        <v>1.0</v>
      </c>
      <c r="S28" s="71">
        <v>1.0</v>
      </c>
      <c r="T28" s="71">
        <v>1.0</v>
      </c>
      <c r="U28" s="84"/>
      <c r="V28" s="65">
        <f t="shared" ref="V28:X28" si="31">SUM(B28,F28,J28,N28,R28)</f>
        <v>5</v>
      </c>
      <c r="W28" s="65">
        <f t="shared" si="31"/>
        <v>4</v>
      </c>
      <c r="X28" s="65">
        <f t="shared" si="31"/>
        <v>4</v>
      </c>
      <c r="Z28" s="15" t="str">
        <f t="shared" si="23"/>
        <v>Source Locatability</v>
      </c>
      <c r="AA28" s="65">
        <f t="shared" ref="AA28:AC28" si="32">(AA9+AA19)/2</f>
        <v>91.5</v>
      </c>
      <c r="AB28" s="65">
        <f t="shared" si="32"/>
        <v>94.5</v>
      </c>
      <c r="AC28" s="65">
        <f t="shared" si="32"/>
        <v>95.5</v>
      </c>
    </row>
    <row r="29">
      <c r="A29" s="87" t="s">
        <v>951</v>
      </c>
      <c r="B29" s="70">
        <v>1.0</v>
      </c>
      <c r="C29" s="71">
        <v>1.0</v>
      </c>
      <c r="D29" s="71">
        <v>1.0</v>
      </c>
      <c r="E29" s="84"/>
      <c r="F29" s="70">
        <v>1.0</v>
      </c>
      <c r="G29" s="71">
        <v>1.0</v>
      </c>
      <c r="H29" s="71">
        <v>1.0</v>
      </c>
      <c r="I29" s="84"/>
      <c r="J29" s="70">
        <v>1.0</v>
      </c>
      <c r="K29" s="71">
        <v>1.0</v>
      </c>
      <c r="L29" s="71">
        <v>0.0</v>
      </c>
      <c r="M29" s="84"/>
      <c r="N29" s="70">
        <v>1.0</v>
      </c>
      <c r="O29" s="71">
        <v>1.0</v>
      </c>
      <c r="P29" s="71">
        <v>1.0</v>
      </c>
      <c r="Q29" s="84"/>
      <c r="R29" s="70">
        <v>1.0</v>
      </c>
      <c r="S29" s="71">
        <v>1.0</v>
      </c>
      <c r="T29" s="71">
        <v>1.0</v>
      </c>
      <c r="U29" s="84"/>
      <c r="V29" s="65">
        <f t="shared" ref="V29:X29" si="33">SUM(B29,F29,J29,N29,R29)</f>
        <v>5</v>
      </c>
      <c r="W29" s="65">
        <f t="shared" si="33"/>
        <v>5</v>
      </c>
      <c r="X29" s="65">
        <f t="shared" si="33"/>
        <v>4</v>
      </c>
      <c r="Z29" s="15"/>
      <c r="AA29" s="65">
        <f t="shared" ref="AA29:AC29" si="34">SUM(AA23,AA24,AA25,AA27,AA28)/5</f>
        <v>84.2</v>
      </c>
      <c r="AB29" s="65">
        <f t="shared" si="34"/>
        <v>87.3</v>
      </c>
      <c r="AC29" s="65">
        <f t="shared" si="34"/>
        <v>94</v>
      </c>
    </row>
    <row r="30">
      <c r="A30" s="87" t="s">
        <v>952</v>
      </c>
      <c r="B30" s="72">
        <v>1.0</v>
      </c>
      <c r="C30" s="73">
        <v>1.0</v>
      </c>
      <c r="D30" s="73">
        <v>1.0</v>
      </c>
      <c r="E30" s="88"/>
      <c r="F30" s="72">
        <v>1.0</v>
      </c>
      <c r="G30" s="73">
        <v>1.0</v>
      </c>
      <c r="H30" s="73">
        <v>1.0</v>
      </c>
      <c r="I30" s="88"/>
      <c r="J30" s="72">
        <v>1.0</v>
      </c>
      <c r="K30" s="73">
        <v>1.0</v>
      </c>
      <c r="L30" s="73">
        <v>1.0</v>
      </c>
      <c r="M30" s="88"/>
      <c r="N30" s="72">
        <v>1.0</v>
      </c>
      <c r="O30" s="73">
        <v>1.0</v>
      </c>
      <c r="P30" s="73">
        <v>1.0</v>
      </c>
      <c r="Q30" s="88"/>
      <c r="R30" s="72">
        <v>1.0</v>
      </c>
      <c r="S30" s="73">
        <v>1.0</v>
      </c>
      <c r="T30" s="73">
        <v>1.0</v>
      </c>
      <c r="U30" s="88"/>
      <c r="V30" s="65">
        <f t="shared" ref="V30:X30" si="35">SUM(B30,F30,J30,N30,R30)</f>
        <v>5</v>
      </c>
      <c r="W30" s="65">
        <f t="shared" si="35"/>
        <v>5</v>
      </c>
      <c r="X30" s="65">
        <f t="shared" si="35"/>
        <v>5</v>
      </c>
    </row>
    <row r="31">
      <c r="A31" s="75" t="s">
        <v>471</v>
      </c>
      <c r="B31" s="52" t="s">
        <v>935</v>
      </c>
      <c r="F31" s="53" t="s">
        <v>936</v>
      </c>
      <c r="J31" s="54" t="s">
        <v>937</v>
      </c>
      <c r="N31" s="55" t="s">
        <v>938</v>
      </c>
      <c r="R31" s="56" t="s">
        <v>939</v>
      </c>
    </row>
    <row r="32">
      <c r="B32" s="76" t="s">
        <v>387</v>
      </c>
      <c r="E32" s="58"/>
      <c r="F32" s="92" t="s">
        <v>385</v>
      </c>
      <c r="I32" s="58"/>
      <c r="J32" s="76" t="s">
        <v>18</v>
      </c>
      <c r="M32" s="58"/>
      <c r="N32" s="76" t="s">
        <v>186</v>
      </c>
      <c r="Q32" s="58"/>
      <c r="R32" s="76" t="s">
        <v>187</v>
      </c>
      <c r="U32" s="58"/>
    </row>
    <row r="33">
      <c r="B33" s="80" t="s">
        <v>943</v>
      </c>
      <c r="C33" s="81" t="s">
        <v>944</v>
      </c>
      <c r="D33" s="81" t="s">
        <v>945</v>
      </c>
      <c r="E33" s="82"/>
      <c r="F33" s="80" t="s">
        <v>943</v>
      </c>
      <c r="G33" s="81" t="s">
        <v>944</v>
      </c>
      <c r="H33" s="81" t="s">
        <v>945</v>
      </c>
      <c r="I33" s="82"/>
      <c r="J33" s="80" t="s">
        <v>943</v>
      </c>
      <c r="K33" s="81" t="s">
        <v>944</v>
      </c>
      <c r="L33" s="81" t="s">
        <v>945</v>
      </c>
      <c r="M33" s="82"/>
      <c r="N33" s="80" t="s">
        <v>943</v>
      </c>
      <c r="O33" s="81" t="s">
        <v>944</v>
      </c>
      <c r="P33" s="81" t="s">
        <v>945</v>
      </c>
      <c r="Q33" s="82"/>
      <c r="R33" s="80" t="s">
        <v>943</v>
      </c>
      <c r="S33" s="81" t="s">
        <v>944</v>
      </c>
      <c r="T33" s="81" t="s">
        <v>945</v>
      </c>
      <c r="U33" s="82"/>
    </row>
    <row r="34">
      <c r="A34" s="8" t="s">
        <v>946</v>
      </c>
      <c r="B34" s="70">
        <v>0.0</v>
      </c>
      <c r="C34" s="71">
        <v>0.0</v>
      </c>
      <c r="D34" s="71">
        <v>1.0</v>
      </c>
      <c r="E34" s="84"/>
      <c r="F34" s="71">
        <v>1.0</v>
      </c>
      <c r="G34" s="71">
        <v>0.0</v>
      </c>
      <c r="H34" s="71">
        <v>1.0</v>
      </c>
      <c r="I34" s="84"/>
      <c r="J34" s="70">
        <v>1.0</v>
      </c>
      <c r="K34" s="71">
        <v>1.0</v>
      </c>
      <c r="L34" s="71">
        <v>1.0</v>
      </c>
      <c r="M34" s="84"/>
      <c r="N34" s="70">
        <v>1.0</v>
      </c>
      <c r="O34" s="71">
        <v>0.0</v>
      </c>
      <c r="P34" s="71">
        <v>0.0</v>
      </c>
      <c r="Q34" s="84"/>
      <c r="R34" s="70">
        <v>0.0</v>
      </c>
      <c r="S34" s="71">
        <v>1.0</v>
      </c>
      <c r="T34" s="71">
        <v>1.0</v>
      </c>
      <c r="U34" s="84"/>
      <c r="V34" s="65">
        <f t="shared" ref="V34:X34" si="36">SUM(B34,F34,J34,N34,R34)</f>
        <v>3</v>
      </c>
      <c r="W34" s="65">
        <f t="shared" si="36"/>
        <v>2</v>
      </c>
      <c r="X34" s="65">
        <f t="shared" si="36"/>
        <v>4</v>
      </c>
    </row>
    <row r="35">
      <c r="A35" s="87" t="s">
        <v>947</v>
      </c>
      <c r="B35" s="70">
        <v>1.0</v>
      </c>
      <c r="C35" s="71">
        <v>1.0</v>
      </c>
      <c r="D35" s="71">
        <v>1.0</v>
      </c>
      <c r="E35" s="84"/>
      <c r="F35" s="71">
        <v>1.0</v>
      </c>
      <c r="G35" s="71">
        <v>0.0</v>
      </c>
      <c r="H35" s="71">
        <v>1.0</v>
      </c>
      <c r="I35" s="84"/>
      <c r="J35" s="70">
        <v>1.0</v>
      </c>
      <c r="K35" s="71">
        <v>1.0</v>
      </c>
      <c r="L35" s="71">
        <v>1.0</v>
      </c>
      <c r="M35" s="84"/>
      <c r="N35" s="70">
        <v>1.0</v>
      </c>
      <c r="O35" s="71">
        <v>1.0</v>
      </c>
      <c r="P35" s="71">
        <v>1.0</v>
      </c>
      <c r="Q35" s="84"/>
      <c r="R35" s="70">
        <v>0.0</v>
      </c>
      <c r="S35" s="71">
        <v>1.0</v>
      </c>
      <c r="T35" s="71">
        <v>1.0</v>
      </c>
      <c r="U35" s="84"/>
      <c r="V35" s="65">
        <f t="shared" ref="V35:X35" si="37">SUM(B35,F35,J35,N35,R35)</f>
        <v>4</v>
      </c>
      <c r="W35" s="65">
        <f t="shared" si="37"/>
        <v>4</v>
      </c>
      <c r="X35" s="65">
        <f t="shared" si="37"/>
        <v>5</v>
      </c>
    </row>
    <row r="36">
      <c r="A36" s="87" t="s">
        <v>948</v>
      </c>
      <c r="B36" s="70">
        <v>1.0</v>
      </c>
      <c r="C36" s="71">
        <v>1.0</v>
      </c>
      <c r="D36" s="71">
        <v>1.0</v>
      </c>
      <c r="E36" s="84"/>
      <c r="F36" s="71">
        <v>1.0</v>
      </c>
      <c r="G36" s="71">
        <v>0.0</v>
      </c>
      <c r="H36" s="71">
        <v>1.0</v>
      </c>
      <c r="I36" s="84"/>
      <c r="J36" s="70">
        <v>1.0</v>
      </c>
      <c r="K36" s="71">
        <v>1.0</v>
      </c>
      <c r="L36" s="71">
        <v>1.0</v>
      </c>
      <c r="M36" s="84"/>
      <c r="N36" s="70">
        <v>1.0</v>
      </c>
      <c r="O36" s="71">
        <v>0.0</v>
      </c>
      <c r="P36" s="71">
        <v>0.0</v>
      </c>
      <c r="Q36" s="84"/>
      <c r="R36" s="70">
        <v>0.0</v>
      </c>
      <c r="S36" s="71">
        <v>1.0</v>
      </c>
      <c r="T36" s="71">
        <v>1.0</v>
      </c>
      <c r="U36" s="84"/>
      <c r="V36" s="65">
        <f t="shared" ref="V36:X36" si="38">SUM(B36,F36,J36,N36,R36)</f>
        <v>4</v>
      </c>
      <c r="W36" s="65">
        <f t="shared" si="38"/>
        <v>3</v>
      </c>
      <c r="X36" s="65">
        <f t="shared" si="38"/>
        <v>4</v>
      </c>
    </row>
    <row r="37">
      <c r="A37" s="87" t="s">
        <v>949</v>
      </c>
      <c r="B37" s="70">
        <v>1.0</v>
      </c>
      <c r="C37" s="71">
        <v>1.0</v>
      </c>
      <c r="D37" s="71">
        <v>1.0</v>
      </c>
      <c r="E37" s="84"/>
      <c r="F37" s="71">
        <v>1.0</v>
      </c>
      <c r="G37" s="71">
        <v>1.0</v>
      </c>
      <c r="H37" s="71">
        <v>1.0</v>
      </c>
      <c r="I37" s="84"/>
      <c r="J37" s="70">
        <v>1.0</v>
      </c>
      <c r="K37" s="71">
        <v>1.0</v>
      </c>
      <c r="L37" s="71">
        <v>1.0</v>
      </c>
      <c r="M37" s="84"/>
      <c r="N37" s="70">
        <v>1.0</v>
      </c>
      <c r="O37" s="71">
        <v>1.0</v>
      </c>
      <c r="P37" s="71">
        <v>1.0</v>
      </c>
      <c r="Q37" s="84"/>
      <c r="R37" s="70">
        <v>0.0</v>
      </c>
      <c r="S37" s="71">
        <v>1.0</v>
      </c>
      <c r="T37" s="71">
        <v>1.0</v>
      </c>
      <c r="U37" s="84"/>
      <c r="V37" s="65">
        <f t="shared" ref="V37:X37" si="39">SUM(B37,F37,J37,N37,R37)</f>
        <v>4</v>
      </c>
      <c r="W37" s="65">
        <f t="shared" si="39"/>
        <v>5</v>
      </c>
      <c r="X37" s="65">
        <f t="shared" si="39"/>
        <v>5</v>
      </c>
    </row>
    <row r="38">
      <c r="A38" s="87" t="s">
        <v>950</v>
      </c>
      <c r="B38" s="70">
        <v>0.0</v>
      </c>
      <c r="C38" s="71">
        <v>0.0</v>
      </c>
      <c r="D38" s="71">
        <v>1.0</v>
      </c>
      <c r="E38" s="84"/>
      <c r="F38" s="71">
        <v>1.0</v>
      </c>
      <c r="G38" s="71">
        <v>0.0</v>
      </c>
      <c r="H38" s="71">
        <v>1.0</v>
      </c>
      <c r="I38" s="84"/>
      <c r="J38" s="70">
        <v>1.0</v>
      </c>
      <c r="K38" s="71">
        <v>1.0</v>
      </c>
      <c r="L38" s="71">
        <v>1.0</v>
      </c>
      <c r="M38" s="84"/>
      <c r="N38" s="70">
        <v>1.0</v>
      </c>
      <c r="O38" s="71">
        <v>1.0</v>
      </c>
      <c r="P38" s="71">
        <v>1.0</v>
      </c>
      <c r="Q38" s="84"/>
      <c r="R38" s="70">
        <v>1.0</v>
      </c>
      <c r="S38" s="71">
        <v>1.0</v>
      </c>
      <c r="T38" s="71">
        <v>1.0</v>
      </c>
      <c r="U38" s="84"/>
      <c r="V38" s="65">
        <f t="shared" ref="V38:X38" si="40">SUM(B38,F38,J38,N38,R38)</f>
        <v>4</v>
      </c>
      <c r="W38" s="65">
        <f t="shared" si="40"/>
        <v>3</v>
      </c>
      <c r="X38" s="65">
        <f t="shared" si="40"/>
        <v>5</v>
      </c>
    </row>
    <row r="39">
      <c r="A39" s="87" t="s">
        <v>951</v>
      </c>
      <c r="B39" s="70">
        <v>1.0</v>
      </c>
      <c r="C39" s="71">
        <v>1.0</v>
      </c>
      <c r="D39" s="71">
        <v>1.0</v>
      </c>
      <c r="E39" s="84"/>
      <c r="F39" s="71">
        <v>1.0</v>
      </c>
      <c r="G39" s="71">
        <v>1.0</v>
      </c>
      <c r="H39" s="71">
        <v>1.0</v>
      </c>
      <c r="I39" s="84"/>
      <c r="J39" s="70">
        <v>1.0</v>
      </c>
      <c r="K39" s="71">
        <v>1.0</v>
      </c>
      <c r="L39" s="71">
        <v>1.0</v>
      </c>
      <c r="M39" s="84"/>
      <c r="N39" s="70">
        <v>1.0</v>
      </c>
      <c r="O39" s="71">
        <v>1.0</v>
      </c>
      <c r="P39" s="71">
        <v>1.0</v>
      </c>
      <c r="Q39" s="84"/>
      <c r="R39" s="70">
        <v>1.0</v>
      </c>
      <c r="S39" s="71">
        <v>1.0</v>
      </c>
      <c r="T39" s="71">
        <v>1.0</v>
      </c>
      <c r="U39" s="84"/>
      <c r="V39" s="65">
        <f t="shared" ref="V39:X39" si="41">SUM(B39,F39,J39,N39,R39)</f>
        <v>5</v>
      </c>
      <c r="W39" s="65">
        <f t="shared" si="41"/>
        <v>5</v>
      </c>
      <c r="X39" s="65">
        <f t="shared" si="41"/>
        <v>5</v>
      </c>
    </row>
    <row r="40">
      <c r="A40" s="87" t="s">
        <v>952</v>
      </c>
      <c r="B40" s="72">
        <v>1.0</v>
      </c>
      <c r="C40" s="73">
        <v>1.0</v>
      </c>
      <c r="D40" s="73">
        <v>1.0</v>
      </c>
      <c r="E40" s="88"/>
      <c r="F40" s="73">
        <v>1.0</v>
      </c>
      <c r="G40" s="73">
        <v>1.0</v>
      </c>
      <c r="H40" s="73">
        <v>1.0</v>
      </c>
      <c r="I40" s="88"/>
      <c r="J40" s="72">
        <v>1.0</v>
      </c>
      <c r="K40" s="73">
        <v>1.0</v>
      </c>
      <c r="L40" s="73">
        <v>1.0</v>
      </c>
      <c r="M40" s="88"/>
      <c r="N40" s="72">
        <v>1.0</v>
      </c>
      <c r="O40" s="73">
        <v>1.0</v>
      </c>
      <c r="P40" s="73">
        <v>1.0</v>
      </c>
      <c r="Q40" s="88"/>
      <c r="R40" s="72">
        <v>1.0</v>
      </c>
      <c r="S40" s="73">
        <v>1.0</v>
      </c>
      <c r="T40" s="73">
        <v>1.0</v>
      </c>
      <c r="U40" s="88"/>
      <c r="V40" s="65">
        <f t="shared" ref="V40:X40" si="42">SUM(B40,F40,J40,N40,R40)</f>
        <v>5</v>
      </c>
      <c r="W40" s="65">
        <f t="shared" si="42"/>
        <v>5</v>
      </c>
      <c r="X40" s="65">
        <f t="shared" si="42"/>
        <v>5</v>
      </c>
    </row>
    <row r="41">
      <c r="A41" s="75" t="s">
        <v>481</v>
      </c>
      <c r="B41" s="52" t="s">
        <v>935</v>
      </c>
      <c r="F41" s="53" t="s">
        <v>936</v>
      </c>
      <c r="J41" s="54" t="s">
        <v>937</v>
      </c>
      <c r="N41" s="55" t="s">
        <v>938</v>
      </c>
      <c r="R41" s="56" t="s">
        <v>939</v>
      </c>
    </row>
    <row r="42">
      <c r="B42" s="76" t="s">
        <v>108</v>
      </c>
      <c r="E42" s="58"/>
      <c r="F42" s="57" t="s">
        <v>105</v>
      </c>
      <c r="I42" s="58"/>
      <c r="J42" s="76" t="s">
        <v>18</v>
      </c>
      <c r="M42" s="58"/>
      <c r="N42" s="76" t="s">
        <v>286</v>
      </c>
      <c r="Q42" s="58"/>
      <c r="R42" s="76" t="s">
        <v>287</v>
      </c>
      <c r="U42" s="58"/>
    </row>
    <row r="43">
      <c r="B43" s="80" t="s">
        <v>943</v>
      </c>
      <c r="C43" s="81" t="s">
        <v>944</v>
      </c>
      <c r="D43" s="81" t="s">
        <v>945</v>
      </c>
      <c r="E43" s="82"/>
      <c r="F43" s="80" t="s">
        <v>943</v>
      </c>
      <c r="G43" s="81" t="s">
        <v>944</v>
      </c>
      <c r="H43" s="81" t="s">
        <v>945</v>
      </c>
      <c r="I43" s="82"/>
      <c r="J43" s="80" t="s">
        <v>943</v>
      </c>
      <c r="K43" s="81" t="s">
        <v>944</v>
      </c>
      <c r="L43" s="81" t="s">
        <v>945</v>
      </c>
      <c r="M43" s="82"/>
      <c r="N43" s="80" t="s">
        <v>943</v>
      </c>
      <c r="O43" s="81" t="s">
        <v>944</v>
      </c>
      <c r="P43" s="81" t="s">
        <v>945</v>
      </c>
      <c r="Q43" s="82"/>
      <c r="R43" s="80" t="s">
        <v>943</v>
      </c>
      <c r="S43" s="81" t="s">
        <v>944</v>
      </c>
      <c r="T43" s="81" t="s">
        <v>945</v>
      </c>
      <c r="U43" s="82"/>
    </row>
    <row r="44">
      <c r="A44" s="8" t="s">
        <v>946</v>
      </c>
      <c r="B44" s="70">
        <v>1.0</v>
      </c>
      <c r="C44" s="71">
        <v>1.0</v>
      </c>
      <c r="D44" s="71">
        <v>1.0</v>
      </c>
      <c r="E44" s="84"/>
      <c r="F44" s="70">
        <v>1.0</v>
      </c>
      <c r="G44" s="71">
        <v>1.0</v>
      </c>
      <c r="H44" s="71">
        <v>1.0</v>
      </c>
      <c r="I44" s="84"/>
      <c r="J44" s="70">
        <v>1.0</v>
      </c>
      <c r="K44" s="71">
        <v>1.0</v>
      </c>
      <c r="L44" s="71">
        <v>1.0</v>
      </c>
      <c r="M44" s="84"/>
      <c r="N44" s="70">
        <v>0.0</v>
      </c>
      <c r="O44" s="71">
        <v>1.0</v>
      </c>
      <c r="P44" s="71">
        <v>1.0</v>
      </c>
      <c r="Q44" s="84"/>
      <c r="R44" s="70">
        <v>1.0</v>
      </c>
      <c r="S44" s="71">
        <v>0.0</v>
      </c>
      <c r="T44" s="71">
        <v>0.0</v>
      </c>
      <c r="U44" s="84"/>
      <c r="V44" s="65">
        <f t="shared" ref="V44:X44" si="43">SUM(B44,F44,J44,N44,R44)</f>
        <v>4</v>
      </c>
      <c r="W44" s="65">
        <f t="shared" si="43"/>
        <v>4</v>
      </c>
      <c r="X44" s="65">
        <f t="shared" si="43"/>
        <v>4</v>
      </c>
    </row>
    <row r="45">
      <c r="A45" s="87" t="s">
        <v>947</v>
      </c>
      <c r="B45" s="70">
        <v>1.0</v>
      </c>
      <c r="C45" s="71">
        <v>1.0</v>
      </c>
      <c r="D45" s="71">
        <v>1.0</v>
      </c>
      <c r="E45" s="84"/>
      <c r="F45" s="70">
        <v>1.0</v>
      </c>
      <c r="G45" s="71">
        <v>1.0</v>
      </c>
      <c r="H45" s="71">
        <v>1.0</v>
      </c>
      <c r="I45" s="84"/>
      <c r="J45" s="70">
        <v>1.0</v>
      </c>
      <c r="K45" s="71">
        <v>1.0</v>
      </c>
      <c r="L45" s="71">
        <v>1.0</v>
      </c>
      <c r="M45" s="84"/>
      <c r="N45" s="70">
        <v>1.0</v>
      </c>
      <c r="O45" s="71">
        <v>1.0</v>
      </c>
      <c r="P45" s="71">
        <v>1.0</v>
      </c>
      <c r="Q45" s="84"/>
      <c r="R45" s="70">
        <v>1.0</v>
      </c>
      <c r="S45" s="71">
        <v>1.0</v>
      </c>
      <c r="T45" s="71">
        <v>1.0</v>
      </c>
      <c r="U45" s="84"/>
      <c r="V45" s="65">
        <f t="shared" ref="V45:X45" si="44">SUM(B45,F45,J45,N45,R45)</f>
        <v>5</v>
      </c>
      <c r="W45" s="65">
        <f t="shared" si="44"/>
        <v>5</v>
      </c>
      <c r="X45" s="65">
        <f t="shared" si="44"/>
        <v>5</v>
      </c>
    </row>
    <row r="46">
      <c r="A46" s="87" t="s">
        <v>948</v>
      </c>
      <c r="B46" s="70">
        <v>1.0</v>
      </c>
      <c r="C46" s="71">
        <v>1.0</v>
      </c>
      <c r="D46" s="71">
        <v>1.0</v>
      </c>
      <c r="E46" s="84"/>
      <c r="F46" s="70">
        <v>1.0</v>
      </c>
      <c r="G46" s="71">
        <v>1.0</v>
      </c>
      <c r="H46" s="71">
        <v>1.0</v>
      </c>
      <c r="I46" s="84"/>
      <c r="J46" s="70">
        <v>1.0</v>
      </c>
      <c r="K46" s="71">
        <v>1.0</v>
      </c>
      <c r="L46" s="71">
        <v>1.0</v>
      </c>
      <c r="M46" s="84"/>
      <c r="N46" s="70">
        <v>0.0</v>
      </c>
      <c r="O46" s="71">
        <v>1.0</v>
      </c>
      <c r="P46" s="71">
        <v>1.0</v>
      </c>
      <c r="Q46" s="84"/>
      <c r="R46" s="70">
        <v>1.0</v>
      </c>
      <c r="S46" s="71">
        <v>0.0</v>
      </c>
      <c r="T46" s="71">
        <v>0.0</v>
      </c>
      <c r="U46" s="84"/>
      <c r="V46" s="65">
        <f t="shared" ref="V46:X46" si="45">SUM(B46,F46,J46,N46,R46)</f>
        <v>4</v>
      </c>
      <c r="W46" s="65">
        <f t="shared" si="45"/>
        <v>4</v>
      </c>
      <c r="X46" s="65">
        <f t="shared" si="45"/>
        <v>4</v>
      </c>
    </row>
    <row r="47">
      <c r="A47" s="87" t="s">
        <v>949</v>
      </c>
      <c r="B47" s="70">
        <v>1.0</v>
      </c>
      <c r="C47" s="71">
        <v>1.0</v>
      </c>
      <c r="D47" s="71">
        <v>1.0</v>
      </c>
      <c r="E47" s="84"/>
      <c r="F47" s="70">
        <v>1.0</v>
      </c>
      <c r="G47" s="71">
        <v>1.0</v>
      </c>
      <c r="H47" s="71">
        <v>1.0</v>
      </c>
      <c r="I47" s="84"/>
      <c r="J47" s="70">
        <v>1.0</v>
      </c>
      <c r="K47" s="71">
        <v>1.0</v>
      </c>
      <c r="L47" s="71">
        <v>1.0</v>
      </c>
      <c r="M47" s="84"/>
      <c r="N47" s="70">
        <v>1.0</v>
      </c>
      <c r="O47" s="71">
        <v>1.0</v>
      </c>
      <c r="P47" s="71">
        <v>1.0</v>
      </c>
      <c r="Q47" s="84"/>
      <c r="R47" s="70">
        <v>1.0</v>
      </c>
      <c r="S47" s="71">
        <v>1.0</v>
      </c>
      <c r="T47" s="71">
        <v>1.0</v>
      </c>
      <c r="U47" s="84"/>
      <c r="V47" s="65">
        <f t="shared" ref="V47:X47" si="46">SUM(B47,F47,J47,N47,R47)</f>
        <v>5</v>
      </c>
      <c r="W47" s="65">
        <f t="shared" si="46"/>
        <v>5</v>
      </c>
      <c r="X47" s="65">
        <f t="shared" si="46"/>
        <v>5</v>
      </c>
    </row>
    <row r="48">
      <c r="A48" s="87" t="s">
        <v>950</v>
      </c>
      <c r="B48" s="70">
        <v>1.0</v>
      </c>
      <c r="C48" s="71">
        <v>1.0</v>
      </c>
      <c r="D48" s="71">
        <v>1.0</v>
      </c>
      <c r="E48" s="84"/>
      <c r="F48" s="70">
        <v>0.0</v>
      </c>
      <c r="G48" s="71">
        <v>1.0</v>
      </c>
      <c r="H48" s="71">
        <v>1.0</v>
      </c>
      <c r="I48" s="84"/>
      <c r="J48" s="70">
        <v>1.0</v>
      </c>
      <c r="K48" s="71">
        <v>1.0</v>
      </c>
      <c r="L48" s="71">
        <v>1.0</v>
      </c>
      <c r="M48" s="84"/>
      <c r="N48" s="70">
        <v>1.0</v>
      </c>
      <c r="O48" s="71">
        <v>1.0</v>
      </c>
      <c r="P48" s="71">
        <v>1.0</v>
      </c>
      <c r="Q48" s="84"/>
      <c r="R48" s="70">
        <v>1.0</v>
      </c>
      <c r="S48" s="71">
        <v>1.0</v>
      </c>
      <c r="T48" s="71">
        <v>1.0</v>
      </c>
      <c r="U48" s="84"/>
      <c r="V48" s="65">
        <f t="shared" ref="V48:X48" si="47">SUM(B48,F48,J48,N48,R48)</f>
        <v>4</v>
      </c>
      <c r="W48" s="65">
        <f t="shared" si="47"/>
        <v>5</v>
      </c>
      <c r="X48" s="65">
        <f t="shared" si="47"/>
        <v>5</v>
      </c>
    </row>
    <row r="49">
      <c r="A49" s="87" t="s">
        <v>951</v>
      </c>
      <c r="B49" s="70">
        <v>1.0</v>
      </c>
      <c r="C49" s="71">
        <v>1.0</v>
      </c>
      <c r="D49" s="71">
        <v>1.0</v>
      </c>
      <c r="E49" s="84"/>
      <c r="F49" s="70">
        <v>1.0</v>
      </c>
      <c r="G49" s="71">
        <v>1.0</v>
      </c>
      <c r="H49" s="71">
        <v>1.0</v>
      </c>
      <c r="I49" s="84"/>
      <c r="J49" s="70">
        <v>1.0</v>
      </c>
      <c r="K49" s="71">
        <v>1.0</v>
      </c>
      <c r="L49" s="71">
        <v>1.0</v>
      </c>
      <c r="M49" s="84"/>
      <c r="N49" s="70">
        <v>1.0</v>
      </c>
      <c r="O49" s="71">
        <v>1.0</v>
      </c>
      <c r="P49" s="71">
        <v>1.0</v>
      </c>
      <c r="Q49" s="84"/>
      <c r="R49" s="70">
        <v>1.0</v>
      </c>
      <c r="S49" s="71">
        <v>1.0</v>
      </c>
      <c r="T49" s="71">
        <v>1.0</v>
      </c>
      <c r="U49" s="84"/>
      <c r="V49" s="65">
        <f t="shared" ref="V49:X49" si="48">SUM(B49,F49,J49,N49,R49)</f>
        <v>5</v>
      </c>
      <c r="W49" s="65">
        <f t="shared" si="48"/>
        <v>5</v>
      </c>
      <c r="X49" s="65">
        <f t="shared" si="48"/>
        <v>5</v>
      </c>
    </row>
    <row r="50">
      <c r="A50" s="87" t="s">
        <v>952</v>
      </c>
      <c r="B50" s="72">
        <v>1.0</v>
      </c>
      <c r="C50" s="73">
        <v>1.0</v>
      </c>
      <c r="D50" s="73">
        <v>1.0</v>
      </c>
      <c r="E50" s="88"/>
      <c r="F50" s="72">
        <v>1.0</v>
      </c>
      <c r="G50" s="73">
        <v>1.0</v>
      </c>
      <c r="H50" s="73">
        <v>1.0</v>
      </c>
      <c r="I50" s="88"/>
      <c r="J50" s="72">
        <v>1.0</v>
      </c>
      <c r="K50" s="73">
        <v>1.0</v>
      </c>
      <c r="L50" s="73">
        <v>1.0</v>
      </c>
      <c r="M50" s="88"/>
      <c r="N50" s="72">
        <v>1.0</v>
      </c>
      <c r="O50" s="73">
        <v>1.0</v>
      </c>
      <c r="P50" s="73">
        <v>1.0</v>
      </c>
      <c r="Q50" s="88"/>
      <c r="R50" s="72">
        <v>1.0</v>
      </c>
      <c r="S50" s="73">
        <v>1.0</v>
      </c>
      <c r="T50" s="73">
        <v>1.0</v>
      </c>
      <c r="U50" s="88"/>
      <c r="V50" s="65">
        <f t="shared" ref="V50:X50" si="49">SUM(B50,F50,J50,N50,R50)</f>
        <v>5</v>
      </c>
      <c r="W50" s="65">
        <f t="shared" si="49"/>
        <v>5</v>
      </c>
      <c r="X50" s="65">
        <f t="shared" si="49"/>
        <v>5</v>
      </c>
    </row>
    <row r="51">
      <c r="A51" s="26" t="s">
        <v>670</v>
      </c>
      <c r="B51" s="52" t="s">
        <v>935</v>
      </c>
      <c r="F51" s="53"/>
      <c r="J51" s="54" t="s">
        <v>937</v>
      </c>
      <c r="N51" s="55" t="s">
        <v>938</v>
      </c>
      <c r="R51" s="56" t="s">
        <v>939</v>
      </c>
    </row>
    <row r="52">
      <c r="B52" s="76" t="s">
        <v>954</v>
      </c>
      <c r="E52" s="58"/>
      <c r="F52" s="92" t="s">
        <v>239</v>
      </c>
      <c r="I52" s="58"/>
      <c r="J52" s="76" t="s">
        <v>240</v>
      </c>
      <c r="M52" s="58"/>
      <c r="N52" s="76" t="s">
        <v>23</v>
      </c>
      <c r="Q52" s="58"/>
      <c r="R52" s="76" t="s">
        <v>23</v>
      </c>
      <c r="U52" s="58"/>
    </row>
    <row r="53">
      <c r="B53" s="80" t="s">
        <v>943</v>
      </c>
      <c r="C53" s="81" t="s">
        <v>944</v>
      </c>
      <c r="D53" s="81" t="s">
        <v>945</v>
      </c>
      <c r="E53" s="82"/>
      <c r="F53" s="80" t="s">
        <v>943</v>
      </c>
      <c r="G53" s="81" t="s">
        <v>944</v>
      </c>
      <c r="H53" s="81" t="s">
        <v>945</v>
      </c>
      <c r="I53" s="82"/>
      <c r="J53" s="80" t="s">
        <v>943</v>
      </c>
      <c r="K53" s="81" t="s">
        <v>944</v>
      </c>
      <c r="L53" s="81" t="s">
        <v>945</v>
      </c>
      <c r="M53" s="82"/>
      <c r="N53" s="80" t="s">
        <v>943</v>
      </c>
      <c r="O53" s="81" t="s">
        <v>944</v>
      </c>
      <c r="P53" s="81" t="s">
        <v>945</v>
      </c>
      <c r="Q53" s="82"/>
      <c r="R53" s="80" t="s">
        <v>943</v>
      </c>
      <c r="S53" s="81" t="s">
        <v>944</v>
      </c>
      <c r="T53" s="81" t="s">
        <v>945</v>
      </c>
      <c r="U53" s="82"/>
    </row>
    <row r="54">
      <c r="A54" s="8" t="s">
        <v>946</v>
      </c>
      <c r="B54" s="70">
        <v>1.0</v>
      </c>
      <c r="C54" s="71">
        <v>1.0</v>
      </c>
      <c r="D54" s="71">
        <v>1.0</v>
      </c>
      <c r="E54" s="84"/>
      <c r="F54" s="70">
        <v>1.0</v>
      </c>
      <c r="G54" s="71">
        <v>1.0</v>
      </c>
      <c r="H54" s="71">
        <v>1.0</v>
      </c>
      <c r="I54" s="84"/>
      <c r="J54" s="70">
        <v>1.0</v>
      </c>
      <c r="K54" s="71">
        <v>1.0</v>
      </c>
      <c r="L54" s="71">
        <v>1.0</v>
      </c>
      <c r="M54" s="84"/>
      <c r="N54" s="70">
        <v>1.0</v>
      </c>
      <c r="O54" s="71">
        <v>1.0</v>
      </c>
      <c r="P54" s="71">
        <v>1.0</v>
      </c>
      <c r="Q54" s="84"/>
      <c r="R54" s="70">
        <v>1.0</v>
      </c>
      <c r="S54" s="71">
        <v>0.0</v>
      </c>
      <c r="T54" s="71">
        <v>1.0</v>
      </c>
      <c r="U54" s="84"/>
      <c r="V54" s="65">
        <f t="shared" ref="V54:X54" si="50">SUM(B54,F54,J54,N54,R54)</f>
        <v>5</v>
      </c>
      <c r="W54" s="65">
        <f t="shared" si="50"/>
        <v>4</v>
      </c>
      <c r="X54" s="65">
        <f t="shared" si="50"/>
        <v>5</v>
      </c>
    </row>
    <row r="55">
      <c r="A55" s="87" t="s">
        <v>947</v>
      </c>
      <c r="B55" s="70">
        <v>1.0</v>
      </c>
      <c r="C55" s="71">
        <v>1.0</v>
      </c>
      <c r="D55" s="71">
        <v>1.0</v>
      </c>
      <c r="E55" s="84"/>
      <c r="F55" s="70">
        <v>1.0</v>
      </c>
      <c r="G55" s="71">
        <v>1.0</v>
      </c>
      <c r="H55" s="71">
        <v>1.0</v>
      </c>
      <c r="I55" s="84"/>
      <c r="J55" s="70">
        <v>1.0</v>
      </c>
      <c r="K55" s="71">
        <v>1.0</v>
      </c>
      <c r="L55" s="71">
        <v>1.0</v>
      </c>
      <c r="M55" s="84"/>
      <c r="N55" s="70">
        <v>1.0</v>
      </c>
      <c r="O55" s="71">
        <v>1.0</v>
      </c>
      <c r="P55" s="71">
        <v>1.0</v>
      </c>
      <c r="Q55" s="84"/>
      <c r="R55" s="70">
        <v>1.0</v>
      </c>
      <c r="S55" s="71">
        <v>0.0</v>
      </c>
      <c r="T55" s="71">
        <v>1.0</v>
      </c>
      <c r="U55" s="84"/>
      <c r="V55" s="65">
        <f t="shared" ref="V55:X55" si="51">SUM(B55,F55,J55,N55,R55)</f>
        <v>5</v>
      </c>
      <c r="W55" s="65">
        <f t="shared" si="51"/>
        <v>4</v>
      </c>
      <c r="X55" s="65">
        <f t="shared" si="51"/>
        <v>5</v>
      </c>
    </row>
    <row r="56">
      <c r="A56" s="87" t="s">
        <v>948</v>
      </c>
      <c r="B56" s="70">
        <v>1.0</v>
      </c>
      <c r="C56" s="71">
        <v>1.0</v>
      </c>
      <c r="D56" s="71">
        <v>1.0</v>
      </c>
      <c r="E56" s="84"/>
      <c r="F56" s="70">
        <v>1.0</v>
      </c>
      <c r="G56" s="71">
        <v>1.0</v>
      </c>
      <c r="H56" s="71">
        <v>1.0</v>
      </c>
      <c r="I56" s="84"/>
      <c r="J56" s="70">
        <v>1.0</v>
      </c>
      <c r="K56" s="71">
        <v>1.0</v>
      </c>
      <c r="L56" s="71">
        <v>1.0</v>
      </c>
      <c r="M56" s="84"/>
      <c r="N56" s="70">
        <v>1.0</v>
      </c>
      <c r="O56" s="71">
        <v>1.0</v>
      </c>
      <c r="P56" s="71">
        <v>1.0</v>
      </c>
      <c r="Q56" s="84"/>
      <c r="R56" s="70">
        <v>1.0</v>
      </c>
      <c r="S56" s="71">
        <v>0.0</v>
      </c>
      <c r="T56" s="71">
        <v>1.0</v>
      </c>
      <c r="U56" s="84"/>
      <c r="V56" s="65">
        <f t="shared" ref="V56:X56" si="52">SUM(B56,F56,J56,N56,R56)</f>
        <v>5</v>
      </c>
      <c r="W56" s="65">
        <f t="shared" si="52"/>
        <v>4</v>
      </c>
      <c r="X56" s="65">
        <f t="shared" si="52"/>
        <v>5</v>
      </c>
    </row>
    <row r="57">
      <c r="A57" s="87" t="s">
        <v>949</v>
      </c>
      <c r="B57" s="70">
        <v>1.0</v>
      </c>
      <c r="C57" s="71">
        <v>1.0</v>
      </c>
      <c r="D57" s="71">
        <v>1.0</v>
      </c>
      <c r="E57" s="84"/>
      <c r="F57" s="70">
        <v>1.0</v>
      </c>
      <c r="G57" s="71">
        <v>1.0</v>
      </c>
      <c r="H57" s="71">
        <v>1.0</v>
      </c>
      <c r="I57" s="84"/>
      <c r="J57" s="70">
        <v>1.0</v>
      </c>
      <c r="K57" s="71">
        <v>1.0</v>
      </c>
      <c r="L57" s="71">
        <v>1.0</v>
      </c>
      <c r="M57" s="84"/>
      <c r="N57" s="70">
        <v>1.0</v>
      </c>
      <c r="O57" s="71">
        <v>1.0</v>
      </c>
      <c r="P57" s="71">
        <v>1.0</v>
      </c>
      <c r="Q57" s="84"/>
      <c r="R57" s="70">
        <v>1.0</v>
      </c>
      <c r="S57" s="71">
        <v>0.0</v>
      </c>
      <c r="T57" s="71">
        <v>1.0</v>
      </c>
      <c r="U57" s="84"/>
      <c r="V57" s="65">
        <f t="shared" ref="V57:X57" si="53">SUM(B57,F57,J57,N57,R57)</f>
        <v>5</v>
      </c>
      <c r="W57" s="65">
        <f t="shared" si="53"/>
        <v>4</v>
      </c>
      <c r="X57" s="65">
        <f t="shared" si="53"/>
        <v>5</v>
      </c>
    </row>
    <row r="58">
      <c r="A58" s="87" t="s">
        <v>950</v>
      </c>
      <c r="B58" s="70">
        <v>0.0</v>
      </c>
      <c r="C58" s="71">
        <v>1.0</v>
      </c>
      <c r="D58" s="71">
        <v>1.0</v>
      </c>
      <c r="E58" s="84"/>
      <c r="F58" s="70">
        <v>1.0</v>
      </c>
      <c r="G58" s="71">
        <v>1.0</v>
      </c>
      <c r="H58" s="71">
        <v>1.0</v>
      </c>
      <c r="I58" s="84"/>
      <c r="J58" s="70">
        <v>1.0</v>
      </c>
      <c r="K58" s="71">
        <v>1.0</v>
      </c>
      <c r="L58" s="71">
        <v>1.0</v>
      </c>
      <c r="M58" s="84"/>
      <c r="N58" s="70">
        <v>1.0</v>
      </c>
      <c r="O58" s="71">
        <v>1.0</v>
      </c>
      <c r="P58" s="71">
        <v>1.0</v>
      </c>
      <c r="Q58" s="84"/>
      <c r="R58" s="70">
        <v>1.0</v>
      </c>
      <c r="S58" s="71">
        <v>0.0</v>
      </c>
      <c r="T58" s="71">
        <v>1.0</v>
      </c>
      <c r="U58" s="84"/>
      <c r="V58" s="65">
        <f t="shared" ref="V58:X58" si="54">SUM(B58,F58,J58,N58,R58)</f>
        <v>4</v>
      </c>
      <c r="W58" s="65">
        <f t="shared" si="54"/>
        <v>4</v>
      </c>
      <c r="X58" s="65">
        <f t="shared" si="54"/>
        <v>5</v>
      </c>
    </row>
    <row r="59">
      <c r="A59" s="87" t="s">
        <v>951</v>
      </c>
      <c r="B59" s="70">
        <v>1.0</v>
      </c>
      <c r="C59" s="71">
        <v>1.0</v>
      </c>
      <c r="D59" s="71">
        <v>1.0</v>
      </c>
      <c r="E59" s="84"/>
      <c r="F59" s="70">
        <v>1.0</v>
      </c>
      <c r="G59" s="71">
        <v>1.0</v>
      </c>
      <c r="H59" s="71">
        <v>1.0</v>
      </c>
      <c r="I59" s="84"/>
      <c r="J59" s="70">
        <v>1.0</v>
      </c>
      <c r="K59" s="71">
        <v>1.0</v>
      </c>
      <c r="L59" s="71">
        <v>1.0</v>
      </c>
      <c r="M59" s="84"/>
      <c r="N59" s="70">
        <v>1.0</v>
      </c>
      <c r="O59" s="71">
        <v>1.0</v>
      </c>
      <c r="P59" s="71">
        <v>1.0</v>
      </c>
      <c r="Q59" s="84"/>
      <c r="R59" s="70">
        <v>1.0</v>
      </c>
      <c r="S59" s="71">
        <v>0.0</v>
      </c>
      <c r="T59" s="71">
        <v>1.0</v>
      </c>
      <c r="U59" s="84"/>
      <c r="V59" s="65">
        <f t="shared" ref="V59:X59" si="55">SUM(B59,F59,J59,N59,R59)</f>
        <v>5</v>
      </c>
      <c r="W59" s="65">
        <f t="shared" si="55"/>
        <v>4</v>
      </c>
      <c r="X59" s="65">
        <f t="shared" si="55"/>
        <v>5</v>
      </c>
    </row>
    <row r="60">
      <c r="A60" s="87" t="s">
        <v>952</v>
      </c>
      <c r="B60" s="72">
        <v>1.0</v>
      </c>
      <c r="C60" s="73">
        <v>1.0</v>
      </c>
      <c r="D60" s="73">
        <v>1.0</v>
      </c>
      <c r="E60" s="88"/>
      <c r="F60" s="72">
        <v>1.0</v>
      </c>
      <c r="G60" s="73">
        <v>1.0</v>
      </c>
      <c r="H60" s="73">
        <v>1.0</v>
      </c>
      <c r="I60" s="88"/>
      <c r="J60" s="72">
        <v>1.0</v>
      </c>
      <c r="K60" s="73">
        <v>1.0</v>
      </c>
      <c r="L60" s="73">
        <v>1.0</v>
      </c>
      <c r="M60" s="88"/>
      <c r="N60" s="72">
        <v>1.0</v>
      </c>
      <c r="O60" s="73">
        <v>1.0</v>
      </c>
      <c r="P60" s="73">
        <v>1.0</v>
      </c>
      <c r="Q60" s="88"/>
      <c r="R60" s="72">
        <v>1.0</v>
      </c>
      <c r="S60" s="73">
        <v>0.0</v>
      </c>
      <c r="T60" s="73">
        <v>1.0</v>
      </c>
      <c r="U60" s="88"/>
      <c r="V60" s="65">
        <f t="shared" ref="V60:X60" si="56">SUM(B60,F60,J60,N60,R60)</f>
        <v>5</v>
      </c>
      <c r="W60" s="65">
        <f t="shared" si="56"/>
        <v>4</v>
      </c>
      <c r="X60" s="65">
        <f t="shared" si="56"/>
        <v>5</v>
      </c>
    </row>
    <row r="61">
      <c r="A61" s="75" t="s">
        <v>500</v>
      </c>
      <c r="B61" s="52" t="s">
        <v>935</v>
      </c>
      <c r="F61" s="53" t="s">
        <v>936</v>
      </c>
      <c r="J61" s="54" t="s">
        <v>937</v>
      </c>
      <c r="N61" s="55" t="s">
        <v>938</v>
      </c>
      <c r="R61" s="56" t="s">
        <v>939</v>
      </c>
    </row>
    <row r="62">
      <c r="B62" s="76" t="s">
        <v>51</v>
      </c>
      <c r="E62" s="58"/>
      <c r="F62" s="92" t="s">
        <v>955</v>
      </c>
      <c r="I62" s="58"/>
      <c r="J62" s="76" t="s">
        <v>18</v>
      </c>
      <c r="M62" s="58"/>
      <c r="N62" s="8" t="s">
        <v>49</v>
      </c>
      <c r="R62" s="76" t="s">
        <v>348</v>
      </c>
      <c r="U62" s="58"/>
    </row>
    <row r="63">
      <c r="B63" s="80" t="s">
        <v>943</v>
      </c>
      <c r="C63" s="81" t="s">
        <v>944</v>
      </c>
      <c r="D63" s="81" t="s">
        <v>945</v>
      </c>
      <c r="E63" s="82"/>
      <c r="F63" s="80" t="s">
        <v>943</v>
      </c>
      <c r="G63" s="81" t="s">
        <v>944</v>
      </c>
      <c r="H63" s="81" t="s">
        <v>945</v>
      </c>
      <c r="I63" s="82"/>
      <c r="J63" s="80" t="s">
        <v>943</v>
      </c>
      <c r="K63" s="81" t="s">
        <v>944</v>
      </c>
      <c r="L63" s="81" t="s">
        <v>945</v>
      </c>
      <c r="M63" s="82"/>
      <c r="N63" s="80" t="s">
        <v>943</v>
      </c>
      <c r="O63" s="81" t="s">
        <v>944</v>
      </c>
      <c r="P63" s="81" t="s">
        <v>945</v>
      </c>
      <c r="Q63" s="82"/>
      <c r="R63" s="80" t="s">
        <v>943</v>
      </c>
      <c r="S63" s="81" t="s">
        <v>944</v>
      </c>
      <c r="T63" s="81" t="s">
        <v>945</v>
      </c>
      <c r="U63" s="82"/>
    </row>
    <row r="64">
      <c r="A64" s="8" t="s">
        <v>946</v>
      </c>
      <c r="B64" s="70">
        <v>0.0</v>
      </c>
      <c r="C64" s="71">
        <v>0.0</v>
      </c>
      <c r="D64" s="71">
        <v>1.0</v>
      </c>
      <c r="E64" s="84"/>
      <c r="F64" s="70">
        <v>1.0</v>
      </c>
      <c r="G64" s="71">
        <v>1.0</v>
      </c>
      <c r="H64" s="71">
        <v>1.0</v>
      </c>
      <c r="I64" s="84"/>
      <c r="J64" s="70">
        <v>1.0</v>
      </c>
      <c r="K64" s="71">
        <v>1.0</v>
      </c>
      <c r="L64" s="71">
        <v>1.0</v>
      </c>
      <c r="M64" s="84"/>
      <c r="N64" s="70">
        <v>0.0</v>
      </c>
      <c r="O64" s="70">
        <v>0.0</v>
      </c>
      <c r="P64" s="70">
        <v>0.0</v>
      </c>
      <c r="Q64" s="84"/>
      <c r="R64" s="70">
        <v>0.0</v>
      </c>
      <c r="S64" s="71">
        <v>1.0</v>
      </c>
      <c r="T64" s="71">
        <v>1.0</v>
      </c>
      <c r="U64" s="84"/>
      <c r="V64" s="65">
        <f t="shared" ref="V64:X64" si="57">SUM(B64,F64,J64,N64,R64)</f>
        <v>2</v>
      </c>
      <c r="W64" s="65">
        <f t="shared" si="57"/>
        <v>3</v>
      </c>
      <c r="X64" s="65">
        <f t="shared" si="57"/>
        <v>4</v>
      </c>
    </row>
    <row r="65">
      <c r="A65" s="87" t="s">
        <v>947</v>
      </c>
      <c r="B65" s="70">
        <v>1.0</v>
      </c>
      <c r="C65" s="71">
        <v>1.0</v>
      </c>
      <c r="D65" s="71">
        <v>1.0</v>
      </c>
      <c r="E65" s="84"/>
      <c r="F65" s="70">
        <v>1.0</v>
      </c>
      <c r="G65" s="71">
        <v>1.0</v>
      </c>
      <c r="H65" s="71">
        <v>1.0</v>
      </c>
      <c r="I65" s="84"/>
      <c r="J65" s="70">
        <v>1.0</v>
      </c>
      <c r="K65" s="71">
        <v>1.0</v>
      </c>
      <c r="L65" s="71">
        <v>1.0</v>
      </c>
      <c r="M65" s="84"/>
      <c r="N65" s="70">
        <v>0.0</v>
      </c>
      <c r="O65" s="70">
        <v>0.0</v>
      </c>
      <c r="P65" s="70">
        <v>0.0</v>
      </c>
      <c r="Q65" s="84"/>
      <c r="R65" s="70">
        <v>1.0</v>
      </c>
      <c r="S65" s="71">
        <v>1.0</v>
      </c>
      <c r="T65" s="71">
        <v>1.0</v>
      </c>
      <c r="U65" s="84"/>
      <c r="V65" s="65">
        <f t="shared" ref="V65:X65" si="58">SUM(B65,F65,J65,N65,R65)</f>
        <v>4</v>
      </c>
      <c r="W65" s="65">
        <f t="shared" si="58"/>
        <v>4</v>
      </c>
      <c r="X65" s="65">
        <f t="shared" si="58"/>
        <v>4</v>
      </c>
    </row>
    <row r="66">
      <c r="A66" s="87" t="s">
        <v>948</v>
      </c>
      <c r="B66" s="70">
        <v>0.0</v>
      </c>
      <c r="C66" s="71">
        <v>0.0</v>
      </c>
      <c r="D66" s="71">
        <v>1.0</v>
      </c>
      <c r="E66" s="84"/>
      <c r="F66" s="70">
        <v>1.0</v>
      </c>
      <c r="G66" s="71">
        <v>1.0</v>
      </c>
      <c r="H66" s="71">
        <v>1.0</v>
      </c>
      <c r="I66" s="84"/>
      <c r="J66" s="70">
        <v>1.0</v>
      </c>
      <c r="K66" s="71">
        <v>1.0</v>
      </c>
      <c r="L66" s="71">
        <v>1.0</v>
      </c>
      <c r="M66" s="84"/>
      <c r="N66" s="70">
        <v>0.0</v>
      </c>
      <c r="O66" s="70">
        <v>0.0</v>
      </c>
      <c r="P66" s="70">
        <v>0.0</v>
      </c>
      <c r="Q66" s="84"/>
      <c r="R66" s="70">
        <v>1.0</v>
      </c>
      <c r="S66" s="71">
        <v>1.0</v>
      </c>
      <c r="T66" s="71">
        <v>1.0</v>
      </c>
      <c r="U66" s="84"/>
      <c r="V66" s="65">
        <f t="shared" ref="V66:X66" si="59">SUM(B66,F66,J66,N66,R66)</f>
        <v>3</v>
      </c>
      <c r="W66" s="65">
        <f t="shared" si="59"/>
        <v>3</v>
      </c>
      <c r="X66" s="65">
        <f t="shared" si="59"/>
        <v>4</v>
      </c>
    </row>
    <row r="67">
      <c r="A67" s="87" t="s">
        <v>949</v>
      </c>
      <c r="B67" s="70">
        <v>1.0</v>
      </c>
      <c r="C67" s="71">
        <v>1.0</v>
      </c>
      <c r="D67" s="71">
        <v>1.0</v>
      </c>
      <c r="E67" s="84"/>
      <c r="F67" s="70">
        <v>1.0</v>
      </c>
      <c r="G67" s="71">
        <v>1.0</v>
      </c>
      <c r="H67" s="71">
        <v>1.0</v>
      </c>
      <c r="I67" s="84"/>
      <c r="J67" s="70">
        <v>1.0</v>
      </c>
      <c r="K67" s="71">
        <v>1.0</v>
      </c>
      <c r="L67" s="71">
        <v>1.0</v>
      </c>
      <c r="M67" s="84"/>
      <c r="N67" s="70">
        <v>0.0</v>
      </c>
      <c r="O67" s="70">
        <v>0.0</v>
      </c>
      <c r="P67" s="70">
        <v>0.0</v>
      </c>
      <c r="Q67" s="84"/>
      <c r="R67" s="70">
        <v>1.0</v>
      </c>
      <c r="S67" s="71">
        <v>1.0</v>
      </c>
      <c r="T67" s="71">
        <v>1.0</v>
      </c>
      <c r="U67" s="84"/>
      <c r="V67" s="65">
        <f t="shared" ref="V67:X67" si="60">SUM(B67,F67,J67,N67,R67)</f>
        <v>4</v>
      </c>
      <c r="W67" s="65">
        <f t="shared" si="60"/>
        <v>4</v>
      </c>
      <c r="X67" s="65">
        <f t="shared" si="60"/>
        <v>4</v>
      </c>
    </row>
    <row r="68">
      <c r="A68" s="87" t="s">
        <v>950</v>
      </c>
      <c r="B68" s="70">
        <v>0.0</v>
      </c>
      <c r="C68" s="71">
        <v>1.0</v>
      </c>
      <c r="D68" s="71">
        <v>1.0</v>
      </c>
      <c r="E68" s="84"/>
      <c r="F68" s="70">
        <v>1.0</v>
      </c>
      <c r="G68" s="71">
        <v>1.0</v>
      </c>
      <c r="H68" s="71">
        <v>1.0</v>
      </c>
      <c r="I68" s="84"/>
      <c r="J68" s="70">
        <v>1.0</v>
      </c>
      <c r="K68" s="71">
        <v>1.0</v>
      </c>
      <c r="L68" s="71">
        <v>1.0</v>
      </c>
      <c r="M68" s="84"/>
      <c r="N68" s="70">
        <v>0.0</v>
      </c>
      <c r="O68" s="70">
        <v>0.0</v>
      </c>
      <c r="P68" s="70">
        <v>0.0</v>
      </c>
      <c r="Q68" s="84"/>
      <c r="R68" s="70">
        <v>1.0</v>
      </c>
      <c r="S68" s="71">
        <v>1.0</v>
      </c>
      <c r="T68" s="71">
        <v>1.0</v>
      </c>
      <c r="U68" s="84"/>
      <c r="V68" s="65">
        <f t="shared" ref="V68:X68" si="61">SUM(B68,F68,J68,N68,R68)</f>
        <v>3</v>
      </c>
      <c r="W68" s="65">
        <f t="shared" si="61"/>
        <v>4</v>
      </c>
      <c r="X68" s="65">
        <f t="shared" si="61"/>
        <v>4</v>
      </c>
    </row>
    <row r="69">
      <c r="A69" s="87" t="s">
        <v>951</v>
      </c>
      <c r="B69" s="70">
        <v>1.0</v>
      </c>
      <c r="C69" s="71">
        <v>1.0</v>
      </c>
      <c r="D69" s="71">
        <v>1.0</v>
      </c>
      <c r="E69" s="84"/>
      <c r="F69" s="70">
        <v>1.0</v>
      </c>
      <c r="G69" s="71">
        <v>1.0</v>
      </c>
      <c r="H69" s="71">
        <v>1.0</v>
      </c>
      <c r="I69" s="84"/>
      <c r="J69" s="70">
        <v>1.0</v>
      </c>
      <c r="K69" s="71">
        <v>1.0</v>
      </c>
      <c r="L69" s="71">
        <v>1.0</v>
      </c>
      <c r="M69" s="84"/>
      <c r="N69" s="70">
        <v>0.0</v>
      </c>
      <c r="O69" s="70">
        <v>0.0</v>
      </c>
      <c r="P69" s="70">
        <v>0.0</v>
      </c>
      <c r="Q69" s="84"/>
      <c r="R69" s="70">
        <v>1.0</v>
      </c>
      <c r="S69" s="71">
        <v>1.0</v>
      </c>
      <c r="T69" s="71">
        <v>1.0</v>
      </c>
      <c r="U69" s="84"/>
      <c r="V69" s="65">
        <f t="shared" ref="V69:X69" si="62">SUM(B69,F69,J69,N69,R69)</f>
        <v>4</v>
      </c>
      <c r="W69" s="65">
        <f t="shared" si="62"/>
        <v>4</v>
      </c>
      <c r="X69" s="65">
        <f t="shared" si="62"/>
        <v>4</v>
      </c>
    </row>
    <row r="70">
      <c r="A70" s="87" t="s">
        <v>952</v>
      </c>
      <c r="B70" s="72">
        <v>1.0</v>
      </c>
      <c r="C70" s="73">
        <v>1.0</v>
      </c>
      <c r="D70" s="73">
        <v>1.0</v>
      </c>
      <c r="E70" s="88"/>
      <c r="F70" s="72">
        <v>1.0</v>
      </c>
      <c r="G70" s="73">
        <v>1.0</v>
      </c>
      <c r="H70" s="73">
        <v>1.0</v>
      </c>
      <c r="I70" s="88"/>
      <c r="J70" s="72">
        <v>1.0</v>
      </c>
      <c r="K70" s="73">
        <v>1.0</v>
      </c>
      <c r="L70" s="71">
        <v>1.0</v>
      </c>
      <c r="M70" s="88"/>
      <c r="N70" s="72">
        <v>0.0</v>
      </c>
      <c r="O70" s="72">
        <v>0.0</v>
      </c>
      <c r="P70" s="72">
        <v>0.0</v>
      </c>
      <c r="Q70" s="88"/>
      <c r="R70" s="72">
        <v>1.0</v>
      </c>
      <c r="S70" s="73">
        <v>1.0</v>
      </c>
      <c r="T70" s="73">
        <v>1.0</v>
      </c>
      <c r="U70" s="88"/>
      <c r="V70" s="65">
        <f t="shared" ref="V70:X70" si="63">SUM(B70,F70,J70,N70,R70)</f>
        <v>4</v>
      </c>
      <c r="W70" s="65">
        <f t="shared" si="63"/>
        <v>4</v>
      </c>
      <c r="X70" s="65">
        <f t="shared" si="63"/>
        <v>4</v>
      </c>
    </row>
    <row r="71">
      <c r="A71" s="75" t="s">
        <v>508</v>
      </c>
      <c r="B71" s="52" t="s">
        <v>935</v>
      </c>
      <c r="F71" s="53" t="s">
        <v>936</v>
      </c>
      <c r="J71" s="54" t="s">
        <v>937</v>
      </c>
      <c r="N71" s="55" t="s">
        <v>938</v>
      </c>
      <c r="R71" s="56" t="s">
        <v>939</v>
      </c>
    </row>
    <row r="72">
      <c r="B72" s="76" t="s">
        <v>210</v>
      </c>
      <c r="E72" s="58"/>
      <c r="F72" s="57" t="s">
        <v>956</v>
      </c>
      <c r="I72" s="58"/>
      <c r="J72" s="76" t="s">
        <v>207</v>
      </c>
      <c r="M72" s="58"/>
      <c r="N72" s="59" t="s">
        <v>957</v>
      </c>
      <c r="R72" s="76" t="s">
        <v>958</v>
      </c>
      <c r="U72" s="58"/>
    </row>
    <row r="73">
      <c r="B73" s="80" t="s">
        <v>943</v>
      </c>
      <c r="C73" s="81" t="s">
        <v>944</v>
      </c>
      <c r="D73" s="81" t="s">
        <v>945</v>
      </c>
      <c r="E73" s="82"/>
      <c r="F73" s="80" t="s">
        <v>943</v>
      </c>
      <c r="G73" s="81" t="s">
        <v>944</v>
      </c>
      <c r="H73" s="81" t="s">
        <v>945</v>
      </c>
      <c r="I73" s="82"/>
      <c r="J73" s="80" t="s">
        <v>943</v>
      </c>
      <c r="K73" s="81" t="s">
        <v>944</v>
      </c>
      <c r="L73" s="81" t="s">
        <v>945</v>
      </c>
      <c r="M73" s="82"/>
      <c r="N73" s="80" t="s">
        <v>943</v>
      </c>
      <c r="O73" s="81" t="s">
        <v>944</v>
      </c>
      <c r="P73" s="81" t="s">
        <v>945</v>
      </c>
      <c r="Q73" s="82"/>
      <c r="R73" s="80" t="s">
        <v>943</v>
      </c>
      <c r="S73" s="81" t="s">
        <v>944</v>
      </c>
      <c r="T73" s="81" t="s">
        <v>945</v>
      </c>
      <c r="U73" s="82"/>
    </row>
    <row r="74">
      <c r="A74" s="8" t="s">
        <v>946</v>
      </c>
      <c r="B74" s="70">
        <v>1.0</v>
      </c>
      <c r="C74" s="71">
        <v>1.0</v>
      </c>
      <c r="D74" s="71">
        <v>1.0</v>
      </c>
      <c r="E74" s="84"/>
      <c r="F74" s="70">
        <v>1.0</v>
      </c>
      <c r="G74" s="71">
        <v>1.0</v>
      </c>
      <c r="H74" s="71">
        <v>1.0</v>
      </c>
      <c r="I74" s="84"/>
      <c r="J74" s="70">
        <v>0.0</v>
      </c>
      <c r="K74" s="71">
        <v>1.0</v>
      </c>
      <c r="L74" s="71">
        <v>1.0</v>
      </c>
      <c r="M74" s="84"/>
      <c r="N74" s="70">
        <v>1.0</v>
      </c>
      <c r="O74" s="71">
        <v>1.0</v>
      </c>
      <c r="P74" s="71">
        <v>1.0</v>
      </c>
      <c r="Q74" s="84"/>
      <c r="R74" s="70">
        <v>1.0</v>
      </c>
      <c r="S74" s="71">
        <v>1.0</v>
      </c>
      <c r="T74" s="71">
        <v>1.0</v>
      </c>
      <c r="U74" s="84"/>
      <c r="V74" s="65">
        <f t="shared" ref="V74:X74" si="64">SUM(B74,F74,J74,N74,R74)</f>
        <v>4</v>
      </c>
      <c r="W74" s="65">
        <f t="shared" si="64"/>
        <v>5</v>
      </c>
      <c r="X74" s="65">
        <f t="shared" si="64"/>
        <v>5</v>
      </c>
    </row>
    <row r="75">
      <c r="A75" s="87" t="s">
        <v>947</v>
      </c>
      <c r="B75" s="70">
        <v>1.0</v>
      </c>
      <c r="C75" s="71">
        <v>1.0</v>
      </c>
      <c r="D75" s="71">
        <v>1.0</v>
      </c>
      <c r="E75" s="84"/>
      <c r="F75" s="70">
        <v>1.0</v>
      </c>
      <c r="G75" s="71">
        <v>1.0</v>
      </c>
      <c r="H75" s="71">
        <v>1.0</v>
      </c>
      <c r="I75" s="84"/>
      <c r="J75" s="70">
        <v>1.0</v>
      </c>
      <c r="K75" s="71">
        <v>1.0</v>
      </c>
      <c r="L75" s="71">
        <v>1.0</v>
      </c>
      <c r="M75" s="84"/>
      <c r="N75" s="70">
        <v>1.0</v>
      </c>
      <c r="O75" s="71">
        <v>1.0</v>
      </c>
      <c r="P75" s="71">
        <v>1.0</v>
      </c>
      <c r="Q75" s="84"/>
      <c r="R75" s="70">
        <v>1.0</v>
      </c>
      <c r="S75" s="71">
        <v>1.0</v>
      </c>
      <c r="T75" s="71">
        <v>1.0</v>
      </c>
      <c r="U75" s="84"/>
      <c r="V75" s="65">
        <f t="shared" ref="V75:X75" si="65">SUM(B75,F75,J75,N75,R75)</f>
        <v>5</v>
      </c>
      <c r="W75" s="65">
        <f t="shared" si="65"/>
        <v>5</v>
      </c>
      <c r="X75" s="65">
        <f t="shared" si="65"/>
        <v>5</v>
      </c>
    </row>
    <row r="76">
      <c r="A76" s="87" t="s">
        <v>948</v>
      </c>
      <c r="B76" s="70">
        <v>1.0</v>
      </c>
      <c r="C76" s="71">
        <v>1.0</v>
      </c>
      <c r="D76" s="71">
        <v>1.0</v>
      </c>
      <c r="E76" s="84"/>
      <c r="F76" s="70">
        <v>1.0</v>
      </c>
      <c r="G76" s="71">
        <v>1.0</v>
      </c>
      <c r="H76" s="71">
        <v>1.0</v>
      </c>
      <c r="I76" s="84"/>
      <c r="J76" s="70">
        <v>0.0</v>
      </c>
      <c r="K76" s="71">
        <v>1.0</v>
      </c>
      <c r="L76" s="71">
        <v>1.0</v>
      </c>
      <c r="M76" s="84"/>
      <c r="N76" s="70">
        <v>1.0</v>
      </c>
      <c r="O76" s="71">
        <v>1.0</v>
      </c>
      <c r="P76" s="71">
        <v>1.0</v>
      </c>
      <c r="Q76" s="84"/>
      <c r="R76" s="70">
        <v>0.0</v>
      </c>
      <c r="S76" s="71">
        <v>1.0</v>
      </c>
      <c r="T76" s="71">
        <v>1.0</v>
      </c>
      <c r="U76" s="84"/>
      <c r="V76" s="65">
        <f t="shared" ref="V76:X76" si="66">SUM(B76,F76,J76,N76,R76)</f>
        <v>3</v>
      </c>
      <c r="W76" s="65">
        <f t="shared" si="66"/>
        <v>5</v>
      </c>
      <c r="X76" s="65">
        <f t="shared" si="66"/>
        <v>5</v>
      </c>
    </row>
    <row r="77">
      <c r="A77" s="87" t="s">
        <v>949</v>
      </c>
      <c r="B77" s="70">
        <v>1.0</v>
      </c>
      <c r="C77" s="71">
        <v>1.0</v>
      </c>
      <c r="D77" s="71">
        <v>1.0</v>
      </c>
      <c r="E77" s="84"/>
      <c r="F77" s="70">
        <v>1.0</v>
      </c>
      <c r="G77" s="71">
        <v>1.0</v>
      </c>
      <c r="H77" s="71">
        <v>1.0</v>
      </c>
      <c r="I77" s="84"/>
      <c r="J77" s="70">
        <v>1.0</v>
      </c>
      <c r="K77" s="71">
        <v>1.0</v>
      </c>
      <c r="L77" s="71">
        <v>1.0</v>
      </c>
      <c r="M77" s="84"/>
      <c r="N77" s="70">
        <v>1.0</v>
      </c>
      <c r="O77" s="71">
        <v>1.0</v>
      </c>
      <c r="P77" s="71">
        <v>1.0</v>
      </c>
      <c r="Q77" s="84"/>
      <c r="R77" s="70">
        <v>1.0</v>
      </c>
      <c r="S77" s="71">
        <v>1.0</v>
      </c>
      <c r="T77" s="71">
        <v>1.0</v>
      </c>
      <c r="U77" s="84"/>
      <c r="V77" s="65">
        <f t="shared" ref="V77:X77" si="67">SUM(B77,F77,J77,N77,R77)</f>
        <v>5</v>
      </c>
      <c r="W77" s="65">
        <f t="shared" si="67"/>
        <v>5</v>
      </c>
      <c r="X77" s="65">
        <f t="shared" si="67"/>
        <v>5</v>
      </c>
    </row>
    <row r="78">
      <c r="A78" s="87" t="s">
        <v>950</v>
      </c>
      <c r="B78" s="70">
        <v>1.0</v>
      </c>
      <c r="C78" s="71">
        <v>1.0</v>
      </c>
      <c r="D78" s="71">
        <v>1.0</v>
      </c>
      <c r="E78" s="84"/>
      <c r="F78" s="70">
        <v>0.0</v>
      </c>
      <c r="G78" s="71">
        <v>1.0</v>
      </c>
      <c r="H78" s="71">
        <v>1.0</v>
      </c>
      <c r="I78" s="84"/>
      <c r="J78" s="70">
        <v>1.0</v>
      </c>
      <c r="K78" s="71">
        <v>1.0</v>
      </c>
      <c r="L78" s="71">
        <v>1.0</v>
      </c>
      <c r="M78" s="84"/>
      <c r="N78" s="70">
        <v>1.0</v>
      </c>
      <c r="O78" s="71">
        <v>1.0</v>
      </c>
      <c r="P78" s="71">
        <v>1.0</v>
      </c>
      <c r="Q78" s="84"/>
      <c r="R78" s="70">
        <v>1.0</v>
      </c>
      <c r="S78" s="71">
        <v>1.0</v>
      </c>
      <c r="T78" s="71">
        <v>1.0</v>
      </c>
      <c r="U78" s="84"/>
      <c r="V78" s="65">
        <f t="shared" ref="V78:X78" si="68">SUM(B78,F78,J78,N78,R78)</f>
        <v>4</v>
      </c>
      <c r="W78" s="65">
        <f t="shared" si="68"/>
        <v>5</v>
      </c>
      <c r="X78" s="65">
        <f t="shared" si="68"/>
        <v>5</v>
      </c>
    </row>
    <row r="79">
      <c r="A79" s="87" t="s">
        <v>951</v>
      </c>
      <c r="B79" s="70">
        <v>1.0</v>
      </c>
      <c r="C79" s="71">
        <v>1.0</v>
      </c>
      <c r="D79" s="71">
        <v>1.0</v>
      </c>
      <c r="E79" s="84"/>
      <c r="F79" s="70">
        <v>1.0</v>
      </c>
      <c r="G79" s="71">
        <v>1.0</v>
      </c>
      <c r="H79" s="71">
        <v>1.0</v>
      </c>
      <c r="I79" s="84"/>
      <c r="J79" s="70">
        <v>1.0</v>
      </c>
      <c r="K79" s="71">
        <v>1.0</v>
      </c>
      <c r="L79" s="71">
        <v>1.0</v>
      </c>
      <c r="M79" s="84"/>
      <c r="N79" s="70">
        <v>1.0</v>
      </c>
      <c r="O79" s="71">
        <v>1.0</v>
      </c>
      <c r="P79" s="71">
        <v>1.0</v>
      </c>
      <c r="Q79" s="84"/>
      <c r="R79" s="70">
        <v>1.0</v>
      </c>
      <c r="S79" s="71">
        <v>1.0</v>
      </c>
      <c r="T79" s="71">
        <v>1.0</v>
      </c>
      <c r="U79" s="84"/>
      <c r="V79" s="65">
        <f t="shared" ref="V79:X79" si="69">SUM(B79,F79,J79,N79,R79)</f>
        <v>5</v>
      </c>
      <c r="W79" s="65">
        <f t="shared" si="69"/>
        <v>5</v>
      </c>
      <c r="X79" s="65">
        <f t="shared" si="69"/>
        <v>5</v>
      </c>
    </row>
    <row r="80">
      <c r="A80" s="87" t="s">
        <v>952</v>
      </c>
      <c r="B80" s="72">
        <v>1.0</v>
      </c>
      <c r="C80" s="73">
        <v>1.0</v>
      </c>
      <c r="D80" s="73">
        <v>1.0</v>
      </c>
      <c r="E80" s="88"/>
      <c r="F80" s="72">
        <v>1.0</v>
      </c>
      <c r="G80" s="73">
        <v>1.0</v>
      </c>
      <c r="H80" s="73">
        <v>1.0</v>
      </c>
      <c r="I80" s="88"/>
      <c r="J80" s="72">
        <v>1.0</v>
      </c>
      <c r="K80" s="73">
        <v>1.0</v>
      </c>
      <c r="L80" s="73">
        <v>1.0</v>
      </c>
      <c r="M80" s="88"/>
      <c r="N80" s="72">
        <v>1.0</v>
      </c>
      <c r="O80" s="73">
        <v>1.0</v>
      </c>
      <c r="P80" s="73">
        <v>1.0</v>
      </c>
      <c r="Q80" s="88"/>
      <c r="R80" s="72">
        <v>1.0</v>
      </c>
      <c r="S80" s="73">
        <v>1.0</v>
      </c>
      <c r="T80" s="73">
        <v>1.0</v>
      </c>
      <c r="U80" s="88"/>
      <c r="V80" s="65">
        <f t="shared" ref="V80:X80" si="70">SUM(B80,F80,J80,N80,R80)</f>
        <v>5</v>
      </c>
      <c r="W80" s="65">
        <f t="shared" si="70"/>
        <v>5</v>
      </c>
      <c r="X80" s="65">
        <f t="shared" si="70"/>
        <v>5</v>
      </c>
    </row>
    <row r="81">
      <c r="A81" s="75" t="s">
        <v>518</v>
      </c>
      <c r="B81" s="52" t="s">
        <v>935</v>
      </c>
      <c r="F81" s="53" t="s">
        <v>936</v>
      </c>
      <c r="J81" s="54" t="s">
        <v>937</v>
      </c>
      <c r="N81" s="55" t="s">
        <v>938</v>
      </c>
      <c r="R81" s="56" t="s">
        <v>939</v>
      </c>
    </row>
    <row r="82">
      <c r="B82" s="76" t="s">
        <v>221</v>
      </c>
      <c r="E82" s="58"/>
      <c r="F82" s="57" t="s">
        <v>218</v>
      </c>
      <c r="I82" s="58"/>
      <c r="J82" s="76" t="s">
        <v>18</v>
      </c>
      <c r="M82" s="58"/>
      <c r="N82" s="76" t="s">
        <v>959</v>
      </c>
      <c r="Q82" s="58"/>
      <c r="R82" s="76" t="s">
        <v>220</v>
      </c>
      <c r="U82" s="58"/>
    </row>
    <row r="83">
      <c r="B83" s="80" t="s">
        <v>943</v>
      </c>
      <c r="C83" s="81" t="s">
        <v>944</v>
      </c>
      <c r="D83" s="81" t="s">
        <v>945</v>
      </c>
      <c r="E83" s="82"/>
      <c r="F83" s="80" t="s">
        <v>943</v>
      </c>
      <c r="G83" s="81" t="s">
        <v>944</v>
      </c>
      <c r="H83" s="81" t="s">
        <v>945</v>
      </c>
      <c r="I83" s="82"/>
      <c r="J83" s="80" t="s">
        <v>943</v>
      </c>
      <c r="K83" s="81" t="s">
        <v>944</v>
      </c>
      <c r="L83" s="81" t="s">
        <v>945</v>
      </c>
      <c r="M83" s="82"/>
      <c r="N83" s="80" t="s">
        <v>943</v>
      </c>
      <c r="O83" s="81" t="s">
        <v>944</v>
      </c>
      <c r="P83" s="81" t="s">
        <v>945</v>
      </c>
      <c r="Q83" s="82"/>
      <c r="R83" s="80" t="s">
        <v>943</v>
      </c>
      <c r="S83" s="81" t="s">
        <v>944</v>
      </c>
      <c r="T83" s="81" t="s">
        <v>945</v>
      </c>
      <c r="U83" s="82"/>
    </row>
    <row r="84">
      <c r="A84" s="8" t="s">
        <v>946</v>
      </c>
      <c r="B84" s="70">
        <v>1.0</v>
      </c>
      <c r="C84" s="71">
        <v>1.0</v>
      </c>
      <c r="D84" s="71">
        <v>1.0</v>
      </c>
      <c r="E84" s="84"/>
      <c r="F84" s="70">
        <v>0.0</v>
      </c>
      <c r="G84" s="71">
        <v>0.0</v>
      </c>
      <c r="H84" s="71">
        <v>1.0</v>
      </c>
      <c r="I84" s="84"/>
      <c r="J84" s="70">
        <v>1.0</v>
      </c>
      <c r="K84" s="71">
        <v>1.0</v>
      </c>
      <c r="L84" s="71">
        <v>1.0</v>
      </c>
      <c r="M84" s="84"/>
      <c r="N84" s="70">
        <v>1.0</v>
      </c>
      <c r="O84" s="70">
        <v>1.0</v>
      </c>
      <c r="P84" s="70">
        <v>1.0</v>
      </c>
      <c r="Q84" s="84"/>
      <c r="R84" s="70">
        <v>1.0</v>
      </c>
      <c r="S84" s="71">
        <v>1.0</v>
      </c>
      <c r="T84" s="71">
        <v>1.0</v>
      </c>
      <c r="U84" s="84"/>
      <c r="V84" s="65">
        <f t="shared" ref="V84:X84" si="71">SUM(B84,F84,J84,N84,R84)</f>
        <v>4</v>
      </c>
      <c r="W84" s="65">
        <f t="shared" si="71"/>
        <v>4</v>
      </c>
      <c r="X84" s="65">
        <f t="shared" si="71"/>
        <v>5</v>
      </c>
    </row>
    <row r="85">
      <c r="A85" s="87" t="s">
        <v>947</v>
      </c>
      <c r="B85" s="70">
        <v>1.0</v>
      </c>
      <c r="C85" s="71">
        <v>1.0</v>
      </c>
      <c r="D85" s="71">
        <v>1.0</v>
      </c>
      <c r="E85" s="84"/>
      <c r="F85" s="70">
        <v>1.0</v>
      </c>
      <c r="G85" s="71">
        <v>1.0</v>
      </c>
      <c r="H85" s="71">
        <v>1.0</v>
      </c>
      <c r="I85" s="84"/>
      <c r="J85" s="70">
        <v>1.0</v>
      </c>
      <c r="K85" s="71">
        <v>1.0</v>
      </c>
      <c r="L85" s="71">
        <v>1.0</v>
      </c>
      <c r="M85" s="84"/>
      <c r="N85" s="70">
        <v>1.0</v>
      </c>
      <c r="O85" s="70">
        <v>1.0</v>
      </c>
      <c r="P85" s="70">
        <v>1.0</v>
      </c>
      <c r="Q85" s="84"/>
      <c r="R85" s="70">
        <v>1.0</v>
      </c>
      <c r="S85" s="71">
        <v>1.0</v>
      </c>
      <c r="T85" s="71">
        <v>1.0</v>
      </c>
      <c r="U85" s="84"/>
      <c r="V85" s="65">
        <f t="shared" ref="V85:X85" si="72">SUM(B85,F85,J85,N85,R85)</f>
        <v>5</v>
      </c>
      <c r="W85" s="65">
        <f t="shared" si="72"/>
        <v>5</v>
      </c>
      <c r="X85" s="65">
        <f t="shared" si="72"/>
        <v>5</v>
      </c>
    </row>
    <row r="86">
      <c r="A86" s="87" t="s">
        <v>948</v>
      </c>
      <c r="B86" s="70">
        <v>1.0</v>
      </c>
      <c r="C86" s="71">
        <v>1.0</v>
      </c>
      <c r="D86" s="71">
        <v>1.0</v>
      </c>
      <c r="E86" s="84"/>
      <c r="F86" s="70">
        <v>0.0</v>
      </c>
      <c r="G86" s="71">
        <v>0.0</v>
      </c>
      <c r="H86" s="71">
        <v>1.0</v>
      </c>
      <c r="I86" s="84"/>
      <c r="J86" s="70">
        <v>1.0</v>
      </c>
      <c r="K86" s="71">
        <v>1.0</v>
      </c>
      <c r="L86" s="71">
        <v>1.0</v>
      </c>
      <c r="M86" s="84"/>
      <c r="N86" s="70">
        <v>0.0</v>
      </c>
      <c r="O86" s="70">
        <v>0.0</v>
      </c>
      <c r="P86" s="70">
        <v>1.0</v>
      </c>
      <c r="Q86" s="84"/>
      <c r="R86" s="70">
        <v>1.0</v>
      </c>
      <c r="S86" s="71">
        <v>1.0</v>
      </c>
      <c r="T86" s="71">
        <v>1.0</v>
      </c>
      <c r="U86" s="84"/>
      <c r="V86" s="65">
        <f t="shared" ref="V86:X86" si="73">SUM(B86,F86,J86,N86,R86)</f>
        <v>3</v>
      </c>
      <c r="W86" s="65">
        <f t="shared" si="73"/>
        <v>3</v>
      </c>
      <c r="X86" s="65">
        <f t="shared" si="73"/>
        <v>5</v>
      </c>
    </row>
    <row r="87">
      <c r="A87" s="87" t="s">
        <v>949</v>
      </c>
      <c r="B87" s="70">
        <v>1.0</v>
      </c>
      <c r="C87" s="71">
        <v>1.0</v>
      </c>
      <c r="D87" s="71">
        <v>1.0</v>
      </c>
      <c r="E87" s="84"/>
      <c r="F87" s="70">
        <v>0.0</v>
      </c>
      <c r="G87" s="71">
        <v>1.0</v>
      </c>
      <c r="H87" s="71">
        <v>1.0</v>
      </c>
      <c r="I87" s="84"/>
      <c r="J87" s="70">
        <v>1.0</v>
      </c>
      <c r="K87" s="71">
        <v>1.0</v>
      </c>
      <c r="L87" s="71">
        <v>1.0</v>
      </c>
      <c r="M87" s="84"/>
      <c r="N87" s="70">
        <v>1.0</v>
      </c>
      <c r="O87" s="70">
        <v>1.0</v>
      </c>
      <c r="P87" s="70">
        <v>1.0</v>
      </c>
      <c r="Q87" s="84"/>
      <c r="R87" s="70">
        <v>1.0</v>
      </c>
      <c r="S87" s="71">
        <v>1.0</v>
      </c>
      <c r="T87" s="71">
        <v>1.0</v>
      </c>
      <c r="U87" s="84"/>
      <c r="V87" s="65">
        <f t="shared" ref="V87:X87" si="74">SUM(B87,F87,J87,N87,R87)</f>
        <v>4</v>
      </c>
      <c r="W87" s="65">
        <f t="shared" si="74"/>
        <v>5</v>
      </c>
      <c r="X87" s="65">
        <f t="shared" si="74"/>
        <v>5</v>
      </c>
    </row>
    <row r="88">
      <c r="A88" s="87" t="s">
        <v>950</v>
      </c>
      <c r="B88" s="70">
        <v>1.0</v>
      </c>
      <c r="C88" s="71">
        <v>1.0</v>
      </c>
      <c r="D88" s="71">
        <v>1.0</v>
      </c>
      <c r="E88" s="84"/>
      <c r="F88" s="70">
        <v>1.0</v>
      </c>
      <c r="G88" s="71">
        <v>1.0</v>
      </c>
      <c r="H88" s="71">
        <v>1.0</v>
      </c>
      <c r="I88" s="84"/>
      <c r="J88" s="70">
        <v>1.0</v>
      </c>
      <c r="K88" s="71">
        <v>1.0</v>
      </c>
      <c r="L88" s="71">
        <v>1.0</v>
      </c>
      <c r="M88" s="84"/>
      <c r="N88" s="70">
        <v>1.0</v>
      </c>
      <c r="O88" s="70">
        <v>1.0</v>
      </c>
      <c r="P88" s="70">
        <v>1.0</v>
      </c>
      <c r="Q88" s="84"/>
      <c r="R88" s="70">
        <v>1.0</v>
      </c>
      <c r="S88" s="71">
        <v>1.0</v>
      </c>
      <c r="T88" s="71">
        <v>1.0</v>
      </c>
      <c r="U88" s="84"/>
      <c r="V88" s="65">
        <f t="shared" ref="V88:X88" si="75">SUM(B88,F88,J88,N88,R88)</f>
        <v>5</v>
      </c>
      <c r="W88" s="65">
        <f t="shared" si="75"/>
        <v>5</v>
      </c>
      <c r="X88" s="65">
        <f t="shared" si="75"/>
        <v>5</v>
      </c>
    </row>
    <row r="89">
      <c r="A89" s="87" t="s">
        <v>951</v>
      </c>
      <c r="B89" s="70">
        <v>1.0</v>
      </c>
      <c r="C89" s="71">
        <v>1.0</v>
      </c>
      <c r="D89" s="71">
        <v>1.0</v>
      </c>
      <c r="E89" s="84"/>
      <c r="F89" s="70">
        <v>1.0</v>
      </c>
      <c r="G89" s="71">
        <v>1.0</v>
      </c>
      <c r="H89" s="71">
        <v>1.0</v>
      </c>
      <c r="I89" s="84"/>
      <c r="J89" s="70">
        <v>1.0</v>
      </c>
      <c r="K89" s="71">
        <v>1.0</v>
      </c>
      <c r="L89" s="71">
        <v>1.0</v>
      </c>
      <c r="M89" s="84"/>
      <c r="N89" s="70">
        <v>1.0</v>
      </c>
      <c r="O89" s="70">
        <v>1.0</v>
      </c>
      <c r="P89" s="70">
        <v>1.0</v>
      </c>
      <c r="Q89" s="84"/>
      <c r="R89" s="70">
        <v>1.0</v>
      </c>
      <c r="S89" s="71">
        <v>1.0</v>
      </c>
      <c r="T89" s="71">
        <v>1.0</v>
      </c>
      <c r="U89" s="84"/>
      <c r="V89" s="65">
        <f t="shared" ref="V89:X89" si="76">SUM(B89,F89,J89,N89,R89)</f>
        <v>5</v>
      </c>
      <c r="W89" s="65">
        <f t="shared" si="76"/>
        <v>5</v>
      </c>
      <c r="X89" s="65">
        <f t="shared" si="76"/>
        <v>5</v>
      </c>
    </row>
    <row r="90">
      <c r="A90" s="87" t="s">
        <v>952</v>
      </c>
      <c r="B90" s="72">
        <v>1.0</v>
      </c>
      <c r="C90" s="73">
        <v>1.0</v>
      </c>
      <c r="D90" s="73">
        <v>1.0</v>
      </c>
      <c r="E90" s="88"/>
      <c r="F90" s="72">
        <v>1.0</v>
      </c>
      <c r="G90" s="73">
        <v>1.0</v>
      </c>
      <c r="H90" s="73">
        <v>1.0</v>
      </c>
      <c r="I90" s="88"/>
      <c r="J90" s="72">
        <v>1.0</v>
      </c>
      <c r="K90" s="73">
        <v>1.0</v>
      </c>
      <c r="L90" s="73">
        <v>1.0</v>
      </c>
      <c r="M90" s="88"/>
      <c r="N90" s="72">
        <v>1.0</v>
      </c>
      <c r="O90" s="72">
        <v>1.0</v>
      </c>
      <c r="P90" s="72">
        <v>1.0</v>
      </c>
      <c r="Q90" s="88"/>
      <c r="R90" s="72">
        <v>1.0</v>
      </c>
      <c r="S90" s="73">
        <v>1.0</v>
      </c>
      <c r="T90" s="73">
        <v>1.0</v>
      </c>
      <c r="U90" s="88"/>
      <c r="V90" s="65">
        <f t="shared" ref="V90:X90" si="77">SUM(B90,F90,J90,N90,R90)</f>
        <v>5</v>
      </c>
      <c r="W90" s="65">
        <f t="shared" si="77"/>
        <v>5</v>
      </c>
      <c r="X90" s="65">
        <f t="shared" si="77"/>
        <v>5</v>
      </c>
    </row>
    <row r="91">
      <c r="A91" s="75" t="s">
        <v>528</v>
      </c>
      <c r="B91" s="52" t="s">
        <v>935</v>
      </c>
      <c r="F91" s="53" t="s">
        <v>936</v>
      </c>
      <c r="J91" s="54" t="s">
        <v>937</v>
      </c>
      <c r="N91" s="55" t="s">
        <v>938</v>
      </c>
      <c r="R91" s="56" t="s">
        <v>939</v>
      </c>
    </row>
    <row r="92">
      <c r="B92" s="76" t="s">
        <v>131</v>
      </c>
      <c r="E92" s="58"/>
      <c r="F92" s="92" t="s">
        <v>127</v>
      </c>
      <c r="I92" s="58"/>
      <c r="J92" s="76" t="s">
        <v>128</v>
      </c>
      <c r="M92" s="58"/>
      <c r="N92" s="76" t="s">
        <v>960</v>
      </c>
      <c r="Q92" s="58"/>
      <c r="R92" s="76" t="s">
        <v>130</v>
      </c>
      <c r="U92" s="58"/>
    </row>
    <row r="93">
      <c r="B93" s="80" t="s">
        <v>943</v>
      </c>
      <c r="C93" s="81" t="s">
        <v>944</v>
      </c>
      <c r="D93" s="81" t="s">
        <v>945</v>
      </c>
      <c r="E93" s="82"/>
      <c r="F93" s="80" t="s">
        <v>943</v>
      </c>
      <c r="G93" s="81" t="s">
        <v>944</v>
      </c>
      <c r="H93" s="81" t="s">
        <v>945</v>
      </c>
      <c r="I93" s="82"/>
      <c r="J93" s="80" t="s">
        <v>943</v>
      </c>
      <c r="K93" s="81" t="s">
        <v>944</v>
      </c>
      <c r="L93" s="81" t="s">
        <v>945</v>
      </c>
      <c r="M93" s="82"/>
      <c r="N93" s="80" t="s">
        <v>943</v>
      </c>
      <c r="O93" s="81" t="s">
        <v>944</v>
      </c>
      <c r="P93" s="81" t="s">
        <v>945</v>
      </c>
      <c r="Q93" s="82"/>
      <c r="R93" s="80" t="s">
        <v>943</v>
      </c>
      <c r="S93" s="81" t="s">
        <v>944</v>
      </c>
      <c r="T93" s="81" t="s">
        <v>945</v>
      </c>
      <c r="U93" s="82"/>
    </row>
    <row r="94">
      <c r="A94" s="8" t="s">
        <v>946</v>
      </c>
      <c r="B94" s="70">
        <v>1.0</v>
      </c>
      <c r="C94" s="71">
        <v>1.0</v>
      </c>
      <c r="D94" s="71">
        <v>1.0</v>
      </c>
      <c r="E94" s="84"/>
      <c r="F94" s="70">
        <v>1.0</v>
      </c>
      <c r="G94" s="71">
        <v>0.0</v>
      </c>
      <c r="H94" s="71">
        <v>1.0</v>
      </c>
      <c r="I94" s="84"/>
      <c r="J94" s="70">
        <v>1.0</v>
      </c>
      <c r="K94" s="71">
        <v>1.0</v>
      </c>
      <c r="L94" s="71">
        <v>1.0</v>
      </c>
      <c r="M94" s="84"/>
      <c r="N94" s="70">
        <v>1.0</v>
      </c>
      <c r="O94" s="71">
        <v>1.0</v>
      </c>
      <c r="P94" s="71">
        <v>1.0</v>
      </c>
      <c r="Q94" s="84"/>
      <c r="R94" s="70">
        <v>1.0</v>
      </c>
      <c r="S94" s="71">
        <v>1.0</v>
      </c>
      <c r="T94" s="71">
        <v>1.0</v>
      </c>
      <c r="U94" s="84"/>
      <c r="V94" s="65">
        <f t="shared" ref="V94:X94" si="78">SUM(B94,F94,J94,N94,R94)</f>
        <v>5</v>
      </c>
      <c r="W94" s="65">
        <f t="shared" si="78"/>
        <v>4</v>
      </c>
      <c r="X94" s="65">
        <f t="shared" si="78"/>
        <v>5</v>
      </c>
    </row>
    <row r="95">
      <c r="A95" s="87" t="s">
        <v>947</v>
      </c>
      <c r="B95" s="70">
        <v>1.0</v>
      </c>
      <c r="C95" s="71">
        <v>1.0</v>
      </c>
      <c r="D95" s="71">
        <v>1.0</v>
      </c>
      <c r="E95" s="84"/>
      <c r="F95" s="70">
        <v>1.0</v>
      </c>
      <c r="G95" s="71">
        <v>1.0</v>
      </c>
      <c r="H95" s="71">
        <v>1.0</v>
      </c>
      <c r="I95" s="84"/>
      <c r="J95" s="70">
        <v>1.0</v>
      </c>
      <c r="K95" s="71">
        <v>1.0</v>
      </c>
      <c r="L95" s="71">
        <v>1.0</v>
      </c>
      <c r="M95" s="84"/>
      <c r="N95" s="70">
        <v>1.0</v>
      </c>
      <c r="O95" s="71">
        <v>1.0</v>
      </c>
      <c r="P95" s="71">
        <v>1.0</v>
      </c>
      <c r="Q95" s="84"/>
      <c r="R95" s="70">
        <v>1.0</v>
      </c>
      <c r="S95" s="71">
        <v>1.0</v>
      </c>
      <c r="T95" s="71">
        <v>1.0</v>
      </c>
      <c r="U95" s="84"/>
      <c r="V95" s="65">
        <f t="shared" ref="V95:X95" si="79">SUM(B95,F95,J95,N95,R95)</f>
        <v>5</v>
      </c>
      <c r="W95" s="65">
        <f t="shared" si="79"/>
        <v>5</v>
      </c>
      <c r="X95" s="65">
        <f t="shared" si="79"/>
        <v>5</v>
      </c>
    </row>
    <row r="96">
      <c r="A96" s="87" t="s">
        <v>948</v>
      </c>
      <c r="B96" s="70">
        <v>1.0</v>
      </c>
      <c r="C96" s="71">
        <v>1.0</v>
      </c>
      <c r="D96" s="71">
        <v>1.0</v>
      </c>
      <c r="E96" s="84"/>
      <c r="F96" s="70">
        <v>1.0</v>
      </c>
      <c r="G96" s="71">
        <v>0.0</v>
      </c>
      <c r="H96" s="71">
        <v>1.0</v>
      </c>
      <c r="I96" s="84"/>
      <c r="J96" s="70">
        <v>1.0</v>
      </c>
      <c r="K96" s="71">
        <v>1.0</v>
      </c>
      <c r="L96" s="71">
        <v>1.0</v>
      </c>
      <c r="M96" s="84"/>
      <c r="N96" s="70">
        <v>1.0</v>
      </c>
      <c r="O96" s="71">
        <v>1.0</v>
      </c>
      <c r="P96" s="71">
        <v>1.0</v>
      </c>
      <c r="Q96" s="84"/>
      <c r="R96" s="70">
        <v>1.0</v>
      </c>
      <c r="S96" s="71">
        <v>1.0</v>
      </c>
      <c r="T96" s="71">
        <v>1.0</v>
      </c>
      <c r="U96" s="84"/>
      <c r="V96" s="65">
        <f t="shared" ref="V96:X96" si="80">SUM(B96,F96,J96,N96,R96)</f>
        <v>5</v>
      </c>
      <c r="W96" s="65">
        <f t="shared" si="80"/>
        <v>4</v>
      </c>
      <c r="X96" s="65">
        <f t="shared" si="80"/>
        <v>5</v>
      </c>
    </row>
    <row r="97">
      <c r="A97" s="87" t="s">
        <v>949</v>
      </c>
      <c r="B97" s="70">
        <v>1.0</v>
      </c>
      <c r="C97" s="71">
        <v>1.0</v>
      </c>
      <c r="D97" s="71">
        <v>1.0</v>
      </c>
      <c r="E97" s="84"/>
      <c r="F97" s="70">
        <v>1.0</v>
      </c>
      <c r="G97" s="71">
        <v>1.0</v>
      </c>
      <c r="H97" s="71">
        <v>1.0</v>
      </c>
      <c r="I97" s="84"/>
      <c r="J97" s="70">
        <v>1.0</v>
      </c>
      <c r="K97" s="71">
        <v>1.0</v>
      </c>
      <c r="L97" s="71">
        <v>1.0</v>
      </c>
      <c r="M97" s="84"/>
      <c r="N97" s="70">
        <v>1.0</v>
      </c>
      <c r="O97" s="71">
        <v>1.0</v>
      </c>
      <c r="P97" s="71">
        <v>1.0</v>
      </c>
      <c r="Q97" s="84"/>
      <c r="R97" s="70">
        <v>1.0</v>
      </c>
      <c r="S97" s="71">
        <v>1.0</v>
      </c>
      <c r="T97" s="71">
        <v>1.0</v>
      </c>
      <c r="U97" s="84"/>
      <c r="V97" s="65">
        <f t="shared" ref="V97:X97" si="81">SUM(B97,F97,J97,N97,R97)</f>
        <v>5</v>
      </c>
      <c r="W97" s="65">
        <f t="shared" si="81"/>
        <v>5</v>
      </c>
      <c r="X97" s="65">
        <f t="shared" si="81"/>
        <v>5</v>
      </c>
    </row>
    <row r="98">
      <c r="A98" s="87" t="s">
        <v>950</v>
      </c>
      <c r="B98" s="70">
        <v>1.0</v>
      </c>
      <c r="C98" s="71">
        <v>1.0</v>
      </c>
      <c r="D98" s="71">
        <v>1.0</v>
      </c>
      <c r="E98" s="84"/>
      <c r="F98" s="70">
        <v>1.0</v>
      </c>
      <c r="G98" s="71">
        <v>0.0</v>
      </c>
      <c r="H98" s="71">
        <v>1.0</v>
      </c>
      <c r="I98" s="84"/>
      <c r="J98" s="70">
        <v>1.0</v>
      </c>
      <c r="K98" s="71">
        <v>1.0</v>
      </c>
      <c r="L98" s="71">
        <v>1.0</v>
      </c>
      <c r="M98" s="84"/>
      <c r="N98" s="70">
        <v>1.0</v>
      </c>
      <c r="O98" s="71">
        <v>1.0</v>
      </c>
      <c r="P98" s="71">
        <v>1.0</v>
      </c>
      <c r="Q98" s="84"/>
      <c r="R98" s="70">
        <v>1.0</v>
      </c>
      <c r="S98" s="71">
        <v>1.0</v>
      </c>
      <c r="T98" s="71">
        <v>1.0</v>
      </c>
      <c r="U98" s="84"/>
      <c r="V98" s="65">
        <f t="shared" ref="V98:X98" si="82">SUM(B98,F98,J98,N98,R98)</f>
        <v>5</v>
      </c>
      <c r="W98" s="65">
        <f t="shared" si="82"/>
        <v>4</v>
      </c>
      <c r="X98" s="65">
        <f t="shared" si="82"/>
        <v>5</v>
      </c>
    </row>
    <row r="99">
      <c r="A99" s="87" t="s">
        <v>951</v>
      </c>
      <c r="B99" s="70">
        <v>1.0</v>
      </c>
      <c r="C99" s="71">
        <v>1.0</v>
      </c>
      <c r="D99" s="71">
        <v>1.0</v>
      </c>
      <c r="E99" s="84"/>
      <c r="F99" s="70">
        <v>1.0</v>
      </c>
      <c r="G99" s="71">
        <v>1.0</v>
      </c>
      <c r="H99" s="71">
        <v>1.0</v>
      </c>
      <c r="I99" s="84"/>
      <c r="J99" s="70">
        <v>1.0</v>
      </c>
      <c r="K99" s="71">
        <v>1.0</v>
      </c>
      <c r="L99" s="71">
        <v>1.0</v>
      </c>
      <c r="M99" s="84"/>
      <c r="N99" s="70">
        <v>1.0</v>
      </c>
      <c r="O99" s="71">
        <v>1.0</v>
      </c>
      <c r="P99" s="71">
        <v>1.0</v>
      </c>
      <c r="Q99" s="84"/>
      <c r="R99" s="70">
        <v>1.0</v>
      </c>
      <c r="S99" s="71">
        <v>1.0</v>
      </c>
      <c r="T99" s="71">
        <v>1.0</v>
      </c>
      <c r="U99" s="84"/>
      <c r="V99" s="65">
        <f t="shared" ref="V99:X99" si="83">SUM(B99,F99,J99,N99,R99)</f>
        <v>5</v>
      </c>
      <c r="W99" s="65">
        <f t="shared" si="83"/>
        <v>5</v>
      </c>
      <c r="X99" s="65">
        <f t="shared" si="83"/>
        <v>5</v>
      </c>
    </row>
    <row r="100">
      <c r="A100" s="87" t="s">
        <v>952</v>
      </c>
      <c r="B100" s="72">
        <v>1.0</v>
      </c>
      <c r="C100" s="73">
        <v>1.0</v>
      </c>
      <c r="D100" s="73">
        <v>1.0</v>
      </c>
      <c r="E100" s="88"/>
      <c r="F100" s="72">
        <v>1.0</v>
      </c>
      <c r="G100" s="73">
        <v>1.0</v>
      </c>
      <c r="H100" s="73">
        <v>1.0</v>
      </c>
      <c r="I100" s="88"/>
      <c r="J100" s="72">
        <v>1.0</v>
      </c>
      <c r="K100" s="73">
        <v>1.0</v>
      </c>
      <c r="L100" s="73">
        <v>1.0</v>
      </c>
      <c r="M100" s="88"/>
      <c r="N100" s="72">
        <v>1.0</v>
      </c>
      <c r="O100" s="73">
        <v>1.0</v>
      </c>
      <c r="P100" s="73">
        <v>1.0</v>
      </c>
      <c r="Q100" s="88"/>
      <c r="R100" s="72">
        <v>1.0</v>
      </c>
      <c r="S100" s="73">
        <v>1.0</v>
      </c>
      <c r="T100" s="73">
        <v>1.0</v>
      </c>
      <c r="U100" s="88"/>
      <c r="V100" s="65">
        <f t="shared" ref="V100:X100" si="84">SUM(B100,F100,J100,N100,R100)</f>
        <v>5</v>
      </c>
      <c r="W100" s="65">
        <f t="shared" si="84"/>
        <v>5</v>
      </c>
      <c r="X100" s="65">
        <f t="shared" si="84"/>
        <v>5</v>
      </c>
    </row>
    <row r="101">
      <c r="A101" s="75" t="s">
        <v>538</v>
      </c>
      <c r="B101" s="52" t="s">
        <v>935</v>
      </c>
      <c r="F101" s="53" t="s">
        <v>936</v>
      </c>
      <c r="J101" s="54" t="s">
        <v>937</v>
      </c>
      <c r="N101" s="55" t="s">
        <v>938</v>
      </c>
      <c r="R101" s="56" t="s">
        <v>939</v>
      </c>
    </row>
    <row r="102">
      <c r="B102" s="76" t="s">
        <v>961</v>
      </c>
      <c r="E102" s="58"/>
      <c r="F102" s="92" t="s">
        <v>17</v>
      </c>
      <c r="I102" s="58"/>
      <c r="J102" s="76" t="s">
        <v>18</v>
      </c>
      <c r="M102" s="58"/>
      <c r="N102" s="76" t="s">
        <v>19</v>
      </c>
      <c r="Q102" s="58"/>
      <c r="R102" s="76" t="s">
        <v>20</v>
      </c>
      <c r="U102" s="58"/>
    </row>
    <row r="103">
      <c r="B103" s="80" t="s">
        <v>943</v>
      </c>
      <c r="C103" s="81" t="s">
        <v>944</v>
      </c>
      <c r="D103" s="81" t="s">
        <v>945</v>
      </c>
      <c r="E103" s="82"/>
      <c r="F103" s="80" t="s">
        <v>943</v>
      </c>
      <c r="G103" s="81" t="s">
        <v>944</v>
      </c>
      <c r="H103" s="81" t="s">
        <v>945</v>
      </c>
      <c r="I103" s="82"/>
      <c r="J103" s="80" t="s">
        <v>943</v>
      </c>
      <c r="K103" s="81" t="s">
        <v>944</v>
      </c>
      <c r="L103" s="81" t="s">
        <v>945</v>
      </c>
      <c r="M103" s="82"/>
      <c r="N103" s="80" t="s">
        <v>943</v>
      </c>
      <c r="O103" s="81" t="s">
        <v>944</v>
      </c>
      <c r="P103" s="81" t="s">
        <v>945</v>
      </c>
      <c r="Q103" s="82"/>
      <c r="R103" s="80" t="s">
        <v>943</v>
      </c>
      <c r="S103" s="81" t="s">
        <v>944</v>
      </c>
      <c r="T103" s="81" t="s">
        <v>945</v>
      </c>
      <c r="U103" s="82"/>
    </row>
    <row r="104">
      <c r="A104" s="8" t="s">
        <v>946</v>
      </c>
      <c r="B104" s="70">
        <v>1.0</v>
      </c>
      <c r="C104" s="71">
        <v>1.0</v>
      </c>
      <c r="D104" s="71">
        <v>1.0</v>
      </c>
      <c r="E104" s="84"/>
      <c r="F104" s="70">
        <v>1.0</v>
      </c>
      <c r="G104" s="71">
        <v>1.0</v>
      </c>
      <c r="H104" s="71">
        <v>1.0</v>
      </c>
      <c r="I104" s="84"/>
      <c r="J104" s="70">
        <v>1.0</v>
      </c>
      <c r="K104" s="71">
        <v>1.0</v>
      </c>
      <c r="L104" s="71">
        <v>1.0</v>
      </c>
      <c r="M104" s="84"/>
      <c r="N104" s="70">
        <v>0.0</v>
      </c>
      <c r="O104" s="71">
        <v>0.0</v>
      </c>
      <c r="P104" s="71">
        <v>1.0</v>
      </c>
      <c r="Q104" s="84"/>
      <c r="R104" s="70">
        <v>1.0</v>
      </c>
      <c r="S104" s="71">
        <v>1.0</v>
      </c>
      <c r="T104" s="71">
        <v>1.0</v>
      </c>
      <c r="U104" s="84"/>
      <c r="V104" s="65">
        <f t="shared" ref="V104:X104" si="85">SUM(B104,F104,J104,N104,R104)</f>
        <v>4</v>
      </c>
      <c r="W104" s="65">
        <f t="shared" si="85"/>
        <v>4</v>
      </c>
      <c r="X104" s="65">
        <f t="shared" si="85"/>
        <v>5</v>
      </c>
    </row>
    <row r="105">
      <c r="A105" s="87" t="s">
        <v>947</v>
      </c>
      <c r="B105" s="70">
        <v>1.0</v>
      </c>
      <c r="C105" s="71">
        <v>1.0</v>
      </c>
      <c r="D105" s="71">
        <v>1.0</v>
      </c>
      <c r="E105" s="84"/>
      <c r="F105" s="70">
        <v>1.0</v>
      </c>
      <c r="G105" s="71">
        <v>1.0</v>
      </c>
      <c r="H105" s="71">
        <v>1.0</v>
      </c>
      <c r="I105" s="84"/>
      <c r="J105" s="70">
        <v>1.0</v>
      </c>
      <c r="K105" s="71">
        <v>1.0</v>
      </c>
      <c r="L105" s="71">
        <v>1.0</v>
      </c>
      <c r="M105" s="84"/>
      <c r="N105" s="70">
        <v>0.0</v>
      </c>
      <c r="O105" s="71">
        <v>0.0</v>
      </c>
      <c r="P105" s="71">
        <v>1.0</v>
      </c>
      <c r="Q105" s="84"/>
      <c r="R105" s="70">
        <v>1.0</v>
      </c>
      <c r="S105" s="71">
        <v>1.0</v>
      </c>
      <c r="T105" s="71">
        <v>1.0</v>
      </c>
      <c r="U105" s="84"/>
      <c r="V105" s="65">
        <f t="shared" ref="V105:X105" si="86">SUM(B105,F105,J105,N105,R105)</f>
        <v>4</v>
      </c>
      <c r="W105" s="65">
        <f t="shared" si="86"/>
        <v>4</v>
      </c>
      <c r="X105" s="65">
        <f t="shared" si="86"/>
        <v>5</v>
      </c>
    </row>
    <row r="106">
      <c r="A106" s="87" t="s">
        <v>948</v>
      </c>
      <c r="B106" s="70">
        <v>1.0</v>
      </c>
      <c r="C106" s="71">
        <v>1.0</v>
      </c>
      <c r="D106" s="71">
        <v>1.0</v>
      </c>
      <c r="E106" s="84"/>
      <c r="F106" s="70">
        <v>1.0</v>
      </c>
      <c r="G106" s="71">
        <v>1.0</v>
      </c>
      <c r="H106" s="71">
        <v>1.0</v>
      </c>
      <c r="I106" s="84"/>
      <c r="J106" s="70">
        <v>1.0</v>
      </c>
      <c r="K106" s="71">
        <v>1.0</v>
      </c>
      <c r="L106" s="71">
        <v>1.0</v>
      </c>
      <c r="M106" s="84"/>
      <c r="N106" s="70">
        <v>0.0</v>
      </c>
      <c r="O106" s="71">
        <v>0.0</v>
      </c>
      <c r="P106" s="71">
        <v>1.0</v>
      </c>
      <c r="Q106" s="84"/>
      <c r="R106" s="70">
        <v>1.0</v>
      </c>
      <c r="S106" s="71">
        <v>1.0</v>
      </c>
      <c r="T106" s="71">
        <v>1.0</v>
      </c>
      <c r="U106" s="84"/>
      <c r="V106" s="65">
        <f t="shared" ref="V106:X106" si="87">SUM(B106,F106,J106,N106,R106)</f>
        <v>4</v>
      </c>
      <c r="W106" s="65">
        <f t="shared" si="87"/>
        <v>4</v>
      </c>
      <c r="X106" s="65">
        <f t="shared" si="87"/>
        <v>5</v>
      </c>
    </row>
    <row r="107">
      <c r="A107" s="87" t="s">
        <v>949</v>
      </c>
      <c r="B107" s="70">
        <v>1.0</v>
      </c>
      <c r="C107" s="71">
        <v>1.0</v>
      </c>
      <c r="D107" s="71">
        <v>1.0</v>
      </c>
      <c r="E107" s="84"/>
      <c r="F107" s="70">
        <v>1.0</v>
      </c>
      <c r="G107" s="71">
        <v>1.0</v>
      </c>
      <c r="H107" s="71">
        <v>1.0</v>
      </c>
      <c r="I107" s="84"/>
      <c r="J107" s="70">
        <v>1.0</v>
      </c>
      <c r="K107" s="71">
        <v>1.0</v>
      </c>
      <c r="L107" s="71">
        <v>1.0</v>
      </c>
      <c r="M107" s="84"/>
      <c r="N107" s="70">
        <v>0.0</v>
      </c>
      <c r="O107" s="71">
        <v>0.0</v>
      </c>
      <c r="P107" s="71">
        <v>1.0</v>
      </c>
      <c r="Q107" s="84"/>
      <c r="R107" s="70">
        <v>1.0</v>
      </c>
      <c r="S107" s="71">
        <v>1.0</v>
      </c>
      <c r="T107" s="71">
        <v>1.0</v>
      </c>
      <c r="U107" s="84"/>
      <c r="V107" s="65">
        <f t="shared" ref="V107:X107" si="88">SUM(B107,F107,J107,N107,R107)</f>
        <v>4</v>
      </c>
      <c r="W107" s="65">
        <f t="shared" si="88"/>
        <v>4</v>
      </c>
      <c r="X107" s="65">
        <f t="shared" si="88"/>
        <v>5</v>
      </c>
    </row>
    <row r="108">
      <c r="A108" s="87" t="s">
        <v>950</v>
      </c>
      <c r="B108" s="70">
        <v>1.0</v>
      </c>
      <c r="C108" s="71">
        <v>1.0</v>
      </c>
      <c r="D108" s="71">
        <v>1.0</v>
      </c>
      <c r="E108" s="84"/>
      <c r="F108" s="70">
        <v>1.0</v>
      </c>
      <c r="G108" s="71">
        <v>1.0</v>
      </c>
      <c r="H108" s="71">
        <v>1.0</v>
      </c>
      <c r="I108" s="84"/>
      <c r="J108" s="70">
        <v>1.0</v>
      </c>
      <c r="K108" s="71">
        <v>1.0</v>
      </c>
      <c r="L108" s="71">
        <v>1.0</v>
      </c>
      <c r="M108" s="84"/>
      <c r="N108" s="70">
        <v>0.0</v>
      </c>
      <c r="O108" s="71">
        <v>0.0</v>
      </c>
      <c r="P108" s="71">
        <v>1.0</v>
      </c>
      <c r="Q108" s="84"/>
      <c r="R108" s="70">
        <v>1.0</v>
      </c>
      <c r="S108" s="71">
        <v>1.0</v>
      </c>
      <c r="T108" s="71">
        <v>1.0</v>
      </c>
      <c r="U108" s="84"/>
      <c r="V108" s="65">
        <f t="shared" ref="V108:X108" si="89">SUM(B108,F108,J108,N108,R108)</f>
        <v>4</v>
      </c>
      <c r="W108" s="65">
        <f t="shared" si="89"/>
        <v>4</v>
      </c>
      <c r="X108" s="65">
        <f t="shared" si="89"/>
        <v>5</v>
      </c>
    </row>
    <row r="109">
      <c r="A109" s="87" t="s">
        <v>951</v>
      </c>
      <c r="B109" s="70">
        <v>1.0</v>
      </c>
      <c r="C109" s="71">
        <v>1.0</v>
      </c>
      <c r="D109" s="71">
        <v>1.0</v>
      </c>
      <c r="E109" s="84"/>
      <c r="F109" s="70">
        <v>1.0</v>
      </c>
      <c r="G109" s="71">
        <v>1.0</v>
      </c>
      <c r="H109" s="71">
        <v>1.0</v>
      </c>
      <c r="I109" s="84"/>
      <c r="J109" s="70">
        <v>1.0</v>
      </c>
      <c r="K109" s="71">
        <v>1.0</v>
      </c>
      <c r="L109" s="71">
        <v>1.0</v>
      </c>
      <c r="M109" s="84"/>
      <c r="N109" s="70">
        <v>0.0</v>
      </c>
      <c r="O109" s="71">
        <v>0.0</v>
      </c>
      <c r="P109" s="71">
        <v>1.0</v>
      </c>
      <c r="Q109" s="84"/>
      <c r="R109" s="70">
        <v>1.0</v>
      </c>
      <c r="S109" s="71">
        <v>1.0</v>
      </c>
      <c r="T109" s="71">
        <v>1.0</v>
      </c>
      <c r="U109" s="84"/>
      <c r="V109" s="65">
        <f t="shared" ref="V109:X109" si="90">SUM(B109,F109,J109,N109,R109)</f>
        <v>4</v>
      </c>
      <c r="W109" s="65">
        <f t="shared" si="90"/>
        <v>4</v>
      </c>
      <c r="X109" s="65">
        <f t="shared" si="90"/>
        <v>5</v>
      </c>
    </row>
    <row r="110">
      <c r="A110" s="87" t="s">
        <v>952</v>
      </c>
      <c r="B110" s="72">
        <v>1.0</v>
      </c>
      <c r="C110" s="73">
        <v>1.0</v>
      </c>
      <c r="D110" s="73">
        <v>1.0</v>
      </c>
      <c r="E110" s="88"/>
      <c r="F110" s="72">
        <v>1.0</v>
      </c>
      <c r="G110" s="73">
        <v>1.0</v>
      </c>
      <c r="H110" s="73">
        <v>1.0</v>
      </c>
      <c r="I110" s="88"/>
      <c r="J110" s="72">
        <v>1.0</v>
      </c>
      <c r="K110" s="73">
        <v>1.0</v>
      </c>
      <c r="L110" s="73">
        <v>1.0</v>
      </c>
      <c r="M110" s="88"/>
      <c r="N110" s="72">
        <v>0.0</v>
      </c>
      <c r="O110" s="73">
        <v>0.0</v>
      </c>
      <c r="P110" s="73">
        <v>1.0</v>
      </c>
      <c r="Q110" s="88"/>
      <c r="R110" s="72">
        <v>1.0</v>
      </c>
      <c r="S110" s="73">
        <v>1.0</v>
      </c>
      <c r="T110" s="73">
        <v>1.0</v>
      </c>
      <c r="U110" s="88"/>
      <c r="V110" s="65">
        <f t="shared" ref="V110:X110" si="91">SUM(B110,F110,J110,N110,R110)</f>
        <v>4</v>
      </c>
      <c r="W110" s="65">
        <f t="shared" si="91"/>
        <v>4</v>
      </c>
      <c r="X110" s="65">
        <f t="shared" si="91"/>
        <v>5</v>
      </c>
    </row>
    <row r="111">
      <c r="A111" s="75" t="s">
        <v>547</v>
      </c>
      <c r="B111" s="52" t="s">
        <v>935</v>
      </c>
      <c r="F111" s="53" t="s">
        <v>936</v>
      </c>
      <c r="J111" s="54" t="s">
        <v>937</v>
      </c>
      <c r="N111" s="55" t="s">
        <v>938</v>
      </c>
      <c r="R111" s="56" t="s">
        <v>939</v>
      </c>
    </row>
    <row r="112">
      <c r="B112" s="76" t="s">
        <v>119</v>
      </c>
      <c r="E112" s="58"/>
      <c r="F112" s="92" t="s">
        <v>116</v>
      </c>
      <c r="I112" s="58"/>
      <c r="J112" s="76" t="s">
        <v>18</v>
      </c>
      <c r="M112" s="58"/>
      <c r="N112" s="76" t="s">
        <v>117</v>
      </c>
      <c r="Q112" s="58"/>
      <c r="R112" s="76" t="s">
        <v>118</v>
      </c>
      <c r="U112" s="58"/>
    </row>
    <row r="113">
      <c r="B113" s="80" t="s">
        <v>943</v>
      </c>
      <c r="C113" s="81" t="s">
        <v>944</v>
      </c>
      <c r="D113" s="81" t="s">
        <v>945</v>
      </c>
      <c r="E113" s="82"/>
      <c r="F113" s="80" t="s">
        <v>943</v>
      </c>
      <c r="G113" s="81" t="s">
        <v>944</v>
      </c>
      <c r="H113" s="81" t="s">
        <v>945</v>
      </c>
      <c r="I113" s="82"/>
      <c r="J113" s="80" t="s">
        <v>943</v>
      </c>
      <c r="K113" s="81" t="s">
        <v>944</v>
      </c>
      <c r="L113" s="81" t="s">
        <v>945</v>
      </c>
      <c r="M113" s="82"/>
      <c r="N113" s="80" t="s">
        <v>943</v>
      </c>
      <c r="O113" s="81" t="s">
        <v>944</v>
      </c>
      <c r="P113" s="81" t="s">
        <v>945</v>
      </c>
      <c r="Q113" s="82"/>
      <c r="R113" s="80" t="s">
        <v>943</v>
      </c>
      <c r="S113" s="81" t="s">
        <v>944</v>
      </c>
      <c r="T113" s="81" t="s">
        <v>945</v>
      </c>
      <c r="U113" s="82"/>
    </row>
    <row r="114">
      <c r="A114" s="8" t="s">
        <v>946</v>
      </c>
      <c r="B114" s="70">
        <v>1.0</v>
      </c>
      <c r="C114" s="71">
        <v>1.0</v>
      </c>
      <c r="D114" s="71">
        <v>1.0</v>
      </c>
      <c r="E114" s="84"/>
      <c r="F114" s="70">
        <v>1.0</v>
      </c>
      <c r="G114" s="71">
        <v>1.0</v>
      </c>
      <c r="H114" s="71">
        <v>1.0</v>
      </c>
      <c r="I114" s="84"/>
      <c r="J114" s="70">
        <v>1.0</v>
      </c>
      <c r="K114" s="71">
        <v>1.0</v>
      </c>
      <c r="L114" s="71">
        <v>1.0</v>
      </c>
      <c r="M114" s="84"/>
      <c r="N114" s="70">
        <v>1.0</v>
      </c>
      <c r="O114" s="71">
        <v>1.0</v>
      </c>
      <c r="P114" s="71">
        <v>1.0</v>
      </c>
      <c r="Q114" s="84"/>
      <c r="R114" s="70">
        <v>0.0</v>
      </c>
      <c r="S114" s="71">
        <v>0.0</v>
      </c>
      <c r="T114" s="71">
        <v>0.0</v>
      </c>
      <c r="U114" s="84"/>
      <c r="V114" s="65">
        <f t="shared" ref="V114:X114" si="92">SUM(B114,F114,J114,N114,R114)</f>
        <v>4</v>
      </c>
      <c r="W114" s="65">
        <f t="shared" si="92"/>
        <v>4</v>
      </c>
      <c r="X114" s="65">
        <f t="shared" si="92"/>
        <v>4</v>
      </c>
    </row>
    <row r="115">
      <c r="A115" s="87" t="s">
        <v>947</v>
      </c>
      <c r="B115" s="70">
        <v>1.0</v>
      </c>
      <c r="C115" s="71">
        <v>1.0</v>
      </c>
      <c r="D115" s="71">
        <v>1.0</v>
      </c>
      <c r="E115" s="84"/>
      <c r="F115" s="70">
        <v>1.0</v>
      </c>
      <c r="G115" s="71">
        <v>1.0</v>
      </c>
      <c r="H115" s="71">
        <v>1.0</v>
      </c>
      <c r="I115" s="84"/>
      <c r="J115" s="70">
        <v>1.0</v>
      </c>
      <c r="K115" s="71">
        <v>1.0</v>
      </c>
      <c r="L115" s="71">
        <v>1.0</v>
      </c>
      <c r="M115" s="84"/>
      <c r="N115" s="70">
        <v>1.0</v>
      </c>
      <c r="O115" s="71">
        <v>1.0</v>
      </c>
      <c r="P115" s="71">
        <v>1.0</v>
      </c>
      <c r="Q115" s="84"/>
      <c r="R115" s="70">
        <v>0.0</v>
      </c>
      <c r="S115" s="71">
        <v>0.0</v>
      </c>
      <c r="T115" s="71">
        <v>0.0</v>
      </c>
      <c r="U115" s="84"/>
      <c r="V115" s="65">
        <f t="shared" ref="V115:X115" si="93">SUM(B115,F115,J115,N115,R115)</f>
        <v>4</v>
      </c>
      <c r="W115" s="65">
        <f t="shared" si="93"/>
        <v>4</v>
      </c>
      <c r="X115" s="65">
        <f t="shared" si="93"/>
        <v>4</v>
      </c>
    </row>
    <row r="116">
      <c r="A116" s="87" t="s">
        <v>948</v>
      </c>
      <c r="B116" s="70">
        <v>1.0</v>
      </c>
      <c r="C116" s="71">
        <v>1.0</v>
      </c>
      <c r="D116" s="71">
        <v>1.0</v>
      </c>
      <c r="E116" s="84"/>
      <c r="F116" s="70">
        <v>1.0</v>
      </c>
      <c r="G116" s="71">
        <v>1.0</v>
      </c>
      <c r="H116" s="71">
        <v>1.0</v>
      </c>
      <c r="I116" s="84"/>
      <c r="J116" s="70">
        <v>1.0</v>
      </c>
      <c r="K116" s="71">
        <v>1.0</v>
      </c>
      <c r="L116" s="71">
        <v>1.0</v>
      </c>
      <c r="M116" s="84"/>
      <c r="N116" s="70">
        <v>1.0</v>
      </c>
      <c r="O116" s="71">
        <v>1.0</v>
      </c>
      <c r="P116" s="71">
        <v>1.0</v>
      </c>
      <c r="Q116" s="84"/>
      <c r="R116" s="70">
        <v>0.0</v>
      </c>
      <c r="S116" s="71">
        <v>0.0</v>
      </c>
      <c r="T116" s="71">
        <v>0.0</v>
      </c>
      <c r="U116" s="84"/>
      <c r="V116" s="65">
        <f t="shared" ref="V116:X116" si="94">SUM(B116,F116,J116,N116,R116)</f>
        <v>4</v>
      </c>
      <c r="W116" s="65">
        <f t="shared" si="94"/>
        <v>4</v>
      </c>
      <c r="X116" s="65">
        <f t="shared" si="94"/>
        <v>4</v>
      </c>
    </row>
    <row r="117">
      <c r="A117" s="87" t="s">
        <v>949</v>
      </c>
      <c r="B117" s="70">
        <v>1.0</v>
      </c>
      <c r="C117" s="71">
        <v>1.0</v>
      </c>
      <c r="D117" s="71">
        <v>1.0</v>
      </c>
      <c r="E117" s="84"/>
      <c r="F117" s="70">
        <v>1.0</v>
      </c>
      <c r="G117" s="71">
        <v>1.0</v>
      </c>
      <c r="H117" s="71">
        <v>1.0</v>
      </c>
      <c r="I117" s="84"/>
      <c r="J117" s="70">
        <v>1.0</v>
      </c>
      <c r="K117" s="71">
        <v>1.0</v>
      </c>
      <c r="L117" s="71">
        <v>1.0</v>
      </c>
      <c r="M117" s="84"/>
      <c r="N117" s="70">
        <v>1.0</v>
      </c>
      <c r="O117" s="71">
        <v>1.0</v>
      </c>
      <c r="P117" s="71">
        <v>1.0</v>
      </c>
      <c r="Q117" s="84"/>
      <c r="R117" s="70">
        <v>0.0</v>
      </c>
      <c r="S117" s="71">
        <v>0.0</v>
      </c>
      <c r="T117" s="71">
        <v>0.0</v>
      </c>
      <c r="U117" s="84"/>
      <c r="V117" s="65">
        <f t="shared" ref="V117:X117" si="95">SUM(B117,F117,J117,N117,R117)</f>
        <v>4</v>
      </c>
      <c r="W117" s="65">
        <f t="shared" si="95"/>
        <v>4</v>
      </c>
      <c r="X117" s="65">
        <f t="shared" si="95"/>
        <v>4</v>
      </c>
    </row>
    <row r="118">
      <c r="A118" s="87" t="s">
        <v>950</v>
      </c>
      <c r="B118" s="70">
        <v>1.0</v>
      </c>
      <c r="C118" s="71">
        <v>1.0</v>
      </c>
      <c r="D118" s="71">
        <v>1.0</v>
      </c>
      <c r="E118" s="84"/>
      <c r="F118" s="70">
        <v>1.0</v>
      </c>
      <c r="G118" s="71">
        <v>0.0</v>
      </c>
      <c r="H118" s="71">
        <v>1.0</v>
      </c>
      <c r="I118" s="84"/>
      <c r="J118" s="70">
        <v>1.0</v>
      </c>
      <c r="K118" s="71">
        <v>1.0</v>
      </c>
      <c r="L118" s="71">
        <v>1.0</v>
      </c>
      <c r="M118" s="84"/>
      <c r="N118" s="70">
        <v>1.0</v>
      </c>
      <c r="O118" s="71">
        <v>1.0</v>
      </c>
      <c r="P118" s="71">
        <v>1.0</v>
      </c>
      <c r="Q118" s="84"/>
      <c r="R118" s="70">
        <v>0.0</v>
      </c>
      <c r="S118" s="71">
        <v>0.0</v>
      </c>
      <c r="T118" s="71">
        <v>0.0</v>
      </c>
      <c r="U118" s="84"/>
      <c r="V118" s="65">
        <f t="shared" ref="V118:X118" si="96">SUM(B118,F118,J118,N118,R118)</f>
        <v>4</v>
      </c>
      <c r="W118" s="65">
        <f t="shared" si="96"/>
        <v>3</v>
      </c>
      <c r="X118" s="65">
        <f t="shared" si="96"/>
        <v>4</v>
      </c>
    </row>
    <row r="119">
      <c r="A119" s="87" t="s">
        <v>951</v>
      </c>
      <c r="B119" s="70">
        <v>1.0</v>
      </c>
      <c r="C119" s="71">
        <v>1.0</v>
      </c>
      <c r="D119" s="71">
        <v>1.0</v>
      </c>
      <c r="E119" s="84"/>
      <c r="F119" s="70">
        <v>1.0</v>
      </c>
      <c r="G119" s="71">
        <v>1.0</v>
      </c>
      <c r="H119" s="71">
        <v>1.0</v>
      </c>
      <c r="I119" s="84"/>
      <c r="J119" s="70">
        <v>1.0</v>
      </c>
      <c r="K119" s="71">
        <v>1.0</v>
      </c>
      <c r="L119" s="71">
        <v>1.0</v>
      </c>
      <c r="M119" s="84"/>
      <c r="N119" s="70">
        <v>1.0</v>
      </c>
      <c r="O119" s="71">
        <v>1.0</v>
      </c>
      <c r="P119" s="71">
        <v>1.0</v>
      </c>
      <c r="Q119" s="84"/>
      <c r="R119" s="70">
        <v>0.0</v>
      </c>
      <c r="S119" s="71">
        <v>0.0</v>
      </c>
      <c r="T119" s="71">
        <v>0.0</v>
      </c>
      <c r="U119" s="84"/>
      <c r="V119" s="65">
        <f t="shared" ref="V119:X119" si="97">SUM(B119,F119,J119,N119,R119)</f>
        <v>4</v>
      </c>
      <c r="W119" s="65">
        <f t="shared" si="97"/>
        <v>4</v>
      </c>
      <c r="X119" s="65">
        <f t="shared" si="97"/>
        <v>4</v>
      </c>
    </row>
    <row r="120">
      <c r="A120" s="87" t="s">
        <v>952</v>
      </c>
      <c r="B120" s="72">
        <v>1.0</v>
      </c>
      <c r="C120" s="73">
        <v>1.0</v>
      </c>
      <c r="D120" s="73">
        <v>1.0</v>
      </c>
      <c r="E120" s="88"/>
      <c r="F120" s="72">
        <v>1.0</v>
      </c>
      <c r="G120" s="73">
        <v>1.0</v>
      </c>
      <c r="H120" s="73">
        <v>1.0</v>
      </c>
      <c r="I120" s="88"/>
      <c r="J120" s="72">
        <v>1.0</v>
      </c>
      <c r="K120" s="73">
        <v>1.0</v>
      </c>
      <c r="L120" s="73">
        <v>1.0</v>
      </c>
      <c r="M120" s="88"/>
      <c r="N120" s="72">
        <v>1.0</v>
      </c>
      <c r="O120" s="73">
        <v>1.0</v>
      </c>
      <c r="P120" s="73">
        <v>1.0</v>
      </c>
      <c r="Q120" s="88"/>
      <c r="R120" s="72">
        <v>0.0</v>
      </c>
      <c r="S120" s="73">
        <v>0.0</v>
      </c>
      <c r="T120" s="73">
        <v>0.0</v>
      </c>
      <c r="U120" s="88"/>
      <c r="V120" s="65">
        <f t="shared" ref="V120:X120" si="98">SUM(B120,F120,J120,N120,R120)</f>
        <v>4</v>
      </c>
      <c r="W120" s="65">
        <f t="shared" si="98"/>
        <v>4</v>
      </c>
      <c r="X120" s="65">
        <f t="shared" si="98"/>
        <v>4</v>
      </c>
    </row>
    <row r="121">
      <c r="A121" s="75" t="s">
        <v>557</v>
      </c>
      <c r="B121" s="52" t="s">
        <v>935</v>
      </c>
      <c r="F121" s="53" t="s">
        <v>936</v>
      </c>
      <c r="J121" s="54" t="s">
        <v>937</v>
      </c>
      <c r="N121" s="55" t="s">
        <v>938</v>
      </c>
      <c r="R121" s="56" t="s">
        <v>939</v>
      </c>
    </row>
    <row r="122">
      <c r="B122" s="76" t="s">
        <v>169</v>
      </c>
      <c r="E122" s="58"/>
      <c r="F122" s="92" t="s">
        <v>962</v>
      </c>
      <c r="I122" s="58"/>
      <c r="J122" s="76" t="s">
        <v>166</v>
      </c>
      <c r="M122" s="58"/>
      <c r="N122" s="76" t="s">
        <v>167</v>
      </c>
      <c r="Q122" s="58"/>
      <c r="R122" s="76" t="s">
        <v>168</v>
      </c>
      <c r="U122" s="58"/>
    </row>
    <row r="123">
      <c r="B123" s="80" t="s">
        <v>943</v>
      </c>
      <c r="C123" s="81" t="s">
        <v>944</v>
      </c>
      <c r="D123" s="81" t="s">
        <v>945</v>
      </c>
      <c r="E123" s="82"/>
      <c r="F123" s="80" t="s">
        <v>943</v>
      </c>
      <c r="G123" s="81" t="s">
        <v>944</v>
      </c>
      <c r="H123" s="81" t="s">
        <v>945</v>
      </c>
      <c r="I123" s="82"/>
      <c r="J123" s="80" t="s">
        <v>943</v>
      </c>
      <c r="K123" s="81" t="s">
        <v>944</v>
      </c>
      <c r="L123" s="81" t="s">
        <v>945</v>
      </c>
      <c r="M123" s="82"/>
      <c r="N123" s="80" t="s">
        <v>943</v>
      </c>
      <c r="O123" s="81" t="s">
        <v>944</v>
      </c>
      <c r="P123" s="81" t="s">
        <v>945</v>
      </c>
      <c r="Q123" s="82"/>
      <c r="R123" s="80" t="s">
        <v>943</v>
      </c>
      <c r="S123" s="81" t="s">
        <v>944</v>
      </c>
      <c r="T123" s="81" t="s">
        <v>945</v>
      </c>
      <c r="U123" s="82"/>
    </row>
    <row r="124">
      <c r="A124" s="8" t="s">
        <v>946</v>
      </c>
      <c r="B124" s="70">
        <v>1.0</v>
      </c>
      <c r="C124" s="71">
        <v>1.0</v>
      </c>
      <c r="D124" s="93">
        <v>1.0</v>
      </c>
      <c r="E124" s="84"/>
      <c r="F124" s="70">
        <v>0.0</v>
      </c>
      <c r="G124" s="71">
        <v>1.0</v>
      </c>
      <c r="H124" s="71">
        <v>1.0</v>
      </c>
      <c r="I124" s="84"/>
      <c r="J124" s="70">
        <v>1.0</v>
      </c>
      <c r="K124" s="71">
        <v>1.0</v>
      </c>
      <c r="L124" s="71">
        <v>1.0</v>
      </c>
      <c r="M124" s="84"/>
      <c r="N124" s="70">
        <v>1.0</v>
      </c>
      <c r="O124" s="71">
        <v>1.0</v>
      </c>
      <c r="P124" s="71">
        <v>1.0</v>
      </c>
      <c r="Q124" s="84"/>
      <c r="R124" s="70">
        <v>0.0</v>
      </c>
      <c r="S124" s="71">
        <v>1.0</v>
      </c>
      <c r="T124" s="71">
        <v>1.0</v>
      </c>
      <c r="U124" s="84"/>
      <c r="V124" s="65">
        <f t="shared" ref="V124:X124" si="99">SUM(B124,F124,J124,N124,R124)</f>
        <v>3</v>
      </c>
      <c r="W124" s="65">
        <f t="shared" si="99"/>
        <v>5</v>
      </c>
      <c r="X124" s="65">
        <f t="shared" si="99"/>
        <v>5</v>
      </c>
    </row>
    <row r="125">
      <c r="A125" s="87" t="s">
        <v>947</v>
      </c>
      <c r="B125" s="70">
        <v>1.0</v>
      </c>
      <c r="C125" s="71">
        <v>1.0</v>
      </c>
      <c r="D125" s="93">
        <v>1.0</v>
      </c>
      <c r="E125" s="84"/>
      <c r="F125" s="70">
        <v>0.0</v>
      </c>
      <c r="G125" s="71">
        <v>1.0</v>
      </c>
      <c r="H125" s="71">
        <v>1.0</v>
      </c>
      <c r="I125" s="84"/>
      <c r="J125" s="70">
        <v>1.0</v>
      </c>
      <c r="K125" s="71">
        <v>1.0</v>
      </c>
      <c r="L125" s="71">
        <v>1.0</v>
      </c>
      <c r="M125" s="84"/>
      <c r="N125" s="70">
        <v>1.0</v>
      </c>
      <c r="O125" s="71">
        <v>1.0</v>
      </c>
      <c r="P125" s="71">
        <v>1.0</v>
      </c>
      <c r="Q125" s="84"/>
      <c r="R125" s="70">
        <v>1.0</v>
      </c>
      <c r="S125" s="71">
        <v>1.0</v>
      </c>
      <c r="T125" s="71">
        <v>1.0</v>
      </c>
      <c r="U125" s="84"/>
      <c r="V125" s="65">
        <f t="shared" ref="V125:X125" si="100">SUM(B125,F125,J125,N125,R125)</f>
        <v>4</v>
      </c>
      <c r="W125" s="65">
        <f t="shared" si="100"/>
        <v>5</v>
      </c>
      <c r="X125" s="65">
        <f t="shared" si="100"/>
        <v>5</v>
      </c>
    </row>
    <row r="126">
      <c r="A126" s="87" t="s">
        <v>948</v>
      </c>
      <c r="B126" s="70">
        <v>1.0</v>
      </c>
      <c r="C126" s="71">
        <v>1.0</v>
      </c>
      <c r="D126" s="93">
        <v>1.0</v>
      </c>
      <c r="E126" s="84"/>
      <c r="F126" s="70">
        <v>0.0</v>
      </c>
      <c r="G126" s="71">
        <v>1.0</v>
      </c>
      <c r="H126" s="71">
        <v>1.0</v>
      </c>
      <c r="I126" s="84"/>
      <c r="J126" s="70">
        <v>1.0</v>
      </c>
      <c r="K126" s="71">
        <v>1.0</v>
      </c>
      <c r="L126" s="71">
        <v>1.0</v>
      </c>
      <c r="M126" s="84"/>
      <c r="N126" s="70">
        <v>1.0</v>
      </c>
      <c r="O126" s="71">
        <v>1.0</v>
      </c>
      <c r="P126" s="71">
        <v>1.0</v>
      </c>
      <c r="Q126" s="84"/>
      <c r="R126" s="70">
        <v>0.0</v>
      </c>
      <c r="S126" s="71">
        <v>1.0</v>
      </c>
      <c r="T126" s="71">
        <v>1.0</v>
      </c>
      <c r="U126" s="84"/>
      <c r="V126" s="65">
        <f t="shared" ref="V126:X126" si="101">SUM(B126,F126,J126,N126,R126)</f>
        <v>3</v>
      </c>
      <c r="W126" s="65">
        <f t="shared" si="101"/>
        <v>5</v>
      </c>
      <c r="X126" s="65">
        <f t="shared" si="101"/>
        <v>5</v>
      </c>
    </row>
    <row r="127">
      <c r="A127" s="87" t="s">
        <v>949</v>
      </c>
      <c r="B127" s="70">
        <v>1.0</v>
      </c>
      <c r="C127" s="71">
        <v>1.0</v>
      </c>
      <c r="D127" s="93">
        <v>1.0</v>
      </c>
      <c r="E127" s="84"/>
      <c r="F127" s="70">
        <v>0.0</v>
      </c>
      <c r="G127" s="71">
        <v>1.0</v>
      </c>
      <c r="H127" s="71">
        <v>1.0</v>
      </c>
      <c r="I127" s="84"/>
      <c r="J127" s="70">
        <v>1.0</v>
      </c>
      <c r="K127" s="71">
        <v>1.0</v>
      </c>
      <c r="L127" s="71">
        <v>1.0</v>
      </c>
      <c r="M127" s="84"/>
      <c r="N127" s="70">
        <v>1.0</v>
      </c>
      <c r="O127" s="71">
        <v>1.0</v>
      </c>
      <c r="P127" s="71">
        <v>1.0</v>
      </c>
      <c r="Q127" s="84"/>
      <c r="R127" s="70">
        <v>1.0</v>
      </c>
      <c r="S127" s="71">
        <v>1.0</v>
      </c>
      <c r="T127" s="71">
        <v>1.0</v>
      </c>
      <c r="U127" s="84"/>
      <c r="V127" s="65">
        <f t="shared" ref="V127:X127" si="102">SUM(B127,F127,J127,N127,R127)</f>
        <v>4</v>
      </c>
      <c r="W127" s="65">
        <f t="shared" si="102"/>
        <v>5</v>
      </c>
      <c r="X127" s="65">
        <f t="shared" si="102"/>
        <v>5</v>
      </c>
    </row>
    <row r="128">
      <c r="A128" s="87" t="s">
        <v>950</v>
      </c>
      <c r="B128" s="70">
        <v>1.0</v>
      </c>
      <c r="C128" s="71">
        <v>1.0</v>
      </c>
      <c r="D128" s="93">
        <v>1.0</v>
      </c>
      <c r="E128" s="84"/>
      <c r="F128" s="70">
        <v>0.0</v>
      </c>
      <c r="G128" s="71">
        <v>1.0</v>
      </c>
      <c r="H128" s="71">
        <v>1.0</v>
      </c>
      <c r="I128" s="84"/>
      <c r="J128" s="70">
        <v>1.0</v>
      </c>
      <c r="K128" s="71">
        <v>1.0</v>
      </c>
      <c r="L128" s="71">
        <v>1.0</v>
      </c>
      <c r="M128" s="84"/>
      <c r="N128" s="70">
        <v>1.0</v>
      </c>
      <c r="O128" s="71">
        <v>1.0</v>
      </c>
      <c r="P128" s="71">
        <v>1.0</v>
      </c>
      <c r="Q128" s="84"/>
      <c r="R128" s="70">
        <v>0.0</v>
      </c>
      <c r="S128" s="71">
        <v>1.0</v>
      </c>
      <c r="T128" s="71">
        <v>1.0</v>
      </c>
      <c r="U128" s="84"/>
      <c r="V128" s="65">
        <f t="shared" ref="V128:X128" si="103">SUM(B128,F128,J128,N128,R128)</f>
        <v>3</v>
      </c>
      <c r="W128" s="65">
        <f t="shared" si="103"/>
        <v>5</v>
      </c>
      <c r="X128" s="65">
        <f t="shared" si="103"/>
        <v>5</v>
      </c>
    </row>
    <row r="129">
      <c r="A129" s="87" t="s">
        <v>951</v>
      </c>
      <c r="B129" s="70">
        <v>1.0</v>
      </c>
      <c r="C129" s="71">
        <v>1.0</v>
      </c>
      <c r="D129" s="93">
        <v>1.0</v>
      </c>
      <c r="E129" s="84"/>
      <c r="F129" s="70">
        <v>0.0</v>
      </c>
      <c r="G129" s="71">
        <v>1.0</v>
      </c>
      <c r="H129" s="71">
        <v>1.0</v>
      </c>
      <c r="I129" s="84"/>
      <c r="J129" s="70">
        <v>1.0</v>
      </c>
      <c r="K129" s="71">
        <v>1.0</v>
      </c>
      <c r="L129" s="71">
        <v>1.0</v>
      </c>
      <c r="M129" s="84"/>
      <c r="N129" s="70">
        <v>1.0</v>
      </c>
      <c r="O129" s="71">
        <v>1.0</v>
      </c>
      <c r="P129" s="71">
        <v>1.0</v>
      </c>
      <c r="Q129" s="84"/>
      <c r="R129" s="70">
        <v>1.0</v>
      </c>
      <c r="S129" s="71">
        <v>1.0</v>
      </c>
      <c r="T129" s="71">
        <v>1.0</v>
      </c>
      <c r="U129" s="84"/>
      <c r="V129" s="65">
        <f t="shared" ref="V129:X129" si="104">SUM(B129,F129,J129,N129,R129)</f>
        <v>4</v>
      </c>
      <c r="W129" s="65">
        <f t="shared" si="104"/>
        <v>5</v>
      </c>
      <c r="X129" s="65">
        <f t="shared" si="104"/>
        <v>5</v>
      </c>
    </row>
    <row r="130">
      <c r="A130" s="87" t="s">
        <v>952</v>
      </c>
      <c r="B130" s="72">
        <v>1.0</v>
      </c>
      <c r="C130" s="73">
        <v>1.0</v>
      </c>
      <c r="D130" s="94">
        <v>1.0</v>
      </c>
      <c r="E130" s="88"/>
      <c r="F130" s="72">
        <v>0.0</v>
      </c>
      <c r="G130" s="73">
        <v>1.0</v>
      </c>
      <c r="H130" s="73">
        <v>1.0</v>
      </c>
      <c r="I130" s="88"/>
      <c r="J130" s="72">
        <v>1.0</v>
      </c>
      <c r="K130" s="73">
        <v>1.0</v>
      </c>
      <c r="L130" s="73">
        <v>1.0</v>
      </c>
      <c r="M130" s="88"/>
      <c r="N130" s="72">
        <v>1.0</v>
      </c>
      <c r="O130" s="73">
        <v>1.0</v>
      </c>
      <c r="P130" s="73">
        <v>1.0</v>
      </c>
      <c r="Q130" s="88"/>
      <c r="R130" s="72">
        <v>1.0</v>
      </c>
      <c r="S130" s="73">
        <v>1.0</v>
      </c>
      <c r="T130" s="73">
        <v>1.0</v>
      </c>
      <c r="U130" s="88"/>
      <c r="V130" s="65">
        <f t="shared" ref="V130:X130" si="105">SUM(B130,F130,J130,N130,R130)</f>
        <v>4</v>
      </c>
      <c r="W130" s="65">
        <f t="shared" si="105"/>
        <v>5</v>
      </c>
      <c r="X130" s="65">
        <f t="shared" si="105"/>
        <v>5</v>
      </c>
    </row>
    <row r="131">
      <c r="A131" s="75" t="s">
        <v>568</v>
      </c>
      <c r="B131" s="52" t="s">
        <v>935</v>
      </c>
      <c r="F131" s="53" t="s">
        <v>936</v>
      </c>
      <c r="J131" s="54" t="s">
        <v>937</v>
      </c>
      <c r="N131" s="55" t="s">
        <v>938</v>
      </c>
      <c r="R131" s="56" t="s">
        <v>939</v>
      </c>
    </row>
    <row r="132">
      <c r="B132" s="76" t="s">
        <v>179</v>
      </c>
      <c r="E132" s="58"/>
      <c r="F132" s="92" t="s">
        <v>319</v>
      </c>
      <c r="I132" s="58"/>
      <c r="J132" s="76" t="s">
        <v>18</v>
      </c>
      <c r="M132" s="58"/>
      <c r="N132" s="76" t="s">
        <v>178</v>
      </c>
      <c r="Q132" s="58"/>
      <c r="R132" s="76" t="s">
        <v>23</v>
      </c>
      <c r="U132" s="58"/>
    </row>
    <row r="133">
      <c r="B133" s="80" t="s">
        <v>943</v>
      </c>
      <c r="C133" s="81" t="s">
        <v>944</v>
      </c>
      <c r="D133" s="81" t="s">
        <v>945</v>
      </c>
      <c r="E133" s="82"/>
      <c r="F133" s="80" t="s">
        <v>943</v>
      </c>
      <c r="G133" s="81" t="s">
        <v>944</v>
      </c>
      <c r="H133" s="81" t="s">
        <v>945</v>
      </c>
      <c r="I133" s="82"/>
      <c r="J133" s="80" t="s">
        <v>943</v>
      </c>
      <c r="K133" s="81" t="s">
        <v>944</v>
      </c>
      <c r="L133" s="81" t="s">
        <v>945</v>
      </c>
      <c r="M133" s="82"/>
      <c r="N133" s="80" t="s">
        <v>943</v>
      </c>
      <c r="O133" s="81" t="s">
        <v>944</v>
      </c>
      <c r="P133" s="81" t="s">
        <v>945</v>
      </c>
      <c r="Q133" s="82"/>
      <c r="R133" s="80" t="s">
        <v>943</v>
      </c>
      <c r="S133" s="81" t="s">
        <v>944</v>
      </c>
      <c r="T133" s="81" t="s">
        <v>945</v>
      </c>
      <c r="U133" s="82"/>
    </row>
    <row r="134">
      <c r="A134" s="8" t="s">
        <v>946</v>
      </c>
      <c r="B134" s="70">
        <v>1.0</v>
      </c>
      <c r="C134" s="71">
        <v>1.0</v>
      </c>
      <c r="D134" s="71">
        <v>1.0</v>
      </c>
      <c r="E134" s="84"/>
      <c r="F134" s="70">
        <v>1.0</v>
      </c>
      <c r="G134" s="71">
        <v>1.0</v>
      </c>
      <c r="H134" s="71">
        <v>1.0</v>
      </c>
      <c r="I134" s="84"/>
      <c r="J134" s="70">
        <v>1.0</v>
      </c>
      <c r="K134" s="71">
        <v>1.0</v>
      </c>
      <c r="L134" s="71">
        <v>1.0</v>
      </c>
      <c r="M134" s="84"/>
      <c r="N134" s="70">
        <v>1.0</v>
      </c>
      <c r="O134" s="71">
        <v>0.0</v>
      </c>
      <c r="P134" s="71">
        <v>1.0</v>
      </c>
      <c r="Q134" s="84"/>
      <c r="R134" s="70">
        <v>1.0</v>
      </c>
      <c r="S134" s="71">
        <v>1.0</v>
      </c>
      <c r="T134" s="71">
        <v>1.0</v>
      </c>
      <c r="U134" s="84"/>
      <c r="V134" s="65">
        <f t="shared" ref="V134:X134" si="106">SUM(B134,F134,J134,N134,R134)</f>
        <v>5</v>
      </c>
      <c r="W134" s="65">
        <f t="shared" si="106"/>
        <v>4</v>
      </c>
      <c r="X134" s="65">
        <f t="shared" si="106"/>
        <v>5</v>
      </c>
    </row>
    <row r="135">
      <c r="A135" s="87" t="s">
        <v>947</v>
      </c>
      <c r="B135" s="70">
        <v>1.0</v>
      </c>
      <c r="C135" s="71">
        <v>1.0</v>
      </c>
      <c r="D135" s="71">
        <v>1.0</v>
      </c>
      <c r="E135" s="84"/>
      <c r="F135" s="70">
        <v>1.0</v>
      </c>
      <c r="G135" s="71">
        <v>1.0</v>
      </c>
      <c r="H135" s="71">
        <v>1.0</v>
      </c>
      <c r="I135" s="84"/>
      <c r="J135" s="70">
        <v>1.0</v>
      </c>
      <c r="K135" s="71">
        <v>1.0</v>
      </c>
      <c r="L135" s="71">
        <v>1.0</v>
      </c>
      <c r="M135" s="84"/>
      <c r="N135" s="70">
        <v>1.0</v>
      </c>
      <c r="O135" s="71">
        <v>1.0</v>
      </c>
      <c r="P135" s="71">
        <v>1.0</v>
      </c>
      <c r="Q135" s="84"/>
      <c r="R135" s="70">
        <v>1.0</v>
      </c>
      <c r="S135" s="71">
        <v>1.0</v>
      </c>
      <c r="T135" s="71">
        <v>1.0</v>
      </c>
      <c r="U135" s="84"/>
      <c r="V135" s="65">
        <f t="shared" ref="V135:X135" si="107">SUM(B135,F135,J135,N135,R135)</f>
        <v>5</v>
      </c>
      <c r="W135" s="65">
        <f t="shared" si="107"/>
        <v>5</v>
      </c>
      <c r="X135" s="65">
        <f t="shared" si="107"/>
        <v>5</v>
      </c>
    </row>
    <row r="136">
      <c r="A136" s="87" t="s">
        <v>948</v>
      </c>
      <c r="B136" s="70">
        <v>1.0</v>
      </c>
      <c r="C136" s="71">
        <v>0.0</v>
      </c>
      <c r="D136" s="71">
        <v>1.0</v>
      </c>
      <c r="E136" s="84"/>
      <c r="F136" s="70">
        <v>1.0</v>
      </c>
      <c r="G136" s="71">
        <v>0.0</v>
      </c>
      <c r="H136" s="71">
        <v>1.0</v>
      </c>
      <c r="I136" s="84"/>
      <c r="J136" s="70">
        <v>1.0</v>
      </c>
      <c r="K136" s="71">
        <v>1.0</v>
      </c>
      <c r="L136" s="71">
        <v>1.0</v>
      </c>
      <c r="M136" s="84"/>
      <c r="N136" s="70">
        <v>1.0</v>
      </c>
      <c r="O136" s="71">
        <v>0.0</v>
      </c>
      <c r="P136" s="71">
        <v>1.0</v>
      </c>
      <c r="Q136" s="84"/>
      <c r="R136" s="70">
        <v>1.0</v>
      </c>
      <c r="S136" s="71">
        <v>1.0</v>
      </c>
      <c r="T136" s="71">
        <v>1.0</v>
      </c>
      <c r="U136" s="84"/>
      <c r="V136" s="65">
        <f t="shared" ref="V136:X136" si="108">SUM(B136,F136,J136,N136,R136)</f>
        <v>5</v>
      </c>
      <c r="W136" s="65">
        <f t="shared" si="108"/>
        <v>2</v>
      </c>
      <c r="X136" s="65">
        <f t="shared" si="108"/>
        <v>5</v>
      </c>
    </row>
    <row r="137">
      <c r="A137" s="87" t="s">
        <v>949</v>
      </c>
      <c r="B137" s="70">
        <v>1.0</v>
      </c>
      <c r="C137" s="71">
        <v>1.0</v>
      </c>
      <c r="D137" s="71">
        <v>1.0</v>
      </c>
      <c r="E137" s="84"/>
      <c r="F137" s="70">
        <v>1.0</v>
      </c>
      <c r="G137" s="71">
        <v>1.0</v>
      </c>
      <c r="H137" s="71">
        <v>1.0</v>
      </c>
      <c r="I137" s="84"/>
      <c r="J137" s="70">
        <v>1.0</v>
      </c>
      <c r="K137" s="71">
        <v>1.0</v>
      </c>
      <c r="L137" s="71">
        <v>1.0</v>
      </c>
      <c r="M137" s="84"/>
      <c r="N137" s="70">
        <v>1.0</v>
      </c>
      <c r="O137" s="71">
        <v>1.0</v>
      </c>
      <c r="P137" s="71">
        <v>1.0</v>
      </c>
      <c r="Q137" s="84"/>
      <c r="R137" s="70">
        <v>1.0</v>
      </c>
      <c r="S137" s="71">
        <v>1.0</v>
      </c>
      <c r="T137" s="71">
        <v>1.0</v>
      </c>
      <c r="U137" s="84"/>
      <c r="V137" s="65">
        <f t="shared" ref="V137:X137" si="109">SUM(B137,F137,J137,N137,R137)</f>
        <v>5</v>
      </c>
      <c r="W137" s="65">
        <f t="shared" si="109"/>
        <v>5</v>
      </c>
      <c r="X137" s="65">
        <f t="shared" si="109"/>
        <v>5</v>
      </c>
    </row>
    <row r="138">
      <c r="A138" s="87" t="s">
        <v>950</v>
      </c>
      <c r="B138" s="70">
        <v>1.0</v>
      </c>
      <c r="C138" s="71">
        <v>0.0</v>
      </c>
      <c r="D138" s="71">
        <v>1.0</v>
      </c>
      <c r="E138" s="84"/>
      <c r="F138" s="70">
        <v>1.0</v>
      </c>
      <c r="G138" s="71">
        <v>1.0</v>
      </c>
      <c r="H138" s="71">
        <v>1.0</v>
      </c>
      <c r="I138" s="84"/>
      <c r="J138" s="70">
        <v>1.0</v>
      </c>
      <c r="K138" s="71">
        <v>1.0</v>
      </c>
      <c r="L138" s="71">
        <v>1.0</v>
      </c>
      <c r="M138" s="84"/>
      <c r="N138" s="70">
        <v>1.0</v>
      </c>
      <c r="O138" s="71">
        <v>1.0</v>
      </c>
      <c r="P138" s="71">
        <v>1.0</v>
      </c>
      <c r="Q138" s="84"/>
      <c r="R138" s="70">
        <v>1.0</v>
      </c>
      <c r="S138" s="71">
        <v>1.0</v>
      </c>
      <c r="T138" s="71">
        <v>0.0</v>
      </c>
      <c r="U138" s="84"/>
      <c r="V138" s="65">
        <f t="shared" ref="V138:X138" si="110">SUM(B138,F138,J138,N138,R138)</f>
        <v>5</v>
      </c>
      <c r="W138" s="65">
        <f t="shared" si="110"/>
        <v>4</v>
      </c>
      <c r="X138" s="65">
        <f t="shared" si="110"/>
        <v>4</v>
      </c>
    </row>
    <row r="139">
      <c r="A139" s="87" t="s">
        <v>951</v>
      </c>
      <c r="B139" s="70">
        <v>1.0</v>
      </c>
      <c r="C139" s="71">
        <v>1.0</v>
      </c>
      <c r="D139" s="71">
        <v>1.0</v>
      </c>
      <c r="E139" s="84"/>
      <c r="F139" s="70">
        <v>1.0</v>
      </c>
      <c r="G139" s="71">
        <v>1.0</v>
      </c>
      <c r="H139" s="71">
        <v>1.0</v>
      </c>
      <c r="I139" s="84"/>
      <c r="J139" s="70">
        <v>1.0</v>
      </c>
      <c r="K139" s="71">
        <v>1.0</v>
      </c>
      <c r="L139" s="71">
        <v>1.0</v>
      </c>
      <c r="M139" s="84"/>
      <c r="N139" s="70">
        <v>1.0</v>
      </c>
      <c r="O139" s="71">
        <v>1.0</v>
      </c>
      <c r="P139" s="71">
        <v>1.0</v>
      </c>
      <c r="Q139" s="84"/>
      <c r="R139" s="70">
        <v>1.0</v>
      </c>
      <c r="S139" s="71">
        <v>1.0</v>
      </c>
      <c r="T139" s="71">
        <v>1.0</v>
      </c>
      <c r="U139" s="84"/>
      <c r="V139" s="65">
        <f t="shared" ref="V139:X139" si="111">SUM(B139,F139,J139,N139,R139)</f>
        <v>5</v>
      </c>
      <c r="W139" s="65">
        <f t="shared" si="111"/>
        <v>5</v>
      </c>
      <c r="X139" s="65">
        <f t="shared" si="111"/>
        <v>5</v>
      </c>
    </row>
    <row r="140">
      <c r="A140" s="87" t="s">
        <v>952</v>
      </c>
      <c r="B140" s="72">
        <v>1.0</v>
      </c>
      <c r="C140" s="73">
        <v>1.0</v>
      </c>
      <c r="D140" s="73">
        <v>1.0</v>
      </c>
      <c r="E140" s="88"/>
      <c r="F140" s="72">
        <v>1.0</v>
      </c>
      <c r="G140" s="73">
        <v>1.0</v>
      </c>
      <c r="H140" s="73">
        <v>1.0</v>
      </c>
      <c r="I140" s="88"/>
      <c r="J140" s="72">
        <v>1.0</v>
      </c>
      <c r="K140" s="73">
        <v>1.0</v>
      </c>
      <c r="L140" s="73">
        <v>1.0</v>
      </c>
      <c r="M140" s="88"/>
      <c r="N140" s="72">
        <v>1.0</v>
      </c>
      <c r="O140" s="73">
        <v>1.0</v>
      </c>
      <c r="P140" s="73">
        <v>1.0</v>
      </c>
      <c r="Q140" s="88"/>
      <c r="R140" s="72">
        <v>1.0</v>
      </c>
      <c r="S140" s="73">
        <v>1.0</v>
      </c>
      <c r="T140" s="73">
        <v>1.0</v>
      </c>
      <c r="U140" s="88"/>
      <c r="V140" s="65">
        <f t="shared" ref="V140:X140" si="112">SUM(B140,F140,J140,N140,R140)</f>
        <v>5</v>
      </c>
      <c r="W140" s="65">
        <f t="shared" si="112"/>
        <v>5</v>
      </c>
      <c r="X140" s="65">
        <f t="shared" si="112"/>
        <v>5</v>
      </c>
    </row>
    <row r="141">
      <c r="A141" s="75" t="s">
        <v>577</v>
      </c>
      <c r="B141" s="52" t="s">
        <v>935</v>
      </c>
      <c r="F141" s="53" t="s">
        <v>936</v>
      </c>
      <c r="J141" s="54" t="s">
        <v>937</v>
      </c>
      <c r="N141" s="55" t="s">
        <v>938</v>
      </c>
      <c r="R141" s="56" t="s">
        <v>939</v>
      </c>
    </row>
    <row r="142">
      <c r="B142" s="76" t="s">
        <v>980</v>
      </c>
      <c r="E142" s="58"/>
      <c r="F142" s="92" t="s">
        <v>354</v>
      </c>
      <c r="I142" s="58"/>
      <c r="J142" s="76" t="s">
        <v>18</v>
      </c>
      <c r="M142" s="58"/>
      <c r="N142" s="76" t="s">
        <v>355</v>
      </c>
      <c r="Q142" s="58"/>
      <c r="R142" s="76" t="s">
        <v>964</v>
      </c>
      <c r="U142" s="58"/>
    </row>
    <row r="143">
      <c r="B143" s="80" t="s">
        <v>943</v>
      </c>
      <c r="C143" s="81" t="s">
        <v>944</v>
      </c>
      <c r="D143" s="81" t="s">
        <v>945</v>
      </c>
      <c r="E143" s="82"/>
      <c r="F143" s="80" t="s">
        <v>943</v>
      </c>
      <c r="G143" s="81" t="s">
        <v>944</v>
      </c>
      <c r="H143" s="81" t="s">
        <v>945</v>
      </c>
      <c r="I143" s="82"/>
      <c r="J143" s="80" t="s">
        <v>943</v>
      </c>
      <c r="K143" s="81" t="s">
        <v>944</v>
      </c>
      <c r="L143" s="81" t="s">
        <v>945</v>
      </c>
      <c r="M143" s="82"/>
      <c r="N143" s="80" t="s">
        <v>943</v>
      </c>
      <c r="O143" s="81" t="s">
        <v>944</v>
      </c>
      <c r="P143" s="81" t="s">
        <v>945</v>
      </c>
      <c r="Q143" s="82"/>
      <c r="R143" s="80" t="s">
        <v>943</v>
      </c>
      <c r="S143" s="81" t="s">
        <v>944</v>
      </c>
      <c r="T143" s="81" t="s">
        <v>945</v>
      </c>
      <c r="U143" s="82"/>
    </row>
    <row r="144">
      <c r="A144" s="8" t="s">
        <v>946</v>
      </c>
      <c r="B144" s="70">
        <v>1.0</v>
      </c>
      <c r="C144" s="71">
        <v>1.0</v>
      </c>
      <c r="D144" s="71">
        <v>1.0</v>
      </c>
      <c r="E144" s="84"/>
      <c r="F144" s="70">
        <v>0.0</v>
      </c>
      <c r="G144" s="71">
        <v>1.0</v>
      </c>
      <c r="H144" s="71">
        <v>1.0</v>
      </c>
      <c r="I144" s="84"/>
      <c r="J144" s="70">
        <v>1.0</v>
      </c>
      <c r="K144" s="71">
        <v>1.0</v>
      </c>
      <c r="L144" s="71">
        <v>1.0</v>
      </c>
      <c r="M144" s="84"/>
      <c r="N144" s="70">
        <v>0.0</v>
      </c>
      <c r="O144" s="71">
        <v>1.0</v>
      </c>
      <c r="P144" s="71">
        <v>1.0</v>
      </c>
      <c r="Q144" s="84"/>
      <c r="R144" s="70">
        <v>1.0</v>
      </c>
      <c r="S144" s="71">
        <v>1.0</v>
      </c>
      <c r="T144" s="71">
        <v>1.0</v>
      </c>
      <c r="U144" s="84"/>
      <c r="V144" s="65">
        <f t="shared" ref="V144:X144" si="113">SUM(B144,F144,J144,N144,R144)</f>
        <v>3</v>
      </c>
      <c r="W144" s="65">
        <f t="shared" si="113"/>
        <v>5</v>
      </c>
      <c r="X144" s="65">
        <f t="shared" si="113"/>
        <v>5</v>
      </c>
    </row>
    <row r="145">
      <c r="A145" s="87" t="s">
        <v>947</v>
      </c>
      <c r="B145" s="70">
        <v>1.0</v>
      </c>
      <c r="C145" s="71">
        <v>1.0</v>
      </c>
      <c r="D145" s="71">
        <v>1.0</v>
      </c>
      <c r="E145" s="84"/>
      <c r="F145" s="70">
        <v>1.0</v>
      </c>
      <c r="G145" s="71">
        <v>1.0</v>
      </c>
      <c r="H145" s="71">
        <v>1.0</v>
      </c>
      <c r="I145" s="84"/>
      <c r="J145" s="70">
        <v>1.0</v>
      </c>
      <c r="K145" s="71">
        <v>1.0</v>
      </c>
      <c r="L145" s="71">
        <v>1.0</v>
      </c>
      <c r="M145" s="84"/>
      <c r="N145" s="70">
        <v>1.0</v>
      </c>
      <c r="O145" s="71">
        <v>1.0</v>
      </c>
      <c r="P145" s="71">
        <v>1.0</v>
      </c>
      <c r="Q145" s="84"/>
      <c r="R145" s="70">
        <v>1.0</v>
      </c>
      <c r="S145" s="71">
        <v>1.0</v>
      </c>
      <c r="T145" s="71">
        <v>1.0</v>
      </c>
      <c r="U145" s="84"/>
      <c r="V145" s="65">
        <f t="shared" ref="V145:X145" si="114">SUM(B145,F145,J145,N145,R145)</f>
        <v>5</v>
      </c>
      <c r="W145" s="65">
        <f t="shared" si="114"/>
        <v>5</v>
      </c>
      <c r="X145" s="65">
        <f t="shared" si="114"/>
        <v>5</v>
      </c>
    </row>
    <row r="146">
      <c r="A146" s="87" t="s">
        <v>948</v>
      </c>
      <c r="B146" s="70">
        <v>1.0</v>
      </c>
      <c r="C146" s="71">
        <v>0.0</v>
      </c>
      <c r="D146" s="71">
        <v>1.0</v>
      </c>
      <c r="E146" s="84"/>
      <c r="F146" s="70">
        <v>0.0</v>
      </c>
      <c r="G146" s="71">
        <v>1.0</v>
      </c>
      <c r="H146" s="71">
        <v>1.0</v>
      </c>
      <c r="I146" s="84"/>
      <c r="J146" s="70">
        <v>1.0</v>
      </c>
      <c r="K146" s="71">
        <v>1.0</v>
      </c>
      <c r="L146" s="71">
        <v>1.0</v>
      </c>
      <c r="M146" s="84"/>
      <c r="N146" s="70">
        <v>0.0</v>
      </c>
      <c r="O146" s="71">
        <v>1.0</v>
      </c>
      <c r="P146" s="71">
        <v>1.0</v>
      </c>
      <c r="Q146" s="84"/>
      <c r="R146" s="70">
        <v>1.0</v>
      </c>
      <c r="S146" s="71">
        <v>1.0</v>
      </c>
      <c r="T146" s="71">
        <v>1.0</v>
      </c>
      <c r="U146" s="84"/>
      <c r="V146" s="65">
        <f t="shared" ref="V146:X146" si="115">SUM(B146,F146,J146,N146,R146)</f>
        <v>3</v>
      </c>
      <c r="W146" s="65">
        <f t="shared" si="115"/>
        <v>4</v>
      </c>
      <c r="X146" s="65">
        <f t="shared" si="115"/>
        <v>5</v>
      </c>
    </row>
    <row r="147">
      <c r="A147" s="87" t="s">
        <v>949</v>
      </c>
      <c r="B147" s="70">
        <v>1.0</v>
      </c>
      <c r="C147" s="71">
        <v>1.0</v>
      </c>
      <c r="D147" s="71">
        <v>1.0</v>
      </c>
      <c r="E147" s="84"/>
      <c r="F147" s="70">
        <v>1.0</v>
      </c>
      <c r="G147" s="71">
        <v>1.0</v>
      </c>
      <c r="H147" s="71">
        <v>1.0</v>
      </c>
      <c r="I147" s="84"/>
      <c r="J147" s="70">
        <v>1.0</v>
      </c>
      <c r="K147" s="71">
        <v>1.0</v>
      </c>
      <c r="L147" s="71">
        <v>1.0</v>
      </c>
      <c r="M147" s="84"/>
      <c r="N147" s="70">
        <v>1.0</v>
      </c>
      <c r="O147" s="71">
        <v>1.0</v>
      </c>
      <c r="P147" s="71">
        <v>1.0</v>
      </c>
      <c r="Q147" s="84"/>
      <c r="R147" s="70">
        <v>1.0</v>
      </c>
      <c r="S147" s="71">
        <v>1.0</v>
      </c>
      <c r="T147" s="71">
        <v>1.0</v>
      </c>
      <c r="U147" s="84"/>
      <c r="V147" s="65">
        <f t="shared" ref="V147:X147" si="116">SUM(B147,F147,J147,N147,R147)</f>
        <v>5</v>
      </c>
      <c r="W147" s="65">
        <f t="shared" si="116"/>
        <v>5</v>
      </c>
      <c r="X147" s="65">
        <f t="shared" si="116"/>
        <v>5</v>
      </c>
    </row>
    <row r="148">
      <c r="A148" s="87" t="s">
        <v>950</v>
      </c>
      <c r="B148" s="70">
        <v>1.0</v>
      </c>
      <c r="C148" s="71">
        <v>1.0</v>
      </c>
      <c r="D148" s="71">
        <v>1.0</v>
      </c>
      <c r="E148" s="84"/>
      <c r="F148" s="70">
        <v>1.0</v>
      </c>
      <c r="G148" s="71">
        <v>1.0</v>
      </c>
      <c r="H148" s="71">
        <v>1.0</v>
      </c>
      <c r="I148" s="84"/>
      <c r="J148" s="70">
        <v>1.0</v>
      </c>
      <c r="K148" s="71">
        <v>1.0</v>
      </c>
      <c r="L148" s="71">
        <v>1.0</v>
      </c>
      <c r="M148" s="84"/>
      <c r="N148" s="70">
        <v>1.0</v>
      </c>
      <c r="O148" s="71">
        <v>1.0</v>
      </c>
      <c r="P148" s="71">
        <v>1.0</v>
      </c>
      <c r="Q148" s="84"/>
      <c r="R148" s="70">
        <v>1.0</v>
      </c>
      <c r="S148" s="71">
        <v>1.0</v>
      </c>
      <c r="T148" s="71">
        <v>1.0</v>
      </c>
      <c r="U148" s="84"/>
      <c r="V148" s="65">
        <f t="shared" ref="V148:X148" si="117">SUM(B148,F148,J148,N148,R148)</f>
        <v>5</v>
      </c>
      <c r="W148" s="65">
        <f t="shared" si="117"/>
        <v>5</v>
      </c>
      <c r="X148" s="65">
        <f t="shared" si="117"/>
        <v>5</v>
      </c>
    </row>
    <row r="149">
      <c r="A149" s="87" t="s">
        <v>951</v>
      </c>
      <c r="B149" s="70">
        <v>1.0</v>
      </c>
      <c r="C149" s="71">
        <v>1.0</v>
      </c>
      <c r="D149" s="71">
        <v>1.0</v>
      </c>
      <c r="E149" s="84"/>
      <c r="F149" s="70">
        <v>1.0</v>
      </c>
      <c r="G149" s="71">
        <v>1.0</v>
      </c>
      <c r="H149" s="71">
        <v>1.0</v>
      </c>
      <c r="I149" s="84"/>
      <c r="J149" s="70">
        <v>1.0</v>
      </c>
      <c r="K149" s="71">
        <v>1.0</v>
      </c>
      <c r="L149" s="71">
        <v>1.0</v>
      </c>
      <c r="M149" s="84"/>
      <c r="N149" s="70">
        <v>1.0</v>
      </c>
      <c r="O149" s="71">
        <v>1.0</v>
      </c>
      <c r="P149" s="71">
        <v>1.0</v>
      </c>
      <c r="Q149" s="84"/>
      <c r="R149" s="70">
        <v>1.0</v>
      </c>
      <c r="S149" s="71">
        <v>1.0</v>
      </c>
      <c r="T149" s="71">
        <v>1.0</v>
      </c>
      <c r="U149" s="84"/>
      <c r="V149" s="65">
        <f t="shared" ref="V149:X149" si="118">SUM(B149,F149,J149,N149,R149)</f>
        <v>5</v>
      </c>
      <c r="W149" s="65">
        <f t="shared" si="118"/>
        <v>5</v>
      </c>
      <c r="X149" s="65">
        <f t="shared" si="118"/>
        <v>5</v>
      </c>
    </row>
    <row r="150">
      <c r="A150" s="87" t="s">
        <v>952</v>
      </c>
      <c r="B150" s="72">
        <v>1.0</v>
      </c>
      <c r="C150" s="73">
        <v>1.0</v>
      </c>
      <c r="D150" s="73">
        <v>1.0</v>
      </c>
      <c r="E150" s="88"/>
      <c r="F150" s="72">
        <v>1.0</v>
      </c>
      <c r="G150" s="73">
        <v>1.0</v>
      </c>
      <c r="H150" s="73">
        <v>1.0</v>
      </c>
      <c r="I150" s="88"/>
      <c r="J150" s="72">
        <v>1.0</v>
      </c>
      <c r="K150" s="73">
        <v>1.0</v>
      </c>
      <c r="L150" s="73">
        <v>1.0</v>
      </c>
      <c r="M150" s="88"/>
      <c r="N150" s="72">
        <v>1.0</v>
      </c>
      <c r="O150" s="73">
        <v>1.0</v>
      </c>
      <c r="P150" s="73">
        <v>1.0</v>
      </c>
      <c r="Q150" s="88"/>
      <c r="R150" s="72">
        <v>1.0</v>
      </c>
      <c r="S150" s="73">
        <v>1.0</v>
      </c>
      <c r="T150" s="73">
        <v>1.0</v>
      </c>
      <c r="U150" s="88"/>
      <c r="V150" s="65">
        <f t="shared" ref="V150:X150" si="119">SUM(B150,F150,J150,N150,R150)</f>
        <v>5</v>
      </c>
      <c r="W150" s="65">
        <f t="shared" si="119"/>
        <v>5</v>
      </c>
      <c r="X150" s="65">
        <f t="shared" si="119"/>
        <v>5</v>
      </c>
    </row>
    <row r="151">
      <c r="A151" s="75" t="s">
        <v>585</v>
      </c>
      <c r="B151" s="52" t="s">
        <v>935</v>
      </c>
      <c r="F151" s="53" t="s">
        <v>936</v>
      </c>
      <c r="J151" s="54" t="s">
        <v>937</v>
      </c>
      <c r="N151" s="55"/>
      <c r="R151" s="56" t="s">
        <v>939</v>
      </c>
    </row>
    <row r="152">
      <c r="B152" s="76" t="s">
        <v>36</v>
      </c>
      <c r="E152" s="58"/>
      <c r="F152" s="92" t="s">
        <v>965</v>
      </c>
      <c r="I152" s="58"/>
      <c r="J152" s="76" t="s">
        <v>38</v>
      </c>
      <c r="M152" s="58"/>
      <c r="N152" s="76" t="s">
        <v>39</v>
      </c>
      <c r="Q152" s="58"/>
      <c r="R152" s="76" t="s">
        <v>966</v>
      </c>
      <c r="U152" s="58"/>
    </row>
    <row r="153">
      <c r="B153" s="80" t="s">
        <v>943</v>
      </c>
      <c r="C153" s="81" t="s">
        <v>944</v>
      </c>
      <c r="D153" s="81" t="s">
        <v>945</v>
      </c>
      <c r="E153" s="82"/>
      <c r="F153" s="80" t="s">
        <v>943</v>
      </c>
      <c r="G153" s="81" t="s">
        <v>944</v>
      </c>
      <c r="H153" s="81" t="s">
        <v>945</v>
      </c>
      <c r="I153" s="82"/>
      <c r="J153" s="80" t="s">
        <v>943</v>
      </c>
      <c r="K153" s="81" t="s">
        <v>944</v>
      </c>
      <c r="L153" s="81" t="s">
        <v>945</v>
      </c>
      <c r="M153" s="82"/>
      <c r="N153" s="80" t="s">
        <v>943</v>
      </c>
      <c r="O153" s="81" t="s">
        <v>944</v>
      </c>
      <c r="P153" s="81" t="s">
        <v>945</v>
      </c>
      <c r="Q153" s="82"/>
      <c r="R153" s="80" t="s">
        <v>943</v>
      </c>
      <c r="S153" s="81" t="s">
        <v>944</v>
      </c>
      <c r="T153" s="81" t="s">
        <v>945</v>
      </c>
      <c r="U153" s="82"/>
    </row>
    <row r="154">
      <c r="A154" s="8" t="s">
        <v>946</v>
      </c>
      <c r="B154" s="70">
        <v>0.0</v>
      </c>
      <c r="C154" s="71">
        <v>0.0</v>
      </c>
      <c r="D154" s="71">
        <v>1.0</v>
      </c>
      <c r="E154" s="84"/>
      <c r="F154" s="70">
        <v>1.0</v>
      </c>
      <c r="G154" s="71">
        <v>1.0</v>
      </c>
      <c r="H154" s="71">
        <v>1.0</v>
      </c>
      <c r="I154" s="84"/>
      <c r="J154" s="70">
        <v>1.0</v>
      </c>
      <c r="K154" s="71">
        <v>1.0</v>
      </c>
      <c r="L154" s="71">
        <v>1.0</v>
      </c>
      <c r="M154" s="84"/>
      <c r="N154" s="70">
        <v>1.0</v>
      </c>
      <c r="O154" s="71">
        <v>1.0</v>
      </c>
      <c r="P154" s="71">
        <v>1.0</v>
      </c>
      <c r="Q154" s="84"/>
      <c r="R154" s="70">
        <v>1.0</v>
      </c>
      <c r="S154" s="71">
        <v>1.0</v>
      </c>
      <c r="T154" s="71">
        <v>1.0</v>
      </c>
      <c r="U154" s="84"/>
      <c r="V154" s="65">
        <f t="shared" ref="V154:X154" si="120">SUM(B154,F154,J154,N154,R154)</f>
        <v>4</v>
      </c>
      <c r="W154" s="65">
        <f t="shared" si="120"/>
        <v>4</v>
      </c>
      <c r="X154" s="65">
        <f t="shared" si="120"/>
        <v>5</v>
      </c>
    </row>
    <row r="155">
      <c r="A155" s="87" t="s">
        <v>947</v>
      </c>
      <c r="B155" s="70">
        <v>1.0</v>
      </c>
      <c r="C155" s="71">
        <v>1.0</v>
      </c>
      <c r="D155" s="71">
        <v>1.0</v>
      </c>
      <c r="E155" s="84"/>
      <c r="F155" s="70">
        <v>1.0</v>
      </c>
      <c r="G155" s="71">
        <v>1.0</v>
      </c>
      <c r="H155" s="71">
        <v>1.0</v>
      </c>
      <c r="I155" s="84"/>
      <c r="J155" s="70">
        <v>1.0</v>
      </c>
      <c r="K155" s="71">
        <v>1.0</v>
      </c>
      <c r="L155" s="71">
        <v>1.0</v>
      </c>
      <c r="M155" s="84"/>
      <c r="N155" s="70">
        <v>1.0</v>
      </c>
      <c r="O155" s="71">
        <v>1.0</v>
      </c>
      <c r="P155" s="71">
        <v>1.0</v>
      </c>
      <c r="Q155" s="84"/>
      <c r="R155" s="70">
        <v>1.0</v>
      </c>
      <c r="S155" s="71">
        <v>1.0</v>
      </c>
      <c r="T155" s="71">
        <v>1.0</v>
      </c>
      <c r="U155" s="84"/>
      <c r="V155" s="65">
        <f t="shared" ref="V155:X155" si="121">SUM(B155,F155,J155,N155,R155)</f>
        <v>5</v>
      </c>
      <c r="W155" s="65">
        <f t="shared" si="121"/>
        <v>5</v>
      </c>
      <c r="X155" s="65">
        <f t="shared" si="121"/>
        <v>5</v>
      </c>
    </row>
    <row r="156">
      <c r="A156" s="87" t="s">
        <v>948</v>
      </c>
      <c r="B156" s="70">
        <v>0.0</v>
      </c>
      <c r="C156" s="71">
        <v>0.0</v>
      </c>
      <c r="D156" s="71">
        <v>1.0</v>
      </c>
      <c r="E156" s="84"/>
      <c r="F156" s="70">
        <v>1.0</v>
      </c>
      <c r="G156" s="71">
        <v>1.0</v>
      </c>
      <c r="H156" s="71">
        <v>1.0</v>
      </c>
      <c r="I156" s="84"/>
      <c r="J156" s="70">
        <v>1.0</v>
      </c>
      <c r="K156" s="71">
        <v>1.0</v>
      </c>
      <c r="L156" s="71">
        <v>1.0</v>
      </c>
      <c r="M156" s="84"/>
      <c r="N156" s="70">
        <v>1.0</v>
      </c>
      <c r="O156" s="71">
        <v>1.0</v>
      </c>
      <c r="P156" s="71">
        <v>1.0</v>
      </c>
      <c r="Q156" s="84"/>
      <c r="R156" s="70">
        <v>1.0</v>
      </c>
      <c r="S156" s="71">
        <v>1.0</v>
      </c>
      <c r="T156" s="71">
        <v>1.0</v>
      </c>
      <c r="U156" s="84"/>
      <c r="V156" s="65">
        <f t="shared" ref="V156:X156" si="122">SUM(B156,F156,J156,N156,R156)</f>
        <v>4</v>
      </c>
      <c r="W156" s="65">
        <f t="shared" si="122"/>
        <v>4</v>
      </c>
      <c r="X156" s="65">
        <f t="shared" si="122"/>
        <v>5</v>
      </c>
    </row>
    <row r="157">
      <c r="A157" s="87" t="s">
        <v>949</v>
      </c>
      <c r="B157" s="70">
        <v>1.0</v>
      </c>
      <c r="C157" s="71">
        <v>1.0</v>
      </c>
      <c r="D157" s="71">
        <v>1.0</v>
      </c>
      <c r="E157" s="84"/>
      <c r="F157" s="70">
        <v>1.0</v>
      </c>
      <c r="G157" s="71">
        <v>1.0</v>
      </c>
      <c r="H157" s="71">
        <v>1.0</v>
      </c>
      <c r="I157" s="84"/>
      <c r="J157" s="70">
        <v>1.0</v>
      </c>
      <c r="K157" s="71">
        <v>1.0</v>
      </c>
      <c r="L157" s="71">
        <v>1.0</v>
      </c>
      <c r="M157" s="84"/>
      <c r="N157" s="70">
        <v>1.0</v>
      </c>
      <c r="O157" s="71">
        <v>1.0</v>
      </c>
      <c r="P157" s="71">
        <v>1.0</v>
      </c>
      <c r="Q157" s="84"/>
      <c r="R157" s="70">
        <v>1.0</v>
      </c>
      <c r="S157" s="71">
        <v>1.0</v>
      </c>
      <c r="T157" s="71">
        <v>1.0</v>
      </c>
      <c r="U157" s="84"/>
      <c r="V157" s="65">
        <f t="shared" ref="V157:X157" si="123">SUM(B157,F157,J157,N157,R157)</f>
        <v>5</v>
      </c>
      <c r="W157" s="65">
        <f t="shared" si="123"/>
        <v>5</v>
      </c>
      <c r="X157" s="65">
        <f t="shared" si="123"/>
        <v>5</v>
      </c>
    </row>
    <row r="158">
      <c r="A158" s="87" t="s">
        <v>950</v>
      </c>
      <c r="B158" s="70">
        <v>1.0</v>
      </c>
      <c r="C158" s="71">
        <v>1.0</v>
      </c>
      <c r="D158" s="71">
        <v>1.0</v>
      </c>
      <c r="E158" s="84"/>
      <c r="F158" s="70">
        <v>1.0</v>
      </c>
      <c r="G158" s="71">
        <v>1.0</v>
      </c>
      <c r="H158" s="71">
        <v>1.0</v>
      </c>
      <c r="I158" s="84"/>
      <c r="J158" s="70">
        <v>1.0</v>
      </c>
      <c r="K158" s="71">
        <v>1.0</v>
      </c>
      <c r="L158" s="71">
        <v>1.0</v>
      </c>
      <c r="M158" s="84"/>
      <c r="N158" s="70">
        <v>1.0</v>
      </c>
      <c r="O158" s="71">
        <v>1.0</v>
      </c>
      <c r="P158" s="71">
        <v>1.0</v>
      </c>
      <c r="Q158" s="84"/>
      <c r="R158" s="70">
        <v>1.0</v>
      </c>
      <c r="S158" s="71">
        <v>1.0</v>
      </c>
      <c r="T158" s="71">
        <v>1.0</v>
      </c>
      <c r="U158" s="84"/>
      <c r="V158" s="65">
        <f t="shared" ref="V158:X158" si="124">SUM(B158,F158,J158,N158,R158)</f>
        <v>5</v>
      </c>
      <c r="W158" s="65">
        <f t="shared" si="124"/>
        <v>5</v>
      </c>
      <c r="X158" s="65">
        <f t="shared" si="124"/>
        <v>5</v>
      </c>
    </row>
    <row r="159">
      <c r="A159" s="87" t="s">
        <v>951</v>
      </c>
      <c r="B159" s="70">
        <v>1.0</v>
      </c>
      <c r="C159" s="71">
        <v>1.0</v>
      </c>
      <c r="D159" s="71">
        <v>1.0</v>
      </c>
      <c r="E159" s="84"/>
      <c r="F159" s="70">
        <v>1.0</v>
      </c>
      <c r="G159" s="71">
        <v>1.0</v>
      </c>
      <c r="H159" s="71">
        <v>1.0</v>
      </c>
      <c r="I159" s="84"/>
      <c r="J159" s="70">
        <v>1.0</v>
      </c>
      <c r="K159" s="71">
        <v>1.0</v>
      </c>
      <c r="L159" s="71">
        <v>1.0</v>
      </c>
      <c r="M159" s="84"/>
      <c r="N159" s="70">
        <v>1.0</v>
      </c>
      <c r="O159" s="71">
        <v>1.0</v>
      </c>
      <c r="P159" s="71">
        <v>1.0</v>
      </c>
      <c r="Q159" s="84"/>
      <c r="R159" s="70">
        <v>1.0</v>
      </c>
      <c r="S159" s="71">
        <v>1.0</v>
      </c>
      <c r="T159" s="71">
        <v>1.0</v>
      </c>
      <c r="U159" s="84"/>
      <c r="V159" s="65">
        <f t="shared" ref="V159:X159" si="125">SUM(B159,F159,J159,N159,R159)</f>
        <v>5</v>
      </c>
      <c r="W159" s="65">
        <f t="shared" si="125"/>
        <v>5</v>
      </c>
      <c r="X159" s="65">
        <f t="shared" si="125"/>
        <v>5</v>
      </c>
    </row>
    <row r="160">
      <c r="A160" s="87" t="s">
        <v>952</v>
      </c>
      <c r="B160" s="72">
        <v>1.0</v>
      </c>
      <c r="C160" s="73">
        <v>1.0</v>
      </c>
      <c r="D160" s="73">
        <v>1.0</v>
      </c>
      <c r="E160" s="88"/>
      <c r="F160" s="72">
        <v>1.0</v>
      </c>
      <c r="G160" s="73">
        <v>1.0</v>
      </c>
      <c r="H160" s="73">
        <v>1.0</v>
      </c>
      <c r="I160" s="88"/>
      <c r="J160" s="72">
        <v>1.0</v>
      </c>
      <c r="K160" s="73">
        <v>1.0</v>
      </c>
      <c r="L160" s="73">
        <v>1.0</v>
      </c>
      <c r="M160" s="88"/>
      <c r="N160" s="72">
        <v>1.0</v>
      </c>
      <c r="O160" s="73">
        <v>1.0</v>
      </c>
      <c r="P160" s="73">
        <v>1.0</v>
      </c>
      <c r="Q160" s="88"/>
      <c r="R160" s="72">
        <v>1.0</v>
      </c>
      <c r="S160" s="73">
        <v>1.0</v>
      </c>
      <c r="T160" s="73">
        <v>1.0</v>
      </c>
      <c r="U160" s="88"/>
      <c r="V160" s="65">
        <f t="shared" ref="V160:X160" si="126">SUM(B160,F160,J160,N160,R160)</f>
        <v>5</v>
      </c>
      <c r="W160" s="65">
        <f t="shared" si="126"/>
        <v>5</v>
      </c>
      <c r="X160" s="65">
        <f t="shared" si="126"/>
        <v>5</v>
      </c>
    </row>
    <row r="161">
      <c r="A161" s="75" t="s">
        <v>594</v>
      </c>
      <c r="B161" s="52" t="s">
        <v>935</v>
      </c>
      <c r="F161" s="53" t="s">
        <v>936</v>
      </c>
      <c r="J161" s="54" t="s">
        <v>937</v>
      </c>
      <c r="N161" s="55" t="s">
        <v>938</v>
      </c>
      <c r="R161" s="56" t="s">
        <v>939</v>
      </c>
    </row>
    <row r="162">
      <c r="B162" s="76" t="s">
        <v>138</v>
      </c>
      <c r="E162" s="58"/>
      <c r="F162" s="92" t="s">
        <v>275</v>
      </c>
      <c r="I162" s="58"/>
      <c r="J162" s="76" t="s">
        <v>276</v>
      </c>
      <c r="M162" s="58"/>
      <c r="N162" s="76" t="s">
        <v>967</v>
      </c>
      <c r="Q162" s="58"/>
      <c r="R162" s="76" t="s">
        <v>968</v>
      </c>
      <c r="U162" s="58"/>
    </row>
    <row r="163">
      <c r="B163" s="80" t="s">
        <v>943</v>
      </c>
      <c r="C163" s="81" t="s">
        <v>944</v>
      </c>
      <c r="D163" s="81" t="s">
        <v>945</v>
      </c>
      <c r="E163" s="82"/>
      <c r="F163" s="80" t="s">
        <v>943</v>
      </c>
      <c r="G163" s="81" t="s">
        <v>944</v>
      </c>
      <c r="H163" s="81" t="s">
        <v>945</v>
      </c>
      <c r="I163" s="82"/>
      <c r="J163" s="80" t="s">
        <v>943</v>
      </c>
      <c r="K163" s="81" t="s">
        <v>944</v>
      </c>
      <c r="L163" s="81" t="s">
        <v>945</v>
      </c>
      <c r="M163" s="82"/>
      <c r="N163" s="80" t="s">
        <v>943</v>
      </c>
      <c r="O163" s="81" t="s">
        <v>944</v>
      </c>
      <c r="P163" s="81" t="s">
        <v>945</v>
      </c>
      <c r="Q163" s="82"/>
      <c r="R163" s="80" t="s">
        <v>943</v>
      </c>
      <c r="S163" s="81" t="s">
        <v>944</v>
      </c>
      <c r="T163" s="81" t="s">
        <v>945</v>
      </c>
      <c r="U163" s="82"/>
    </row>
    <row r="164">
      <c r="A164" s="8" t="s">
        <v>946</v>
      </c>
      <c r="B164" s="70">
        <v>1.0</v>
      </c>
      <c r="C164" s="71">
        <v>1.0</v>
      </c>
      <c r="D164" s="71">
        <v>1.0</v>
      </c>
      <c r="E164" s="84"/>
      <c r="F164" s="70">
        <v>1.0</v>
      </c>
      <c r="G164" s="71">
        <v>0.0</v>
      </c>
      <c r="H164" s="71">
        <v>1.0</v>
      </c>
      <c r="I164" s="84"/>
      <c r="J164" s="70">
        <v>1.0</v>
      </c>
      <c r="K164" s="71">
        <v>1.0</v>
      </c>
      <c r="L164" s="71">
        <v>1.0</v>
      </c>
      <c r="M164" s="84"/>
      <c r="N164" s="70">
        <v>0.0</v>
      </c>
      <c r="O164" s="71">
        <v>0.0</v>
      </c>
      <c r="P164" s="71">
        <v>0.0</v>
      </c>
      <c r="Q164" s="84"/>
      <c r="R164" s="70">
        <v>1.0</v>
      </c>
      <c r="S164" s="71">
        <v>0.0</v>
      </c>
      <c r="T164" s="71">
        <v>1.0</v>
      </c>
      <c r="U164" s="84"/>
      <c r="V164" s="65">
        <f t="shared" ref="V164:X164" si="127">SUM(B164,F164,J164,N164,R164)</f>
        <v>4</v>
      </c>
      <c r="W164" s="65">
        <f t="shared" si="127"/>
        <v>2</v>
      </c>
      <c r="X164" s="65">
        <f t="shared" si="127"/>
        <v>4</v>
      </c>
    </row>
    <row r="165">
      <c r="A165" s="87" t="s">
        <v>947</v>
      </c>
      <c r="B165" s="70">
        <v>1.0</v>
      </c>
      <c r="C165" s="71">
        <v>1.0</v>
      </c>
      <c r="D165" s="71">
        <v>1.0</v>
      </c>
      <c r="E165" s="84"/>
      <c r="F165" s="70">
        <v>1.0</v>
      </c>
      <c r="G165" s="71">
        <v>1.0</v>
      </c>
      <c r="H165" s="71">
        <v>1.0</v>
      </c>
      <c r="I165" s="84"/>
      <c r="J165" s="70">
        <v>1.0</v>
      </c>
      <c r="K165" s="71">
        <v>1.0</v>
      </c>
      <c r="L165" s="71">
        <v>1.0</v>
      </c>
      <c r="M165" s="84"/>
      <c r="N165" s="70">
        <v>1.0</v>
      </c>
      <c r="O165" s="71">
        <v>1.0</v>
      </c>
      <c r="P165" s="71">
        <v>1.0</v>
      </c>
      <c r="Q165" s="84"/>
      <c r="R165" s="70">
        <v>1.0</v>
      </c>
      <c r="S165" s="71">
        <v>1.0</v>
      </c>
      <c r="T165" s="71">
        <v>1.0</v>
      </c>
      <c r="U165" s="84"/>
      <c r="V165" s="65">
        <f t="shared" ref="V165:X165" si="128">SUM(B165,F165,J165,N165,R165)</f>
        <v>5</v>
      </c>
      <c r="W165" s="65">
        <f t="shared" si="128"/>
        <v>5</v>
      </c>
      <c r="X165" s="65">
        <f t="shared" si="128"/>
        <v>5</v>
      </c>
    </row>
    <row r="166">
      <c r="A166" s="87" t="s">
        <v>948</v>
      </c>
      <c r="B166" s="70">
        <v>1.0</v>
      </c>
      <c r="C166" s="71">
        <v>1.0</v>
      </c>
      <c r="D166" s="71">
        <v>1.0</v>
      </c>
      <c r="E166" s="84"/>
      <c r="F166" s="70">
        <v>1.0</v>
      </c>
      <c r="G166" s="71">
        <v>0.0</v>
      </c>
      <c r="H166" s="71">
        <v>1.0</v>
      </c>
      <c r="I166" s="84"/>
      <c r="J166" s="70">
        <v>1.0</v>
      </c>
      <c r="K166" s="71">
        <v>1.0</v>
      </c>
      <c r="L166" s="71">
        <v>1.0</v>
      </c>
      <c r="M166" s="84"/>
      <c r="N166" s="70">
        <v>0.0</v>
      </c>
      <c r="O166" s="71">
        <v>0.0</v>
      </c>
      <c r="P166" s="71">
        <v>0.0</v>
      </c>
      <c r="Q166" s="84"/>
      <c r="R166" s="70">
        <v>0.0</v>
      </c>
      <c r="S166" s="71">
        <v>0.0</v>
      </c>
      <c r="T166" s="71">
        <v>1.0</v>
      </c>
      <c r="U166" s="84"/>
      <c r="V166" s="65">
        <f t="shared" ref="V166:X166" si="129">SUM(B166,F166,J166,N166,R166)</f>
        <v>3</v>
      </c>
      <c r="W166" s="65">
        <f t="shared" si="129"/>
        <v>2</v>
      </c>
      <c r="X166" s="65">
        <f t="shared" si="129"/>
        <v>4</v>
      </c>
    </row>
    <row r="167">
      <c r="A167" s="87" t="s">
        <v>949</v>
      </c>
      <c r="B167" s="70">
        <v>1.0</v>
      </c>
      <c r="C167" s="71">
        <v>1.0</v>
      </c>
      <c r="D167" s="71">
        <v>1.0</v>
      </c>
      <c r="E167" s="84"/>
      <c r="F167" s="70">
        <v>1.0</v>
      </c>
      <c r="G167" s="71">
        <v>1.0</v>
      </c>
      <c r="H167" s="71">
        <v>1.0</v>
      </c>
      <c r="I167" s="84"/>
      <c r="J167" s="70">
        <v>1.0</v>
      </c>
      <c r="K167" s="71">
        <v>1.0</v>
      </c>
      <c r="L167" s="71">
        <v>1.0</v>
      </c>
      <c r="M167" s="84"/>
      <c r="N167" s="70">
        <v>1.0</v>
      </c>
      <c r="O167" s="71">
        <v>1.0</v>
      </c>
      <c r="P167" s="71">
        <v>1.0</v>
      </c>
      <c r="Q167" s="84"/>
      <c r="R167" s="70">
        <v>1.0</v>
      </c>
      <c r="S167" s="71">
        <v>1.0</v>
      </c>
      <c r="T167" s="71">
        <v>1.0</v>
      </c>
      <c r="U167" s="84"/>
      <c r="V167" s="65">
        <f t="shared" ref="V167:X167" si="130">SUM(B167,F167,J167,N167,R167)</f>
        <v>5</v>
      </c>
      <c r="W167" s="65">
        <f t="shared" si="130"/>
        <v>5</v>
      </c>
      <c r="X167" s="65">
        <f t="shared" si="130"/>
        <v>5</v>
      </c>
    </row>
    <row r="168">
      <c r="A168" s="87" t="s">
        <v>950</v>
      </c>
      <c r="B168" s="70">
        <v>1.0</v>
      </c>
      <c r="C168" s="71">
        <v>1.0</v>
      </c>
      <c r="D168" s="71">
        <v>1.0</v>
      </c>
      <c r="E168" s="84"/>
      <c r="F168" s="70">
        <v>1.0</v>
      </c>
      <c r="G168" s="71">
        <v>1.0</v>
      </c>
      <c r="H168" s="71">
        <v>1.0</v>
      </c>
      <c r="I168" s="84"/>
      <c r="J168" s="70">
        <v>1.0</v>
      </c>
      <c r="K168" s="71">
        <v>1.0</v>
      </c>
      <c r="L168" s="71">
        <v>1.0</v>
      </c>
      <c r="M168" s="84"/>
      <c r="N168" s="70">
        <v>1.0</v>
      </c>
      <c r="O168" s="71">
        <v>1.0</v>
      </c>
      <c r="P168" s="71">
        <v>1.0</v>
      </c>
      <c r="Q168" s="84"/>
      <c r="R168" s="70">
        <v>1.0</v>
      </c>
      <c r="S168" s="71">
        <v>1.0</v>
      </c>
      <c r="T168" s="71">
        <v>1.0</v>
      </c>
      <c r="U168" s="84"/>
      <c r="V168" s="65">
        <f t="shared" ref="V168:X168" si="131">SUM(B168,F168,J168,N168,R168)</f>
        <v>5</v>
      </c>
      <c r="W168" s="65">
        <f t="shared" si="131"/>
        <v>5</v>
      </c>
      <c r="X168" s="65">
        <f t="shared" si="131"/>
        <v>5</v>
      </c>
    </row>
    <row r="169">
      <c r="A169" s="87" t="s">
        <v>951</v>
      </c>
      <c r="B169" s="70">
        <v>1.0</v>
      </c>
      <c r="C169" s="71">
        <v>1.0</v>
      </c>
      <c r="D169" s="71">
        <v>1.0</v>
      </c>
      <c r="E169" s="84"/>
      <c r="F169" s="70">
        <v>1.0</v>
      </c>
      <c r="G169" s="71">
        <v>1.0</v>
      </c>
      <c r="H169" s="71">
        <v>1.0</v>
      </c>
      <c r="I169" s="84"/>
      <c r="J169" s="70">
        <v>1.0</v>
      </c>
      <c r="K169" s="71">
        <v>1.0</v>
      </c>
      <c r="L169" s="71">
        <v>1.0</v>
      </c>
      <c r="M169" s="84"/>
      <c r="N169" s="70">
        <v>1.0</v>
      </c>
      <c r="O169" s="71">
        <v>1.0</v>
      </c>
      <c r="P169" s="71">
        <v>1.0</v>
      </c>
      <c r="Q169" s="84"/>
      <c r="R169" s="70">
        <v>1.0</v>
      </c>
      <c r="S169" s="71">
        <v>1.0</v>
      </c>
      <c r="T169" s="71">
        <v>1.0</v>
      </c>
      <c r="U169" s="84"/>
      <c r="V169" s="65">
        <f t="shared" ref="V169:X169" si="132">SUM(B169,F169,J169,N169,R169)</f>
        <v>5</v>
      </c>
      <c r="W169" s="65">
        <f t="shared" si="132"/>
        <v>5</v>
      </c>
      <c r="X169" s="65">
        <f t="shared" si="132"/>
        <v>5</v>
      </c>
    </row>
    <row r="170">
      <c r="A170" s="87" t="s">
        <v>952</v>
      </c>
      <c r="B170" s="72">
        <v>1.0</v>
      </c>
      <c r="C170" s="73">
        <v>1.0</v>
      </c>
      <c r="D170" s="73">
        <v>1.0</v>
      </c>
      <c r="E170" s="88"/>
      <c r="F170" s="72">
        <v>1.0</v>
      </c>
      <c r="G170" s="73">
        <v>1.0</v>
      </c>
      <c r="H170" s="73">
        <v>1.0</v>
      </c>
      <c r="I170" s="88"/>
      <c r="J170" s="72">
        <v>1.0</v>
      </c>
      <c r="K170" s="73">
        <v>1.0</v>
      </c>
      <c r="L170" s="73">
        <v>1.0</v>
      </c>
      <c r="M170" s="88"/>
      <c r="N170" s="72">
        <v>1.0</v>
      </c>
      <c r="O170" s="73">
        <v>1.0</v>
      </c>
      <c r="P170" s="73">
        <v>1.0</v>
      </c>
      <c r="Q170" s="88"/>
      <c r="R170" s="72">
        <v>1.0</v>
      </c>
      <c r="S170" s="73">
        <v>1.0</v>
      </c>
      <c r="T170" s="73">
        <v>1.0</v>
      </c>
      <c r="U170" s="88"/>
      <c r="V170" s="65">
        <f t="shared" ref="V170:X170" si="133">SUM(B170,F170,J170,N170,R170)</f>
        <v>5</v>
      </c>
      <c r="W170" s="65">
        <f t="shared" si="133"/>
        <v>5</v>
      </c>
      <c r="X170" s="65">
        <f t="shared" si="133"/>
        <v>5</v>
      </c>
    </row>
    <row r="171">
      <c r="A171" s="75" t="s">
        <v>603</v>
      </c>
      <c r="B171" s="52" t="s">
        <v>935</v>
      </c>
      <c r="F171" s="53" t="s">
        <v>936</v>
      </c>
      <c r="J171" s="54" t="s">
        <v>937</v>
      </c>
      <c r="N171" s="55" t="s">
        <v>938</v>
      </c>
      <c r="R171" s="56" t="s">
        <v>939</v>
      </c>
    </row>
    <row r="172">
      <c r="B172" s="76" t="s">
        <v>195</v>
      </c>
      <c r="E172" s="58"/>
      <c r="F172" s="92" t="s">
        <v>969</v>
      </c>
      <c r="I172" s="58"/>
      <c r="J172" s="76" t="s">
        <v>18</v>
      </c>
      <c r="M172" s="58"/>
      <c r="N172" s="76" t="s">
        <v>329</v>
      </c>
      <c r="Q172" s="58"/>
      <c r="R172" s="76" t="s">
        <v>970</v>
      </c>
      <c r="U172" s="58"/>
    </row>
    <row r="173">
      <c r="B173" s="80" t="s">
        <v>943</v>
      </c>
      <c r="C173" s="81" t="s">
        <v>944</v>
      </c>
      <c r="D173" s="81" t="s">
        <v>945</v>
      </c>
      <c r="E173" s="82"/>
      <c r="F173" s="80" t="s">
        <v>943</v>
      </c>
      <c r="G173" s="81" t="s">
        <v>944</v>
      </c>
      <c r="H173" s="81" t="s">
        <v>945</v>
      </c>
      <c r="I173" s="82"/>
      <c r="J173" s="80" t="s">
        <v>943</v>
      </c>
      <c r="K173" s="81" t="s">
        <v>944</v>
      </c>
      <c r="L173" s="81" t="s">
        <v>945</v>
      </c>
      <c r="M173" s="82"/>
      <c r="N173" s="80" t="s">
        <v>943</v>
      </c>
      <c r="O173" s="81" t="s">
        <v>944</v>
      </c>
      <c r="P173" s="81" t="s">
        <v>945</v>
      </c>
      <c r="Q173" s="82"/>
      <c r="R173" s="80" t="s">
        <v>943</v>
      </c>
      <c r="S173" s="81" t="s">
        <v>944</v>
      </c>
      <c r="T173" s="81" t="s">
        <v>945</v>
      </c>
      <c r="U173" s="82"/>
    </row>
    <row r="174">
      <c r="A174" s="8" t="s">
        <v>946</v>
      </c>
      <c r="B174" s="70">
        <v>1.0</v>
      </c>
      <c r="C174" s="71">
        <v>1.0</v>
      </c>
      <c r="D174" s="71">
        <v>1.0</v>
      </c>
      <c r="E174" s="84"/>
      <c r="F174" s="70">
        <v>1.0</v>
      </c>
      <c r="G174" s="71">
        <v>1.0</v>
      </c>
      <c r="H174" s="71">
        <v>1.0</v>
      </c>
      <c r="I174" s="84"/>
      <c r="J174" s="70">
        <v>0.0</v>
      </c>
      <c r="K174" s="71">
        <v>1.0</v>
      </c>
      <c r="L174" s="71">
        <v>1.0</v>
      </c>
      <c r="M174" s="84"/>
      <c r="N174" s="70">
        <v>0.0</v>
      </c>
      <c r="O174" s="71">
        <v>0.0</v>
      </c>
      <c r="P174" s="71">
        <v>0.0</v>
      </c>
      <c r="Q174" s="84"/>
      <c r="R174" s="70">
        <v>1.0</v>
      </c>
      <c r="S174" s="71">
        <v>1.0</v>
      </c>
      <c r="T174" s="71">
        <v>1.0</v>
      </c>
      <c r="U174" s="84"/>
      <c r="V174" s="65">
        <f t="shared" ref="V174:X174" si="134">SUM(B174,F174,J174,N174,R174)</f>
        <v>3</v>
      </c>
      <c r="W174" s="65">
        <f t="shared" si="134"/>
        <v>4</v>
      </c>
      <c r="X174" s="65">
        <f t="shared" si="134"/>
        <v>4</v>
      </c>
    </row>
    <row r="175">
      <c r="A175" s="87" t="s">
        <v>947</v>
      </c>
      <c r="B175" s="70">
        <v>1.0</v>
      </c>
      <c r="C175" s="71">
        <v>1.0</v>
      </c>
      <c r="D175" s="71">
        <v>1.0</v>
      </c>
      <c r="E175" s="84"/>
      <c r="F175" s="70">
        <v>1.0</v>
      </c>
      <c r="G175" s="71">
        <v>1.0</v>
      </c>
      <c r="H175" s="71">
        <v>1.0</v>
      </c>
      <c r="I175" s="84"/>
      <c r="J175" s="70">
        <v>0.0</v>
      </c>
      <c r="K175" s="71">
        <v>1.0</v>
      </c>
      <c r="L175" s="71">
        <v>1.0</v>
      </c>
      <c r="M175" s="84"/>
      <c r="N175" s="70">
        <v>1.0</v>
      </c>
      <c r="O175" s="71">
        <v>1.0</v>
      </c>
      <c r="P175" s="71">
        <v>1.0</v>
      </c>
      <c r="Q175" s="84"/>
      <c r="R175" s="70">
        <v>1.0</v>
      </c>
      <c r="S175" s="71">
        <v>1.0</v>
      </c>
      <c r="T175" s="71">
        <v>1.0</v>
      </c>
      <c r="U175" s="84"/>
      <c r="V175" s="65">
        <f t="shared" ref="V175:X175" si="135">SUM(B175,F175,J175,N175,R175)</f>
        <v>4</v>
      </c>
      <c r="W175" s="65">
        <f t="shared" si="135"/>
        <v>5</v>
      </c>
      <c r="X175" s="65">
        <f t="shared" si="135"/>
        <v>5</v>
      </c>
    </row>
    <row r="176">
      <c r="A176" s="87" t="s">
        <v>948</v>
      </c>
      <c r="B176" s="70">
        <v>1.0</v>
      </c>
      <c r="C176" s="71">
        <v>1.0</v>
      </c>
      <c r="D176" s="71">
        <v>1.0</v>
      </c>
      <c r="E176" s="84"/>
      <c r="F176" s="70">
        <v>1.0</v>
      </c>
      <c r="G176" s="71">
        <v>1.0</v>
      </c>
      <c r="H176" s="71">
        <v>1.0</v>
      </c>
      <c r="I176" s="84"/>
      <c r="J176" s="70">
        <v>0.0</v>
      </c>
      <c r="K176" s="71">
        <v>1.0</v>
      </c>
      <c r="L176" s="71">
        <v>1.0</v>
      </c>
      <c r="M176" s="84"/>
      <c r="N176" s="70">
        <v>0.0</v>
      </c>
      <c r="O176" s="71">
        <v>0.0</v>
      </c>
      <c r="P176" s="71">
        <v>0.0</v>
      </c>
      <c r="Q176" s="84"/>
      <c r="R176" s="70">
        <v>1.0</v>
      </c>
      <c r="S176" s="71">
        <v>1.0</v>
      </c>
      <c r="T176" s="71">
        <v>1.0</v>
      </c>
      <c r="U176" s="84"/>
      <c r="V176" s="65">
        <f t="shared" ref="V176:X176" si="136">SUM(B176,F176,J176,N176,R176)</f>
        <v>3</v>
      </c>
      <c r="W176" s="65">
        <f t="shared" si="136"/>
        <v>4</v>
      </c>
      <c r="X176" s="65">
        <f t="shared" si="136"/>
        <v>4</v>
      </c>
    </row>
    <row r="177">
      <c r="A177" s="87" t="s">
        <v>949</v>
      </c>
      <c r="B177" s="70">
        <v>1.0</v>
      </c>
      <c r="C177" s="71">
        <v>1.0</v>
      </c>
      <c r="D177" s="71">
        <v>1.0</v>
      </c>
      <c r="E177" s="84"/>
      <c r="F177" s="70">
        <v>1.0</v>
      </c>
      <c r="G177" s="71">
        <v>1.0</v>
      </c>
      <c r="H177" s="71">
        <v>1.0</v>
      </c>
      <c r="I177" s="84"/>
      <c r="J177" s="70">
        <v>0.0</v>
      </c>
      <c r="K177" s="71">
        <v>1.0</v>
      </c>
      <c r="L177" s="71">
        <v>1.0</v>
      </c>
      <c r="M177" s="84"/>
      <c r="N177" s="70">
        <v>0.0</v>
      </c>
      <c r="O177" s="71">
        <v>0.0</v>
      </c>
      <c r="P177" s="71">
        <v>0.0</v>
      </c>
      <c r="Q177" s="84"/>
      <c r="R177" s="70">
        <v>1.0</v>
      </c>
      <c r="S177" s="71">
        <v>1.0</v>
      </c>
      <c r="T177" s="71">
        <v>1.0</v>
      </c>
      <c r="U177" s="84"/>
      <c r="V177" s="65">
        <f t="shared" ref="V177:X177" si="137">SUM(B177,F177,J177,N177,R177)</f>
        <v>3</v>
      </c>
      <c r="W177" s="65">
        <f t="shared" si="137"/>
        <v>4</v>
      </c>
      <c r="X177" s="65">
        <f t="shared" si="137"/>
        <v>4</v>
      </c>
    </row>
    <row r="178">
      <c r="A178" s="87" t="s">
        <v>950</v>
      </c>
      <c r="B178" s="70">
        <v>1.0</v>
      </c>
      <c r="C178" s="71">
        <v>1.0</v>
      </c>
      <c r="D178" s="71">
        <v>1.0</v>
      </c>
      <c r="E178" s="84"/>
      <c r="F178" s="70">
        <v>1.0</v>
      </c>
      <c r="G178" s="71">
        <v>1.0</v>
      </c>
      <c r="H178" s="71">
        <v>1.0</v>
      </c>
      <c r="I178" s="84"/>
      <c r="J178" s="70">
        <v>0.0</v>
      </c>
      <c r="K178" s="71">
        <v>1.0</v>
      </c>
      <c r="L178" s="71">
        <v>1.0</v>
      </c>
      <c r="M178" s="84"/>
      <c r="N178" s="70">
        <v>0.0</v>
      </c>
      <c r="O178" s="71">
        <v>0.0</v>
      </c>
      <c r="P178" s="71">
        <v>0.0</v>
      </c>
      <c r="Q178" s="84"/>
      <c r="R178" s="70">
        <v>1.0</v>
      </c>
      <c r="S178" s="71">
        <v>1.0</v>
      </c>
      <c r="T178" s="71">
        <v>1.0</v>
      </c>
      <c r="U178" s="84"/>
      <c r="V178" s="65">
        <f t="shared" ref="V178:X178" si="138">SUM(B178,F178,J178,N178,R178)</f>
        <v>3</v>
      </c>
      <c r="W178" s="65">
        <f t="shared" si="138"/>
        <v>4</v>
      </c>
      <c r="X178" s="65">
        <f t="shared" si="138"/>
        <v>4</v>
      </c>
    </row>
    <row r="179">
      <c r="A179" s="87" t="s">
        <v>951</v>
      </c>
      <c r="B179" s="70">
        <v>1.0</v>
      </c>
      <c r="C179" s="71">
        <v>1.0</v>
      </c>
      <c r="D179" s="71">
        <v>1.0</v>
      </c>
      <c r="E179" s="84"/>
      <c r="F179" s="70">
        <v>1.0</v>
      </c>
      <c r="G179" s="71">
        <v>1.0</v>
      </c>
      <c r="H179" s="71">
        <v>1.0</v>
      </c>
      <c r="I179" s="84"/>
      <c r="J179" s="70">
        <v>0.0</v>
      </c>
      <c r="K179" s="71">
        <v>1.0</v>
      </c>
      <c r="L179" s="71">
        <v>1.0</v>
      </c>
      <c r="M179" s="84"/>
      <c r="N179" s="70">
        <v>0.0</v>
      </c>
      <c r="O179" s="71">
        <v>0.0</v>
      </c>
      <c r="P179" s="71">
        <v>0.0</v>
      </c>
      <c r="Q179" s="84"/>
      <c r="R179" s="70">
        <v>1.0</v>
      </c>
      <c r="S179" s="71">
        <v>1.0</v>
      </c>
      <c r="T179" s="71">
        <v>1.0</v>
      </c>
      <c r="U179" s="84"/>
      <c r="V179" s="65">
        <f t="shared" ref="V179:X179" si="139">SUM(B179,F179,J179,N179,R179)</f>
        <v>3</v>
      </c>
      <c r="W179" s="65">
        <f t="shared" si="139"/>
        <v>4</v>
      </c>
      <c r="X179" s="65">
        <f t="shared" si="139"/>
        <v>4</v>
      </c>
    </row>
    <row r="180">
      <c r="A180" s="87" t="s">
        <v>952</v>
      </c>
      <c r="B180" s="72">
        <v>1.0</v>
      </c>
      <c r="C180" s="73">
        <v>1.0</v>
      </c>
      <c r="D180" s="73">
        <v>1.0</v>
      </c>
      <c r="E180" s="88"/>
      <c r="F180" s="72">
        <v>1.0</v>
      </c>
      <c r="G180" s="73">
        <v>1.0</v>
      </c>
      <c r="H180" s="73">
        <v>1.0</v>
      </c>
      <c r="I180" s="88"/>
      <c r="J180" s="72">
        <v>0.0</v>
      </c>
      <c r="K180" s="73">
        <v>1.0</v>
      </c>
      <c r="L180" s="73">
        <v>1.0</v>
      </c>
      <c r="M180" s="88"/>
      <c r="N180" s="72">
        <v>0.0</v>
      </c>
      <c r="O180" s="73">
        <v>0.0</v>
      </c>
      <c r="P180" s="73">
        <v>0.0</v>
      </c>
      <c r="Q180" s="88"/>
      <c r="R180" s="72">
        <v>1.0</v>
      </c>
      <c r="S180" s="73">
        <v>1.0</v>
      </c>
      <c r="T180" s="73">
        <v>1.0</v>
      </c>
      <c r="U180" s="88"/>
      <c r="V180" s="65">
        <f t="shared" ref="V180:X180" si="140">SUM(B180,F180,J180,N180,R180)</f>
        <v>3</v>
      </c>
      <c r="W180" s="65">
        <f t="shared" si="140"/>
        <v>4</v>
      </c>
      <c r="X180" s="65">
        <f t="shared" si="140"/>
        <v>4</v>
      </c>
    </row>
    <row r="181">
      <c r="A181" s="75" t="s">
        <v>614</v>
      </c>
      <c r="B181" s="52" t="s">
        <v>935</v>
      </c>
      <c r="F181" s="53" t="s">
        <v>936</v>
      </c>
      <c r="J181" s="54" t="s">
        <v>937</v>
      </c>
      <c r="N181" s="55" t="s">
        <v>938</v>
      </c>
      <c r="R181" s="56" t="s">
        <v>939</v>
      </c>
    </row>
    <row r="182">
      <c r="B182" s="76" t="s">
        <v>263</v>
      </c>
      <c r="E182" s="58"/>
      <c r="F182" s="57" t="s">
        <v>94</v>
      </c>
      <c r="I182" s="58"/>
      <c r="J182" s="76" t="s">
        <v>18</v>
      </c>
      <c r="M182" s="58"/>
      <c r="N182" s="76" t="s">
        <v>95</v>
      </c>
      <c r="Q182" s="58"/>
      <c r="R182" s="76" t="s">
        <v>971</v>
      </c>
      <c r="U182" s="58"/>
    </row>
    <row r="183">
      <c r="B183" s="80" t="s">
        <v>943</v>
      </c>
      <c r="C183" s="81" t="s">
        <v>944</v>
      </c>
      <c r="D183" s="81" t="s">
        <v>945</v>
      </c>
      <c r="E183" s="82"/>
      <c r="F183" s="80" t="s">
        <v>943</v>
      </c>
      <c r="G183" s="81" t="s">
        <v>944</v>
      </c>
      <c r="H183" s="81" t="s">
        <v>945</v>
      </c>
      <c r="I183" s="82"/>
      <c r="J183" s="80" t="s">
        <v>943</v>
      </c>
      <c r="K183" s="81" t="s">
        <v>944</v>
      </c>
      <c r="L183" s="81" t="s">
        <v>945</v>
      </c>
      <c r="M183" s="82"/>
      <c r="N183" s="80" t="s">
        <v>943</v>
      </c>
      <c r="O183" s="81" t="s">
        <v>944</v>
      </c>
      <c r="P183" s="81" t="s">
        <v>945</v>
      </c>
      <c r="Q183" s="82"/>
      <c r="R183" s="80" t="s">
        <v>943</v>
      </c>
      <c r="S183" s="81" t="s">
        <v>944</v>
      </c>
      <c r="T183" s="81" t="s">
        <v>945</v>
      </c>
      <c r="U183" s="82"/>
    </row>
    <row r="184">
      <c r="A184" s="8" t="s">
        <v>946</v>
      </c>
      <c r="B184" s="70">
        <v>1.0</v>
      </c>
      <c r="C184" s="71">
        <v>1.0</v>
      </c>
      <c r="D184" s="71">
        <v>1.0</v>
      </c>
      <c r="E184" s="84"/>
      <c r="F184" s="70">
        <v>1.0</v>
      </c>
      <c r="G184" s="71">
        <v>1.0</v>
      </c>
      <c r="H184" s="71">
        <v>1.0</v>
      </c>
      <c r="I184" s="84"/>
      <c r="J184" s="70">
        <v>1.0</v>
      </c>
      <c r="K184" s="71">
        <v>1.0</v>
      </c>
      <c r="L184" s="71">
        <v>1.0</v>
      </c>
      <c r="M184" s="84"/>
      <c r="N184" s="70">
        <v>1.0</v>
      </c>
      <c r="O184" s="71">
        <v>1.0</v>
      </c>
      <c r="P184" s="71">
        <v>1.0</v>
      </c>
      <c r="Q184" s="84"/>
      <c r="R184" s="70">
        <v>1.0</v>
      </c>
      <c r="S184" s="71">
        <v>1.0</v>
      </c>
      <c r="T184" s="71">
        <v>1.0</v>
      </c>
      <c r="U184" s="84"/>
      <c r="V184" s="65">
        <f t="shared" ref="V184:X184" si="141">SUM(B184,F184,J184,N184,R184)</f>
        <v>5</v>
      </c>
      <c r="W184" s="65">
        <f t="shared" si="141"/>
        <v>5</v>
      </c>
      <c r="X184" s="65">
        <f t="shared" si="141"/>
        <v>5</v>
      </c>
    </row>
    <row r="185">
      <c r="A185" s="87" t="s">
        <v>947</v>
      </c>
      <c r="B185" s="70">
        <v>1.0</v>
      </c>
      <c r="C185" s="71">
        <v>1.0</v>
      </c>
      <c r="D185" s="71">
        <v>1.0</v>
      </c>
      <c r="E185" s="84"/>
      <c r="F185" s="70">
        <v>1.0</v>
      </c>
      <c r="G185" s="71">
        <v>1.0</v>
      </c>
      <c r="H185" s="71">
        <v>1.0</v>
      </c>
      <c r="I185" s="84"/>
      <c r="J185" s="70">
        <v>1.0</v>
      </c>
      <c r="K185" s="71">
        <v>1.0</v>
      </c>
      <c r="L185" s="71">
        <v>1.0</v>
      </c>
      <c r="M185" s="84"/>
      <c r="N185" s="70">
        <v>1.0</v>
      </c>
      <c r="O185" s="71">
        <v>1.0</v>
      </c>
      <c r="P185" s="71">
        <v>1.0</v>
      </c>
      <c r="Q185" s="84"/>
      <c r="R185" s="70">
        <v>1.0</v>
      </c>
      <c r="S185" s="71">
        <v>1.0</v>
      </c>
      <c r="T185" s="71">
        <v>1.0</v>
      </c>
      <c r="U185" s="84"/>
      <c r="V185" s="65">
        <f t="shared" ref="V185:X185" si="142">SUM(B185,F185,J185,N185,R185)</f>
        <v>5</v>
      </c>
      <c r="W185" s="65">
        <f t="shared" si="142"/>
        <v>5</v>
      </c>
      <c r="X185" s="65">
        <f t="shared" si="142"/>
        <v>5</v>
      </c>
    </row>
    <row r="186">
      <c r="A186" s="87" t="s">
        <v>948</v>
      </c>
      <c r="B186" s="70">
        <v>1.0</v>
      </c>
      <c r="C186" s="71">
        <v>1.0</v>
      </c>
      <c r="D186" s="71">
        <v>1.0</v>
      </c>
      <c r="E186" s="84"/>
      <c r="F186" s="70">
        <v>1.0</v>
      </c>
      <c r="G186" s="71">
        <v>1.0</v>
      </c>
      <c r="H186" s="71">
        <v>1.0</v>
      </c>
      <c r="I186" s="84"/>
      <c r="J186" s="70">
        <v>1.0</v>
      </c>
      <c r="K186" s="71">
        <v>1.0</v>
      </c>
      <c r="L186" s="71">
        <v>1.0</v>
      </c>
      <c r="M186" s="84"/>
      <c r="N186" s="70">
        <v>1.0</v>
      </c>
      <c r="O186" s="71">
        <v>1.0</v>
      </c>
      <c r="P186" s="71">
        <v>1.0</v>
      </c>
      <c r="Q186" s="84"/>
      <c r="R186" s="70">
        <v>1.0</v>
      </c>
      <c r="S186" s="71">
        <v>1.0</v>
      </c>
      <c r="T186" s="71">
        <v>1.0</v>
      </c>
      <c r="U186" s="84"/>
      <c r="V186" s="65">
        <f t="shared" ref="V186:X186" si="143">SUM(B186,F186,J186,N186,R186)</f>
        <v>5</v>
      </c>
      <c r="W186" s="65">
        <f t="shared" si="143"/>
        <v>5</v>
      </c>
      <c r="X186" s="65">
        <f t="shared" si="143"/>
        <v>5</v>
      </c>
    </row>
    <row r="187">
      <c r="A187" s="87" t="s">
        <v>949</v>
      </c>
      <c r="B187" s="70">
        <v>1.0</v>
      </c>
      <c r="C187" s="71">
        <v>1.0</v>
      </c>
      <c r="D187" s="71">
        <v>1.0</v>
      </c>
      <c r="E187" s="84"/>
      <c r="F187" s="70">
        <v>1.0</v>
      </c>
      <c r="G187" s="71">
        <v>1.0</v>
      </c>
      <c r="H187" s="71">
        <v>1.0</v>
      </c>
      <c r="I187" s="84"/>
      <c r="J187" s="70">
        <v>1.0</v>
      </c>
      <c r="K187" s="71">
        <v>1.0</v>
      </c>
      <c r="L187" s="71">
        <v>1.0</v>
      </c>
      <c r="M187" s="84"/>
      <c r="N187" s="70">
        <v>1.0</v>
      </c>
      <c r="O187" s="71">
        <v>1.0</v>
      </c>
      <c r="P187" s="71">
        <v>1.0</v>
      </c>
      <c r="Q187" s="84"/>
      <c r="R187" s="70">
        <v>1.0</v>
      </c>
      <c r="S187" s="71">
        <v>1.0</v>
      </c>
      <c r="T187" s="71">
        <v>1.0</v>
      </c>
      <c r="U187" s="84"/>
      <c r="V187" s="65">
        <f t="shared" ref="V187:X187" si="144">SUM(B187,F187,J187,N187,R187)</f>
        <v>5</v>
      </c>
      <c r="W187" s="65">
        <f t="shared" si="144"/>
        <v>5</v>
      </c>
      <c r="X187" s="65">
        <f t="shared" si="144"/>
        <v>5</v>
      </c>
    </row>
    <row r="188">
      <c r="A188" s="87" t="s">
        <v>950</v>
      </c>
      <c r="B188" s="70">
        <v>1.0</v>
      </c>
      <c r="C188" s="71">
        <v>1.0</v>
      </c>
      <c r="D188" s="71">
        <v>1.0</v>
      </c>
      <c r="E188" s="84"/>
      <c r="F188" s="70">
        <v>1.0</v>
      </c>
      <c r="G188" s="71">
        <v>1.0</v>
      </c>
      <c r="H188" s="71">
        <v>1.0</v>
      </c>
      <c r="I188" s="84"/>
      <c r="J188" s="70">
        <v>1.0</v>
      </c>
      <c r="K188" s="71">
        <v>1.0</v>
      </c>
      <c r="L188" s="71">
        <v>1.0</v>
      </c>
      <c r="M188" s="84"/>
      <c r="N188" s="70">
        <v>1.0</v>
      </c>
      <c r="O188" s="71">
        <v>1.0</v>
      </c>
      <c r="P188" s="71">
        <v>1.0</v>
      </c>
      <c r="Q188" s="84"/>
      <c r="R188" s="70">
        <v>1.0</v>
      </c>
      <c r="S188" s="71">
        <v>1.0</v>
      </c>
      <c r="T188" s="71">
        <v>1.0</v>
      </c>
      <c r="U188" s="84"/>
      <c r="V188" s="65">
        <f t="shared" ref="V188:X188" si="145">SUM(B188,F188,J188,N188,R188)</f>
        <v>5</v>
      </c>
      <c r="W188" s="65">
        <f t="shared" si="145"/>
        <v>5</v>
      </c>
      <c r="X188" s="65">
        <f t="shared" si="145"/>
        <v>5</v>
      </c>
    </row>
    <row r="189">
      <c r="A189" s="87" t="s">
        <v>951</v>
      </c>
      <c r="B189" s="70">
        <v>1.0</v>
      </c>
      <c r="C189" s="71">
        <v>1.0</v>
      </c>
      <c r="D189" s="71">
        <v>1.0</v>
      </c>
      <c r="E189" s="84"/>
      <c r="F189" s="70">
        <v>1.0</v>
      </c>
      <c r="G189" s="71">
        <v>1.0</v>
      </c>
      <c r="H189" s="71">
        <v>1.0</v>
      </c>
      <c r="I189" s="84"/>
      <c r="J189" s="70">
        <v>1.0</v>
      </c>
      <c r="K189" s="71">
        <v>1.0</v>
      </c>
      <c r="L189" s="71">
        <v>1.0</v>
      </c>
      <c r="M189" s="84"/>
      <c r="N189" s="70">
        <v>1.0</v>
      </c>
      <c r="O189" s="71">
        <v>1.0</v>
      </c>
      <c r="P189" s="71">
        <v>1.0</v>
      </c>
      <c r="Q189" s="84"/>
      <c r="R189" s="70">
        <v>1.0</v>
      </c>
      <c r="S189" s="71">
        <v>1.0</v>
      </c>
      <c r="T189" s="71">
        <v>1.0</v>
      </c>
      <c r="U189" s="84"/>
      <c r="V189" s="65">
        <f t="shared" ref="V189:X189" si="146">SUM(B189,F189,J189,N189,R189)</f>
        <v>5</v>
      </c>
      <c r="W189" s="65">
        <f t="shared" si="146"/>
        <v>5</v>
      </c>
      <c r="X189" s="65">
        <f t="shared" si="146"/>
        <v>5</v>
      </c>
    </row>
    <row r="190">
      <c r="A190" s="87" t="s">
        <v>952</v>
      </c>
      <c r="B190" s="72">
        <v>1.0</v>
      </c>
      <c r="C190" s="73">
        <v>1.0</v>
      </c>
      <c r="D190" s="73">
        <v>1.0</v>
      </c>
      <c r="E190" s="88"/>
      <c r="F190" s="72">
        <v>1.0</v>
      </c>
      <c r="G190" s="73">
        <v>1.0</v>
      </c>
      <c r="H190" s="73">
        <v>1.0</v>
      </c>
      <c r="I190" s="88"/>
      <c r="J190" s="72">
        <v>1.0</v>
      </c>
      <c r="K190" s="73">
        <v>1.0</v>
      </c>
      <c r="L190" s="73">
        <v>1.0</v>
      </c>
      <c r="M190" s="88"/>
      <c r="N190" s="72">
        <v>1.0</v>
      </c>
      <c r="O190" s="73">
        <v>1.0</v>
      </c>
      <c r="P190" s="73">
        <v>1.0</v>
      </c>
      <c r="Q190" s="88"/>
      <c r="R190" s="72">
        <v>1.0</v>
      </c>
      <c r="S190" s="73">
        <v>1.0</v>
      </c>
      <c r="T190" s="73">
        <v>1.0</v>
      </c>
      <c r="U190" s="88"/>
      <c r="V190" s="65">
        <f t="shared" ref="V190:X190" si="147">SUM(B190,F190,J190,N190,R190)</f>
        <v>5</v>
      </c>
      <c r="W190" s="65">
        <f t="shared" si="147"/>
        <v>5</v>
      </c>
      <c r="X190" s="65">
        <f t="shared" si="147"/>
        <v>5</v>
      </c>
    </row>
    <row r="191">
      <c r="A191" s="75" t="s">
        <v>623</v>
      </c>
      <c r="B191" s="52" t="s">
        <v>935</v>
      </c>
      <c r="F191" s="53" t="s">
        <v>936</v>
      </c>
      <c r="J191" s="54" t="s">
        <v>937</v>
      </c>
      <c r="N191" s="55" t="s">
        <v>938</v>
      </c>
      <c r="R191" s="56" t="s">
        <v>939</v>
      </c>
    </row>
    <row r="192">
      <c r="B192" s="76" t="s">
        <v>69</v>
      </c>
      <c r="E192" s="58"/>
      <c r="F192" s="92" t="s">
        <v>70</v>
      </c>
      <c r="I192" s="58"/>
      <c r="J192" s="76" t="s">
        <v>972</v>
      </c>
      <c r="M192" s="58"/>
      <c r="N192" s="76" t="s">
        <v>72</v>
      </c>
      <c r="Q192" s="58"/>
      <c r="R192" s="76" t="s">
        <v>981</v>
      </c>
      <c r="U192" s="58"/>
    </row>
    <row r="193">
      <c r="B193" s="80" t="s">
        <v>943</v>
      </c>
      <c r="C193" s="81" t="s">
        <v>944</v>
      </c>
      <c r="D193" s="81" t="s">
        <v>945</v>
      </c>
      <c r="E193" s="82"/>
      <c r="F193" s="80" t="s">
        <v>943</v>
      </c>
      <c r="G193" s="81" t="s">
        <v>944</v>
      </c>
      <c r="H193" s="81" t="s">
        <v>945</v>
      </c>
      <c r="I193" s="82"/>
      <c r="J193" s="80" t="s">
        <v>943</v>
      </c>
      <c r="K193" s="81" t="s">
        <v>944</v>
      </c>
      <c r="L193" s="81" t="s">
        <v>945</v>
      </c>
      <c r="M193" s="82"/>
      <c r="N193" s="80" t="s">
        <v>943</v>
      </c>
      <c r="O193" s="81" t="s">
        <v>944</v>
      </c>
      <c r="P193" s="81" t="s">
        <v>945</v>
      </c>
      <c r="Q193" s="82"/>
      <c r="R193" s="80" t="s">
        <v>943</v>
      </c>
      <c r="S193" s="81" t="s">
        <v>944</v>
      </c>
      <c r="T193" s="81" t="s">
        <v>945</v>
      </c>
      <c r="U193" s="82"/>
    </row>
    <row r="194">
      <c r="A194" s="8" t="s">
        <v>946</v>
      </c>
      <c r="B194" s="70">
        <v>0.0</v>
      </c>
      <c r="C194" s="71">
        <v>0.0</v>
      </c>
      <c r="D194" s="71">
        <v>0.0</v>
      </c>
      <c r="E194" s="84"/>
      <c r="F194" s="70">
        <v>1.0</v>
      </c>
      <c r="G194" s="71">
        <v>1.0</v>
      </c>
      <c r="H194" s="71">
        <v>1.0</v>
      </c>
      <c r="I194" s="84"/>
      <c r="J194" s="70">
        <v>0.0</v>
      </c>
      <c r="K194" s="71">
        <v>1.0</v>
      </c>
      <c r="L194" s="71">
        <v>1.0</v>
      </c>
      <c r="M194" s="84"/>
      <c r="N194" s="70">
        <v>1.0</v>
      </c>
      <c r="O194" s="71">
        <v>1.0</v>
      </c>
      <c r="P194" s="71">
        <v>1.0</v>
      </c>
      <c r="Q194" s="84"/>
      <c r="R194" s="70">
        <v>1.0</v>
      </c>
      <c r="S194" s="71">
        <v>0.0</v>
      </c>
      <c r="T194" s="71">
        <v>1.0</v>
      </c>
      <c r="U194" s="84"/>
      <c r="V194" s="65">
        <f t="shared" ref="V194:X194" si="148">SUM(B194,F194,J194,N194,R194)</f>
        <v>3</v>
      </c>
      <c r="W194" s="65">
        <f t="shared" si="148"/>
        <v>3</v>
      </c>
      <c r="X194" s="65">
        <f t="shared" si="148"/>
        <v>4</v>
      </c>
    </row>
    <row r="195">
      <c r="A195" s="87" t="s">
        <v>947</v>
      </c>
      <c r="B195" s="70">
        <v>1.0</v>
      </c>
      <c r="C195" s="71">
        <v>1.0</v>
      </c>
      <c r="D195" s="71">
        <v>1.0</v>
      </c>
      <c r="E195" s="84"/>
      <c r="F195" s="70">
        <v>1.0</v>
      </c>
      <c r="G195" s="71">
        <v>1.0</v>
      </c>
      <c r="H195" s="71">
        <v>1.0</v>
      </c>
      <c r="I195" s="84"/>
      <c r="J195" s="70">
        <v>0.0</v>
      </c>
      <c r="K195" s="71">
        <v>1.0</v>
      </c>
      <c r="L195" s="71">
        <v>1.0</v>
      </c>
      <c r="M195" s="84"/>
      <c r="N195" s="70">
        <v>1.0</v>
      </c>
      <c r="O195" s="71">
        <v>1.0</v>
      </c>
      <c r="P195" s="71">
        <v>1.0</v>
      </c>
      <c r="Q195" s="84"/>
      <c r="R195" s="70">
        <v>1.0</v>
      </c>
      <c r="S195" s="71">
        <v>1.0</v>
      </c>
      <c r="T195" s="71">
        <v>1.0</v>
      </c>
      <c r="U195" s="84"/>
      <c r="V195" s="65">
        <f t="shared" ref="V195:X195" si="149">SUM(B195,F195,J195,N195,R195)</f>
        <v>4</v>
      </c>
      <c r="W195" s="65">
        <f t="shared" si="149"/>
        <v>5</v>
      </c>
      <c r="X195" s="65">
        <f t="shared" si="149"/>
        <v>5</v>
      </c>
    </row>
    <row r="196">
      <c r="A196" s="87" t="s">
        <v>948</v>
      </c>
      <c r="B196" s="70">
        <v>0.0</v>
      </c>
      <c r="C196" s="71">
        <v>0.0</v>
      </c>
      <c r="D196" s="71">
        <v>0.0</v>
      </c>
      <c r="E196" s="84"/>
      <c r="F196" s="70">
        <v>1.0</v>
      </c>
      <c r="G196" s="71">
        <v>1.0</v>
      </c>
      <c r="H196" s="71">
        <v>1.0</v>
      </c>
      <c r="I196" s="84"/>
      <c r="J196" s="70">
        <v>0.0</v>
      </c>
      <c r="K196" s="71">
        <v>1.0</v>
      </c>
      <c r="L196" s="71">
        <v>1.0</v>
      </c>
      <c r="M196" s="84"/>
      <c r="N196" s="70">
        <v>1.0</v>
      </c>
      <c r="O196" s="71">
        <v>1.0</v>
      </c>
      <c r="P196" s="71">
        <v>1.0</v>
      </c>
      <c r="Q196" s="84"/>
      <c r="R196" s="70">
        <v>1.0</v>
      </c>
      <c r="S196" s="71">
        <v>0.0</v>
      </c>
      <c r="T196" s="71">
        <v>1.0</v>
      </c>
      <c r="U196" s="84"/>
      <c r="V196" s="65">
        <f t="shared" ref="V196:X196" si="150">SUM(B196,F196,J196,N196,R196)</f>
        <v>3</v>
      </c>
      <c r="W196" s="65">
        <f t="shared" si="150"/>
        <v>3</v>
      </c>
      <c r="X196" s="65">
        <f t="shared" si="150"/>
        <v>4</v>
      </c>
    </row>
    <row r="197">
      <c r="A197" s="87" t="s">
        <v>949</v>
      </c>
      <c r="B197" s="70">
        <v>1.0</v>
      </c>
      <c r="C197" s="71">
        <v>1.0</v>
      </c>
      <c r="D197" s="71">
        <v>1.0</v>
      </c>
      <c r="E197" s="84"/>
      <c r="F197" s="70">
        <v>1.0</v>
      </c>
      <c r="G197" s="71">
        <v>1.0</v>
      </c>
      <c r="H197" s="71">
        <v>1.0</v>
      </c>
      <c r="I197" s="84"/>
      <c r="J197" s="70">
        <v>1.0</v>
      </c>
      <c r="K197" s="71">
        <v>1.0</v>
      </c>
      <c r="L197" s="71">
        <v>1.0</v>
      </c>
      <c r="M197" s="84"/>
      <c r="N197" s="70">
        <v>1.0</v>
      </c>
      <c r="O197" s="71">
        <v>1.0</v>
      </c>
      <c r="P197" s="71">
        <v>1.0</v>
      </c>
      <c r="Q197" s="84"/>
      <c r="R197" s="70">
        <v>1.0</v>
      </c>
      <c r="S197" s="71">
        <v>1.0</v>
      </c>
      <c r="T197" s="71">
        <v>1.0</v>
      </c>
      <c r="U197" s="84"/>
      <c r="V197" s="65">
        <f t="shared" ref="V197:X197" si="151">SUM(B197,F197,J197,N197,R197)</f>
        <v>5</v>
      </c>
      <c r="W197" s="65">
        <f t="shared" si="151"/>
        <v>5</v>
      </c>
      <c r="X197" s="65">
        <f t="shared" si="151"/>
        <v>5</v>
      </c>
    </row>
    <row r="198">
      <c r="A198" s="87" t="s">
        <v>950</v>
      </c>
      <c r="B198" s="70">
        <v>1.0</v>
      </c>
      <c r="C198" s="71">
        <v>1.0</v>
      </c>
      <c r="D198" s="71">
        <v>1.0</v>
      </c>
      <c r="E198" s="84"/>
      <c r="F198" s="70">
        <v>1.0</v>
      </c>
      <c r="G198" s="71">
        <v>0.0</v>
      </c>
      <c r="H198" s="71">
        <v>0.0</v>
      </c>
      <c r="I198" s="84"/>
      <c r="J198" s="70">
        <v>1.0</v>
      </c>
      <c r="K198" s="71">
        <v>1.0</v>
      </c>
      <c r="L198" s="71">
        <v>1.0</v>
      </c>
      <c r="M198" s="84"/>
      <c r="N198" s="70">
        <v>1.0</v>
      </c>
      <c r="O198" s="71">
        <v>1.0</v>
      </c>
      <c r="P198" s="71">
        <v>1.0</v>
      </c>
      <c r="Q198" s="84"/>
      <c r="R198" s="70">
        <v>1.0</v>
      </c>
      <c r="S198" s="71">
        <v>1.0</v>
      </c>
      <c r="T198" s="71">
        <v>1.0</v>
      </c>
      <c r="U198" s="84"/>
      <c r="V198" s="65">
        <f t="shared" ref="V198:X198" si="152">SUM(B198,F198,J198,N198,R198)</f>
        <v>5</v>
      </c>
      <c r="W198" s="65">
        <f t="shared" si="152"/>
        <v>4</v>
      </c>
      <c r="X198" s="65">
        <f t="shared" si="152"/>
        <v>4</v>
      </c>
    </row>
    <row r="199">
      <c r="A199" s="87" t="s">
        <v>951</v>
      </c>
      <c r="B199" s="70">
        <v>1.0</v>
      </c>
      <c r="C199" s="71">
        <v>1.0</v>
      </c>
      <c r="D199" s="71">
        <v>1.0</v>
      </c>
      <c r="E199" s="84"/>
      <c r="F199" s="70">
        <v>1.0</v>
      </c>
      <c r="G199" s="71">
        <v>1.0</v>
      </c>
      <c r="H199" s="71">
        <v>1.0</v>
      </c>
      <c r="I199" s="84"/>
      <c r="J199" s="70">
        <v>0.0</v>
      </c>
      <c r="K199" s="71">
        <v>1.0</v>
      </c>
      <c r="L199" s="71">
        <v>1.0</v>
      </c>
      <c r="M199" s="84"/>
      <c r="N199" s="70">
        <v>1.0</v>
      </c>
      <c r="O199" s="71">
        <v>1.0</v>
      </c>
      <c r="P199" s="71">
        <v>1.0</v>
      </c>
      <c r="Q199" s="84"/>
      <c r="R199" s="70">
        <v>1.0</v>
      </c>
      <c r="S199" s="71">
        <v>1.0</v>
      </c>
      <c r="T199" s="71">
        <v>1.0</v>
      </c>
      <c r="U199" s="84"/>
      <c r="V199" s="65">
        <f t="shared" ref="V199:X199" si="153">SUM(B199,F199,J199,N199,R199)</f>
        <v>4</v>
      </c>
      <c r="W199" s="65">
        <f t="shared" si="153"/>
        <v>5</v>
      </c>
      <c r="X199" s="65">
        <f t="shared" si="153"/>
        <v>5</v>
      </c>
    </row>
    <row r="200">
      <c r="A200" s="87" t="s">
        <v>952</v>
      </c>
      <c r="B200" s="72">
        <v>1.0</v>
      </c>
      <c r="C200" s="73">
        <v>1.0</v>
      </c>
      <c r="D200" s="73">
        <v>1.0</v>
      </c>
      <c r="E200" s="88"/>
      <c r="F200" s="72">
        <v>1.0</v>
      </c>
      <c r="G200" s="73">
        <v>1.0</v>
      </c>
      <c r="H200" s="73">
        <v>1.0</v>
      </c>
      <c r="I200" s="88"/>
      <c r="J200" s="72">
        <v>0.0</v>
      </c>
      <c r="K200" s="73">
        <v>1.0</v>
      </c>
      <c r="L200" s="73">
        <v>1.0</v>
      </c>
      <c r="M200" s="88"/>
      <c r="N200" s="72">
        <v>1.0</v>
      </c>
      <c r="O200" s="73">
        <v>1.0</v>
      </c>
      <c r="P200" s="73">
        <v>1.0</v>
      </c>
      <c r="Q200" s="88"/>
      <c r="R200" s="72">
        <v>1.0</v>
      </c>
      <c r="S200" s="73">
        <v>1.0</v>
      </c>
      <c r="T200" s="73">
        <v>1.0</v>
      </c>
      <c r="U200" s="88"/>
      <c r="V200" s="65">
        <f t="shared" ref="V200:X200" si="154">SUM(B200,F200,J200,N200,R200)</f>
        <v>4</v>
      </c>
      <c r="W200" s="65">
        <f t="shared" si="154"/>
        <v>5</v>
      </c>
      <c r="X200" s="65">
        <f t="shared" si="154"/>
        <v>5</v>
      </c>
    </row>
  </sheetData>
  <mergeCells count="222">
    <mergeCell ref="F172:I172"/>
    <mergeCell ref="J172:M172"/>
    <mergeCell ref="A181:A183"/>
    <mergeCell ref="F181:I181"/>
    <mergeCell ref="J181:M181"/>
    <mergeCell ref="N181:Q181"/>
    <mergeCell ref="R181:U181"/>
    <mergeCell ref="F192:I192"/>
    <mergeCell ref="J192:M192"/>
    <mergeCell ref="N192:Q192"/>
    <mergeCell ref="R192:U192"/>
    <mergeCell ref="B181:E181"/>
    <mergeCell ref="B182:E182"/>
    <mergeCell ref="A191:A193"/>
    <mergeCell ref="F191:I191"/>
    <mergeCell ref="J191:M191"/>
    <mergeCell ref="N191:Q191"/>
    <mergeCell ref="R191:U191"/>
    <mergeCell ref="A151:A153"/>
    <mergeCell ref="B151:E151"/>
    <mergeCell ref="F151:I151"/>
    <mergeCell ref="J151:M151"/>
    <mergeCell ref="N151:Q151"/>
    <mergeCell ref="R151:U151"/>
    <mergeCell ref="B152:E152"/>
    <mergeCell ref="F152:I152"/>
    <mergeCell ref="J152:M152"/>
    <mergeCell ref="A161:A163"/>
    <mergeCell ref="F161:I161"/>
    <mergeCell ref="J161:M161"/>
    <mergeCell ref="N161:Q161"/>
    <mergeCell ref="R161:U161"/>
    <mergeCell ref="N172:Q172"/>
    <mergeCell ref="R172:U172"/>
    <mergeCell ref="A171:A173"/>
    <mergeCell ref="B171:E171"/>
    <mergeCell ref="F171:I171"/>
    <mergeCell ref="J171:M171"/>
    <mergeCell ref="N171:Q171"/>
    <mergeCell ref="R171:U171"/>
    <mergeCell ref="B172:E172"/>
    <mergeCell ref="F182:I182"/>
    <mergeCell ref="J182:M182"/>
    <mergeCell ref="N182:Q182"/>
    <mergeCell ref="R182:U182"/>
    <mergeCell ref="B191:E191"/>
    <mergeCell ref="B192:E192"/>
    <mergeCell ref="N2:Q2"/>
    <mergeCell ref="R2:U2"/>
    <mergeCell ref="Z2:AC2"/>
    <mergeCell ref="A1:A3"/>
    <mergeCell ref="B1:E1"/>
    <mergeCell ref="F1:I1"/>
    <mergeCell ref="J1:M1"/>
    <mergeCell ref="N1:Q1"/>
    <mergeCell ref="R1:U1"/>
    <mergeCell ref="B2:E2"/>
    <mergeCell ref="F12:I12"/>
    <mergeCell ref="J12:M12"/>
    <mergeCell ref="N12:Q12"/>
    <mergeCell ref="R12:U12"/>
    <mergeCell ref="Z12:AC12"/>
    <mergeCell ref="B21:E21"/>
    <mergeCell ref="B22:E22"/>
    <mergeCell ref="F22:I22"/>
    <mergeCell ref="J22:M22"/>
    <mergeCell ref="N22:Q22"/>
    <mergeCell ref="R22:U22"/>
    <mergeCell ref="F2:I2"/>
    <mergeCell ref="J2:M2"/>
    <mergeCell ref="A11:A13"/>
    <mergeCell ref="F11:I11"/>
    <mergeCell ref="J11:M11"/>
    <mergeCell ref="N11:Q11"/>
    <mergeCell ref="R11:U11"/>
    <mergeCell ref="B11:E11"/>
    <mergeCell ref="B12:E12"/>
    <mergeCell ref="A21:A23"/>
    <mergeCell ref="F21:I21"/>
    <mergeCell ref="J21:M21"/>
    <mergeCell ref="N21:Q21"/>
    <mergeCell ref="R21:U21"/>
    <mergeCell ref="N32:Q32"/>
    <mergeCell ref="R32:U32"/>
    <mergeCell ref="A31:A33"/>
    <mergeCell ref="B31:E31"/>
    <mergeCell ref="F31:I31"/>
    <mergeCell ref="J31:M31"/>
    <mergeCell ref="N31:Q31"/>
    <mergeCell ref="R31:U31"/>
    <mergeCell ref="B32:E32"/>
    <mergeCell ref="F42:I42"/>
    <mergeCell ref="J42:M42"/>
    <mergeCell ref="N42:Q42"/>
    <mergeCell ref="R42:U42"/>
    <mergeCell ref="B51:E51"/>
    <mergeCell ref="B52:E52"/>
    <mergeCell ref="F32:I32"/>
    <mergeCell ref="J32:M32"/>
    <mergeCell ref="A41:A43"/>
    <mergeCell ref="F41:I41"/>
    <mergeCell ref="J41:M41"/>
    <mergeCell ref="N41:Q41"/>
    <mergeCell ref="R41:U41"/>
    <mergeCell ref="N52:Q52"/>
    <mergeCell ref="R52:U52"/>
    <mergeCell ref="B41:E41"/>
    <mergeCell ref="B42:E42"/>
    <mergeCell ref="A51:A53"/>
    <mergeCell ref="F51:I51"/>
    <mergeCell ref="J51:M51"/>
    <mergeCell ref="N51:Q51"/>
    <mergeCell ref="R51:U51"/>
    <mergeCell ref="F62:I62"/>
    <mergeCell ref="J62:M62"/>
    <mergeCell ref="N62:Q62"/>
    <mergeCell ref="R62:U62"/>
    <mergeCell ref="B71:E71"/>
    <mergeCell ref="B72:E72"/>
    <mergeCell ref="F72:I72"/>
    <mergeCell ref="J72:M72"/>
    <mergeCell ref="F52:I52"/>
    <mergeCell ref="J52:M52"/>
    <mergeCell ref="A61:A63"/>
    <mergeCell ref="F61:I61"/>
    <mergeCell ref="J61:M61"/>
    <mergeCell ref="N61:Q61"/>
    <mergeCell ref="R61:U61"/>
    <mergeCell ref="N72:Q72"/>
    <mergeCell ref="R72:U72"/>
    <mergeCell ref="B61:E61"/>
    <mergeCell ref="B62:E62"/>
    <mergeCell ref="A71:A73"/>
    <mergeCell ref="F71:I71"/>
    <mergeCell ref="J71:M71"/>
    <mergeCell ref="N71:Q71"/>
    <mergeCell ref="R71:U71"/>
    <mergeCell ref="N82:Q82"/>
    <mergeCell ref="R82:U82"/>
    <mergeCell ref="B91:E91"/>
    <mergeCell ref="B92:E92"/>
    <mergeCell ref="F92:I92"/>
    <mergeCell ref="J92:M92"/>
    <mergeCell ref="N92:Q92"/>
    <mergeCell ref="R92:U92"/>
    <mergeCell ref="A81:A83"/>
    <mergeCell ref="B81:E81"/>
    <mergeCell ref="F81:I81"/>
    <mergeCell ref="J81:M81"/>
    <mergeCell ref="N81:Q81"/>
    <mergeCell ref="R81:U81"/>
    <mergeCell ref="B82:E82"/>
    <mergeCell ref="F82:I82"/>
    <mergeCell ref="J82:M82"/>
    <mergeCell ref="A91:A93"/>
    <mergeCell ref="F91:I91"/>
    <mergeCell ref="J91:M91"/>
    <mergeCell ref="N91:Q91"/>
    <mergeCell ref="R91:U91"/>
    <mergeCell ref="N102:Q102"/>
    <mergeCell ref="R102:U102"/>
    <mergeCell ref="A101:A103"/>
    <mergeCell ref="B101:E101"/>
    <mergeCell ref="F101:I101"/>
    <mergeCell ref="J101:M101"/>
    <mergeCell ref="N101:Q101"/>
    <mergeCell ref="R101:U101"/>
    <mergeCell ref="B102:E102"/>
    <mergeCell ref="F112:I112"/>
    <mergeCell ref="J112:M112"/>
    <mergeCell ref="N112:Q112"/>
    <mergeCell ref="R112:U112"/>
    <mergeCell ref="B121:E121"/>
    <mergeCell ref="B122:E122"/>
    <mergeCell ref="F102:I102"/>
    <mergeCell ref="J102:M102"/>
    <mergeCell ref="A111:A113"/>
    <mergeCell ref="F111:I111"/>
    <mergeCell ref="J111:M111"/>
    <mergeCell ref="N111:Q111"/>
    <mergeCell ref="R111:U111"/>
    <mergeCell ref="N122:Q122"/>
    <mergeCell ref="R122:U122"/>
    <mergeCell ref="B111:E111"/>
    <mergeCell ref="B112:E112"/>
    <mergeCell ref="A121:A123"/>
    <mergeCell ref="F121:I121"/>
    <mergeCell ref="J121:M121"/>
    <mergeCell ref="N121:Q121"/>
    <mergeCell ref="R121:U121"/>
    <mergeCell ref="F132:I132"/>
    <mergeCell ref="J132:M132"/>
    <mergeCell ref="N132:Q132"/>
    <mergeCell ref="R132:U132"/>
    <mergeCell ref="B141:E141"/>
    <mergeCell ref="B142:E142"/>
    <mergeCell ref="F142:I142"/>
    <mergeCell ref="J142:M142"/>
    <mergeCell ref="F122:I122"/>
    <mergeCell ref="J122:M122"/>
    <mergeCell ref="A131:A133"/>
    <mergeCell ref="F131:I131"/>
    <mergeCell ref="J131:M131"/>
    <mergeCell ref="N131:Q131"/>
    <mergeCell ref="R131:U131"/>
    <mergeCell ref="N142:Q142"/>
    <mergeCell ref="R142:U142"/>
    <mergeCell ref="B131:E131"/>
    <mergeCell ref="B132:E132"/>
    <mergeCell ref="A141:A143"/>
    <mergeCell ref="F141:I141"/>
    <mergeCell ref="J141:M141"/>
    <mergeCell ref="N141:Q141"/>
    <mergeCell ref="R141:U141"/>
    <mergeCell ref="N152:Q152"/>
    <mergeCell ref="R152:U152"/>
    <mergeCell ref="B161:E161"/>
    <mergeCell ref="B162:E162"/>
    <mergeCell ref="F162:I162"/>
    <mergeCell ref="J162:M162"/>
    <mergeCell ref="N162:Q162"/>
    <mergeCell ref="R162:U16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13"/>
  </cols>
  <sheetData>
    <row r="1">
      <c r="A1" s="95">
        <f>'review 1 - annotator 1 - eval'!B4</f>
        <v>1</v>
      </c>
      <c r="B1" s="96">
        <f>'review 1 - annotator 2 - eval'!B4</f>
        <v>1</v>
      </c>
    </row>
    <row r="2">
      <c r="A2" s="95">
        <f>'review 1 - annotator 1 - eval'!B5</f>
        <v>1</v>
      </c>
      <c r="B2" s="96">
        <f>'review 1 - annotator 2 - eval'!B5</f>
        <v>1</v>
      </c>
    </row>
    <row r="3">
      <c r="A3" s="95">
        <f>'review 1 - annotator 1 - eval'!B6</f>
        <v>1</v>
      </c>
      <c r="B3" s="96">
        <f>'review 1 - annotator 2 - eval'!B6</f>
        <v>1</v>
      </c>
    </row>
    <row r="4">
      <c r="A4" s="95">
        <f>'review 1 - annotator 1 - eval'!B7</f>
        <v>1</v>
      </c>
      <c r="B4" s="96">
        <f>'review 1 - annotator 2 - eval'!B7</f>
        <v>1</v>
      </c>
      <c r="D4" s="15" t="s">
        <v>982</v>
      </c>
    </row>
    <row r="5">
      <c r="A5" s="95">
        <f>'review 1 - annotator 1 - eval'!B8</f>
        <v>1</v>
      </c>
      <c r="B5" s="96">
        <f>'review 1 - annotator 2 - eval'!B8</f>
        <v>1</v>
      </c>
      <c r="D5" s="65">
        <f>(( (COUNTIFS(A:A,1,B:B,1)+COUNTIFS(A:A,0,B:B,0))/COUNTA(A:A) - ((COUNTIF(A:A,1)*COUNTIF(B:B,1)+COUNTIF(A:A,0)*COUNTIF(B:B,0))/(COUNTA(A:A)^2)) ) / (1-((COUNTIF(A:A,1)*COUNTIF(B:B,1)+COUNTIF(A:A,0)*COUNTIF(B:B,0))/(COUNTA(A:A)^2))))</f>
        <v>0.6463022508</v>
      </c>
    </row>
    <row r="6">
      <c r="A6" s="95">
        <f>'review 1 - annotator 1 - eval'!B9</f>
        <v>1</v>
      </c>
      <c r="B6" s="96">
        <f>'review 1 - annotator 2 - eval'!B9</f>
        <v>1</v>
      </c>
    </row>
    <row r="7">
      <c r="A7" s="95">
        <f>'review 1 - annotator 1 - eval'!B10</f>
        <v>1</v>
      </c>
      <c r="B7" s="96">
        <f>'review 1 - annotator 2 - eval'!B10</f>
        <v>1</v>
      </c>
    </row>
    <row r="8">
      <c r="A8" s="95">
        <f>'review 1 - annotator 1 - eval'!B14</f>
        <v>1</v>
      </c>
      <c r="B8" s="96">
        <f>'review 1 - annotator 2 - eval'!B14</f>
        <v>1</v>
      </c>
    </row>
    <row r="9">
      <c r="A9" s="95">
        <f>'review 1 - annotator 1 - eval'!B15</f>
        <v>1</v>
      </c>
      <c r="B9" s="96">
        <f>'review 1 - annotator 2 - eval'!B15</f>
        <v>1</v>
      </c>
    </row>
    <row r="10">
      <c r="A10" s="95">
        <f>'review 1 - annotator 1 - eval'!B16</f>
        <v>1</v>
      </c>
      <c r="B10" s="96">
        <f>'review 1 - annotator 2 - eval'!B16</f>
        <v>1</v>
      </c>
    </row>
    <row r="11">
      <c r="A11" s="95">
        <f>'review 1 - annotator 1 - eval'!B17</f>
        <v>1</v>
      </c>
      <c r="B11" s="96">
        <f>'review 1 - annotator 2 - eval'!B17</f>
        <v>1</v>
      </c>
    </row>
    <row r="12">
      <c r="A12" s="95">
        <f>'review 1 - annotator 1 - eval'!B18</f>
        <v>1</v>
      </c>
      <c r="B12" s="96">
        <f>'review 1 - annotator 2 - eval'!B18</f>
        <v>1</v>
      </c>
    </row>
    <row r="13">
      <c r="A13" s="95">
        <f>'review 1 - annotator 1 - eval'!B19</f>
        <v>1</v>
      </c>
      <c r="B13" s="96">
        <f>'review 1 - annotator 2 - eval'!B19</f>
        <v>1</v>
      </c>
    </row>
    <row r="14">
      <c r="A14" s="95">
        <f>'review 1 - annotator 1 - eval'!B20</f>
        <v>1</v>
      </c>
      <c r="B14" s="96">
        <f>'review 1 - annotator 2 - eval'!B20</f>
        <v>1</v>
      </c>
    </row>
    <row r="15">
      <c r="A15" s="95">
        <f>'review 1 - annotator 1 - eval'!B24</f>
        <v>1</v>
      </c>
      <c r="B15" s="96">
        <f>'review 1 - annotator 2 - eval'!B24</f>
        <v>1</v>
      </c>
    </row>
    <row r="16">
      <c r="A16" s="95">
        <f>'review 1 - annotator 1 - eval'!B25</f>
        <v>1</v>
      </c>
      <c r="B16" s="96">
        <f>'review 1 - annotator 2 - eval'!B25</f>
        <v>1</v>
      </c>
    </row>
    <row r="17">
      <c r="A17" s="95">
        <f>'review 1 - annotator 1 - eval'!B26</f>
        <v>1</v>
      </c>
      <c r="B17" s="96">
        <f>'review 1 - annotator 2 - eval'!B26</f>
        <v>1</v>
      </c>
    </row>
    <row r="18">
      <c r="A18" s="95">
        <f>'review 1 - annotator 1 - eval'!B27</f>
        <v>1</v>
      </c>
      <c r="B18" s="96">
        <f>'review 1 - annotator 2 - eval'!B27</f>
        <v>1</v>
      </c>
    </row>
    <row r="19">
      <c r="A19" s="95">
        <f>'review 1 - annotator 1 - eval'!B28</f>
        <v>1</v>
      </c>
      <c r="B19" s="96">
        <f>'review 1 - annotator 2 - eval'!B28</f>
        <v>1</v>
      </c>
    </row>
    <row r="20">
      <c r="A20" s="95">
        <f>'review 1 - annotator 1 - eval'!B29</f>
        <v>1</v>
      </c>
      <c r="B20" s="96">
        <f>'review 1 - annotator 2 - eval'!B29</f>
        <v>1</v>
      </c>
    </row>
    <row r="21">
      <c r="A21" s="95">
        <f>'review 1 - annotator 1 - eval'!B30</f>
        <v>1</v>
      </c>
      <c r="B21" s="96">
        <f>'review 1 - annotator 2 - eval'!B30</f>
        <v>1</v>
      </c>
    </row>
    <row r="22">
      <c r="A22" s="95">
        <f>'review 1 - annotator 1 - eval'!B34</f>
        <v>0</v>
      </c>
      <c r="B22" s="96">
        <f>'review 1 - annotator 2 - eval'!B34</f>
        <v>0</v>
      </c>
    </row>
    <row r="23">
      <c r="A23" s="95">
        <f>'review 1 - annotator 1 - eval'!B35</f>
        <v>1</v>
      </c>
      <c r="B23" s="96">
        <f>'review 1 - annotator 2 - eval'!B35</f>
        <v>1</v>
      </c>
    </row>
    <row r="24">
      <c r="A24" s="95">
        <f>'review 1 - annotator 1 - eval'!B36</f>
        <v>1</v>
      </c>
      <c r="B24" s="96">
        <f>'review 1 - annotator 2 - eval'!B36</f>
        <v>1</v>
      </c>
    </row>
    <row r="25">
      <c r="A25" s="95">
        <f>'review 1 - annotator 1 - eval'!B37</f>
        <v>1</v>
      </c>
      <c r="B25" s="96">
        <f>'review 1 - annotator 2 - eval'!B37</f>
        <v>1</v>
      </c>
    </row>
    <row r="26">
      <c r="A26" s="95">
        <f>'review 1 - annotator 1 - eval'!B38</f>
        <v>0</v>
      </c>
      <c r="B26" s="96">
        <f>'review 1 - annotator 2 - eval'!B38</f>
        <v>0</v>
      </c>
    </row>
    <row r="27">
      <c r="A27" s="95">
        <f>'review 1 - annotator 1 - eval'!B39</f>
        <v>1</v>
      </c>
      <c r="B27" s="96">
        <f>'review 1 - annotator 2 - eval'!B39</f>
        <v>1</v>
      </c>
    </row>
    <row r="28">
      <c r="A28" s="95">
        <f>'review 1 - annotator 1 - eval'!B40</f>
        <v>1</v>
      </c>
      <c r="B28" s="96">
        <f>'review 1 - annotator 2 - eval'!B40</f>
        <v>1</v>
      </c>
    </row>
    <row r="29">
      <c r="A29" s="95">
        <f>'review 1 - annotator 1 - eval'!B44</f>
        <v>1</v>
      </c>
      <c r="B29" s="96">
        <f>'review 1 - annotator 2 - eval'!B44</f>
        <v>1</v>
      </c>
    </row>
    <row r="30">
      <c r="A30" s="95">
        <f>'review 1 - annotator 1 - eval'!B45</f>
        <v>1</v>
      </c>
      <c r="B30" s="96">
        <f>'review 1 - annotator 2 - eval'!B45</f>
        <v>1</v>
      </c>
    </row>
    <row r="31">
      <c r="A31" s="95">
        <f>'review 1 - annotator 1 - eval'!B46</f>
        <v>1</v>
      </c>
      <c r="B31" s="96">
        <f>'review 1 - annotator 2 - eval'!B46</f>
        <v>1</v>
      </c>
    </row>
    <row r="32">
      <c r="A32" s="95">
        <f>'review 1 - annotator 1 - eval'!B47</f>
        <v>1</v>
      </c>
      <c r="B32" s="96">
        <f>'review 1 - annotator 2 - eval'!B47</f>
        <v>1</v>
      </c>
    </row>
    <row r="33">
      <c r="A33" s="95">
        <f>'review 1 - annotator 1 - eval'!B48</f>
        <v>1</v>
      </c>
      <c r="B33" s="96">
        <f>'review 1 - annotator 2 - eval'!B48</f>
        <v>1</v>
      </c>
    </row>
    <row r="34">
      <c r="A34" s="95">
        <f>'review 1 - annotator 1 - eval'!B49</f>
        <v>1</v>
      </c>
      <c r="B34" s="96">
        <f>'review 1 - annotator 2 - eval'!B49</f>
        <v>1</v>
      </c>
    </row>
    <row r="35">
      <c r="A35" s="95">
        <f>'review 1 - annotator 1 - eval'!B50</f>
        <v>1</v>
      </c>
      <c r="B35" s="96">
        <f>'review 1 - annotator 2 - eval'!B50</f>
        <v>1</v>
      </c>
    </row>
    <row r="36">
      <c r="A36" s="95">
        <f>'review 1 - annotator 1 - eval'!B54</f>
        <v>1</v>
      </c>
      <c r="B36" s="96">
        <f>'review 1 - annotator 2 - eval'!B54</f>
        <v>1</v>
      </c>
    </row>
    <row r="37">
      <c r="A37" s="95">
        <f>'review 1 - annotator 1 - eval'!B55</f>
        <v>1</v>
      </c>
      <c r="B37" s="96">
        <f>'review 1 - annotator 2 - eval'!B55</f>
        <v>1</v>
      </c>
    </row>
    <row r="38">
      <c r="A38" s="95">
        <f>'review 1 - annotator 1 - eval'!B56</f>
        <v>0</v>
      </c>
      <c r="B38" s="96">
        <f>'review 1 - annotator 2 - eval'!B56</f>
        <v>1</v>
      </c>
    </row>
    <row r="39">
      <c r="A39" s="95">
        <f>'review 1 - annotator 1 - eval'!B57</f>
        <v>1</v>
      </c>
      <c r="B39" s="96">
        <f>'review 1 - annotator 2 - eval'!B57</f>
        <v>1</v>
      </c>
    </row>
    <row r="40">
      <c r="A40" s="95">
        <f>'review 1 - annotator 1 - eval'!B58</f>
        <v>1</v>
      </c>
      <c r="B40" s="96">
        <f>'review 1 - annotator 2 - eval'!B58</f>
        <v>0</v>
      </c>
    </row>
    <row r="41">
      <c r="A41" s="95">
        <f>'review 1 - annotator 1 - eval'!B59</f>
        <v>1</v>
      </c>
      <c r="B41" s="96">
        <f>'review 1 - annotator 2 - eval'!B59</f>
        <v>1</v>
      </c>
    </row>
    <row r="42">
      <c r="A42" s="95">
        <f>'review 1 - annotator 1 - eval'!B60</f>
        <v>1</v>
      </c>
      <c r="B42" s="96">
        <f>'review 1 - annotator 2 - eval'!B60</f>
        <v>1</v>
      </c>
    </row>
    <row r="43">
      <c r="A43" s="95">
        <f>'review 1 - annotator 1 - eval'!B64</f>
        <v>0</v>
      </c>
      <c r="B43" s="96">
        <f>'review 1 - annotator 2 - eval'!B64</f>
        <v>0</v>
      </c>
    </row>
    <row r="44">
      <c r="A44" s="95">
        <f>'review 1 - annotator 1 - eval'!B65</f>
        <v>1</v>
      </c>
      <c r="B44" s="96">
        <f>'review 1 - annotator 2 - eval'!B65</f>
        <v>1</v>
      </c>
    </row>
    <row r="45">
      <c r="A45" s="95">
        <f>'review 1 - annotator 1 - eval'!B66</f>
        <v>0</v>
      </c>
      <c r="B45" s="96">
        <f>'review 1 - annotator 2 - eval'!B66</f>
        <v>0</v>
      </c>
    </row>
    <row r="46">
      <c r="A46" s="95">
        <f>'review 1 - annotator 1 - eval'!B67</f>
        <v>1</v>
      </c>
      <c r="B46" s="96">
        <f>'review 1 - annotator 2 - eval'!B67</f>
        <v>1</v>
      </c>
    </row>
    <row r="47">
      <c r="A47" s="95">
        <f>'review 1 - annotator 1 - eval'!B68</f>
        <v>1</v>
      </c>
      <c r="B47" s="96">
        <f>'review 1 - annotator 2 - eval'!B68</f>
        <v>0</v>
      </c>
    </row>
    <row r="48">
      <c r="A48" s="95">
        <f>'review 1 - annotator 1 - eval'!B69</f>
        <v>1</v>
      </c>
      <c r="B48" s="96">
        <f>'review 1 - annotator 2 - eval'!B69</f>
        <v>1</v>
      </c>
    </row>
    <row r="49">
      <c r="A49" s="95">
        <f>'review 1 - annotator 1 - eval'!B70</f>
        <v>1</v>
      </c>
      <c r="B49" s="96">
        <f>'review 1 - annotator 2 - eval'!B70</f>
        <v>1</v>
      </c>
    </row>
    <row r="50">
      <c r="A50" s="95">
        <f>'review 1 - annotator 1 - eval'!B74</f>
        <v>1</v>
      </c>
      <c r="B50" s="96">
        <f>'review 1 - annotator 2 - eval'!B74</f>
        <v>1</v>
      </c>
    </row>
    <row r="51">
      <c r="A51" s="95">
        <f>'review 1 - annotator 1 - eval'!B75</f>
        <v>1</v>
      </c>
      <c r="B51" s="96">
        <f>'review 1 - annotator 2 - eval'!B75</f>
        <v>1</v>
      </c>
    </row>
    <row r="52">
      <c r="A52" s="95">
        <f>'review 1 - annotator 1 - eval'!B76</f>
        <v>1</v>
      </c>
      <c r="B52" s="96">
        <f>'review 1 - annotator 2 - eval'!B76</f>
        <v>1</v>
      </c>
    </row>
    <row r="53">
      <c r="A53" s="95">
        <f>'review 1 - annotator 1 - eval'!B77</f>
        <v>1</v>
      </c>
      <c r="B53" s="96">
        <f>'review 1 - annotator 2 - eval'!B77</f>
        <v>1</v>
      </c>
    </row>
    <row r="54">
      <c r="A54" s="95">
        <f>'review 1 - annotator 1 - eval'!B78</f>
        <v>1</v>
      </c>
      <c r="B54" s="96">
        <f>'review 1 - annotator 2 - eval'!B78</f>
        <v>1</v>
      </c>
    </row>
    <row r="55">
      <c r="A55" s="95">
        <f>'review 1 - annotator 1 - eval'!B79</f>
        <v>1</v>
      </c>
      <c r="B55" s="96">
        <f>'review 1 - annotator 2 - eval'!B79</f>
        <v>1</v>
      </c>
    </row>
    <row r="56">
      <c r="A56" s="95">
        <f>'review 1 - annotator 1 - eval'!B80</f>
        <v>1</v>
      </c>
      <c r="B56" s="96">
        <f>'review 1 - annotator 2 - eval'!B80</f>
        <v>1</v>
      </c>
    </row>
    <row r="57">
      <c r="A57" s="95">
        <f>'review 1 - annotator 1 - eval'!B84</f>
        <v>1</v>
      </c>
      <c r="B57" s="96">
        <f>'review 1 - annotator 2 - eval'!B84</f>
        <v>1</v>
      </c>
    </row>
    <row r="58">
      <c r="A58" s="95">
        <f>'review 1 - annotator 1 - eval'!B85</f>
        <v>1</v>
      </c>
      <c r="B58" s="96">
        <f>'review 1 - annotator 2 - eval'!B85</f>
        <v>1</v>
      </c>
    </row>
    <row r="59">
      <c r="A59" s="95">
        <f>'review 1 - annotator 1 - eval'!B86</f>
        <v>1</v>
      </c>
      <c r="B59" s="96">
        <f>'review 1 - annotator 2 - eval'!B86</f>
        <v>1</v>
      </c>
    </row>
    <row r="60">
      <c r="A60" s="95">
        <f>'review 1 - annotator 1 - eval'!B87</f>
        <v>1</v>
      </c>
      <c r="B60" s="96">
        <f>'review 1 - annotator 2 - eval'!B87</f>
        <v>1</v>
      </c>
    </row>
    <row r="61">
      <c r="A61" s="95">
        <f>'review 1 - annotator 1 - eval'!B88</f>
        <v>1</v>
      </c>
      <c r="B61" s="96">
        <f>'review 1 - annotator 2 - eval'!B88</f>
        <v>1</v>
      </c>
    </row>
    <row r="62">
      <c r="A62" s="95">
        <f>'review 1 - annotator 1 - eval'!B89</f>
        <v>1</v>
      </c>
      <c r="B62" s="96">
        <f>'review 1 - annotator 2 - eval'!B89</f>
        <v>1</v>
      </c>
    </row>
    <row r="63">
      <c r="A63" s="95">
        <f>'review 1 - annotator 1 - eval'!B90</f>
        <v>1</v>
      </c>
      <c r="B63" s="96">
        <f>'review 1 - annotator 2 - eval'!B90</f>
        <v>1</v>
      </c>
    </row>
    <row r="64">
      <c r="A64" s="95">
        <f>'review 1 - annotator 1 - eval'!B94</f>
        <v>1</v>
      </c>
      <c r="B64" s="96">
        <f>'review 1 - annotator 2 - eval'!B94</f>
        <v>1</v>
      </c>
    </row>
    <row r="65">
      <c r="A65" s="95">
        <f>'review 1 - annotator 1 - eval'!B95</f>
        <v>1</v>
      </c>
      <c r="B65" s="96">
        <f>'review 1 - annotator 2 - eval'!B95</f>
        <v>1</v>
      </c>
    </row>
    <row r="66">
      <c r="A66" s="95">
        <f>'review 1 - annotator 1 - eval'!B96</f>
        <v>1</v>
      </c>
      <c r="B66" s="96">
        <f>'review 1 - annotator 2 - eval'!B96</f>
        <v>1</v>
      </c>
    </row>
    <row r="67">
      <c r="A67" s="95">
        <f>'review 1 - annotator 1 - eval'!B97</f>
        <v>1</v>
      </c>
      <c r="B67" s="96">
        <f>'review 1 - annotator 2 - eval'!B97</f>
        <v>1</v>
      </c>
    </row>
    <row r="68">
      <c r="A68" s="95">
        <f>'review 1 - annotator 1 - eval'!B98</f>
        <v>1</v>
      </c>
      <c r="B68" s="96">
        <f>'review 1 - annotator 2 - eval'!B98</f>
        <v>1</v>
      </c>
    </row>
    <row r="69">
      <c r="A69" s="95">
        <f>'review 1 - annotator 1 - eval'!B99</f>
        <v>1</v>
      </c>
      <c r="B69" s="96">
        <f>'review 1 - annotator 2 - eval'!B99</f>
        <v>1</v>
      </c>
    </row>
    <row r="70">
      <c r="A70" s="95">
        <f>'review 1 - annotator 1 - eval'!B100</f>
        <v>1</v>
      </c>
      <c r="B70" s="96">
        <f>'review 1 - annotator 2 - eval'!B100</f>
        <v>1</v>
      </c>
    </row>
    <row r="71">
      <c r="A71" s="95">
        <f>'review 1 - annotator 1 - eval'!B104</f>
        <v>1</v>
      </c>
      <c r="B71" s="96">
        <f>'review 1 - annotator 2 - eval'!B104</f>
        <v>1</v>
      </c>
    </row>
    <row r="72">
      <c r="A72" s="95">
        <f>'review 1 - annotator 1 - eval'!B105</f>
        <v>1</v>
      </c>
      <c r="B72" s="96">
        <f>'review 1 - annotator 2 - eval'!B105</f>
        <v>1</v>
      </c>
    </row>
    <row r="73">
      <c r="A73" s="95">
        <f>'review 1 - annotator 1 - eval'!B106</f>
        <v>1</v>
      </c>
      <c r="B73" s="96">
        <f>'review 1 - annotator 2 - eval'!B106</f>
        <v>1</v>
      </c>
    </row>
    <row r="74">
      <c r="A74" s="95">
        <f>'review 1 - annotator 1 - eval'!B107</f>
        <v>1</v>
      </c>
      <c r="B74" s="96">
        <f>'review 1 - annotator 2 - eval'!B107</f>
        <v>1</v>
      </c>
    </row>
    <row r="75">
      <c r="A75" s="95">
        <f>'review 1 - annotator 1 - eval'!B108</f>
        <v>1</v>
      </c>
      <c r="B75" s="96">
        <f>'review 1 - annotator 2 - eval'!B108</f>
        <v>1</v>
      </c>
    </row>
    <row r="76">
      <c r="A76" s="95">
        <f>'review 1 - annotator 1 - eval'!B109</f>
        <v>1</v>
      </c>
      <c r="B76" s="96">
        <f>'review 1 - annotator 2 - eval'!B109</f>
        <v>1</v>
      </c>
    </row>
    <row r="77">
      <c r="A77" s="95">
        <f>'review 1 - annotator 1 - eval'!B110</f>
        <v>1</v>
      </c>
      <c r="B77" s="96">
        <f>'review 1 - annotator 2 - eval'!B110</f>
        <v>1</v>
      </c>
    </row>
    <row r="78">
      <c r="A78" s="95">
        <f>'review 1 - annotator 1 - eval'!B114</f>
        <v>1</v>
      </c>
      <c r="B78" s="96">
        <f>'review 1 - annotator 2 - eval'!B114</f>
        <v>1</v>
      </c>
    </row>
    <row r="79">
      <c r="A79" s="95">
        <f>'review 1 - annotator 1 - eval'!B115</f>
        <v>1</v>
      </c>
      <c r="B79" s="96">
        <f>'review 1 - annotator 2 - eval'!B115</f>
        <v>1</v>
      </c>
    </row>
    <row r="80">
      <c r="A80" s="95">
        <f>'review 1 - annotator 1 - eval'!B116</f>
        <v>1</v>
      </c>
      <c r="B80" s="96">
        <f>'review 1 - annotator 2 - eval'!B116</f>
        <v>1</v>
      </c>
    </row>
    <row r="81">
      <c r="A81" s="95">
        <f>'review 1 - annotator 1 - eval'!B117</f>
        <v>1</v>
      </c>
      <c r="B81" s="96">
        <f>'review 1 - annotator 2 - eval'!B117</f>
        <v>1</v>
      </c>
    </row>
    <row r="82">
      <c r="A82" s="95">
        <f>'review 1 - annotator 1 - eval'!B118</f>
        <v>1</v>
      </c>
      <c r="B82" s="96">
        <f>'review 1 - annotator 2 - eval'!B118</f>
        <v>1</v>
      </c>
    </row>
    <row r="83">
      <c r="A83" s="95">
        <f>'review 1 - annotator 1 - eval'!B119</f>
        <v>1</v>
      </c>
      <c r="B83" s="96">
        <f>'review 1 - annotator 2 - eval'!B119</f>
        <v>1</v>
      </c>
    </row>
    <row r="84">
      <c r="A84" s="95">
        <f>'review 1 - annotator 1 - eval'!B120</f>
        <v>1</v>
      </c>
      <c r="B84" s="96">
        <f>'review 1 - annotator 2 - eval'!B120</f>
        <v>1</v>
      </c>
    </row>
    <row r="85">
      <c r="A85" s="95">
        <f>'review 1 - annotator 1 - eval'!B124</f>
        <v>1</v>
      </c>
      <c r="B85" s="96">
        <f>'review 1 - annotator 2 - eval'!B124</f>
        <v>1</v>
      </c>
    </row>
    <row r="86">
      <c r="A86" s="95">
        <f>'review 1 - annotator 1 - eval'!B125</f>
        <v>1</v>
      </c>
      <c r="B86" s="96">
        <f>'review 1 - annotator 2 - eval'!B125</f>
        <v>1</v>
      </c>
    </row>
    <row r="87">
      <c r="A87" s="95">
        <f>'review 1 - annotator 1 - eval'!B126</f>
        <v>1</v>
      </c>
      <c r="B87" s="96">
        <f>'review 1 - annotator 2 - eval'!B126</f>
        <v>1</v>
      </c>
    </row>
    <row r="88">
      <c r="A88" s="95">
        <f>'review 1 - annotator 1 - eval'!B127</f>
        <v>1</v>
      </c>
      <c r="B88" s="96">
        <f>'review 1 - annotator 2 - eval'!B127</f>
        <v>1</v>
      </c>
    </row>
    <row r="89">
      <c r="A89" s="95">
        <f>'review 1 - annotator 1 - eval'!B128</f>
        <v>1</v>
      </c>
      <c r="B89" s="96">
        <f>'review 1 - annotator 2 - eval'!B128</f>
        <v>1</v>
      </c>
    </row>
    <row r="90">
      <c r="A90" s="95">
        <f>'review 1 - annotator 1 - eval'!B129</f>
        <v>1</v>
      </c>
      <c r="B90" s="96">
        <f>'review 1 - annotator 2 - eval'!B129</f>
        <v>1</v>
      </c>
    </row>
    <row r="91">
      <c r="A91" s="95">
        <f>'review 1 - annotator 1 - eval'!B130</f>
        <v>1</v>
      </c>
      <c r="B91" s="96">
        <f>'review 1 - annotator 2 - eval'!B130</f>
        <v>1</v>
      </c>
    </row>
    <row r="92">
      <c r="A92" s="95">
        <f>'review 1 - annotator 1 - eval'!B134</f>
        <v>1</v>
      </c>
      <c r="B92" s="96">
        <f>'review 1 - annotator 2 - eval'!B134</f>
        <v>1</v>
      </c>
    </row>
    <row r="93">
      <c r="A93" s="95">
        <f>'review 1 - annotator 1 - eval'!B135</f>
        <v>1</v>
      </c>
      <c r="B93" s="96">
        <f>'review 1 - annotator 2 - eval'!B135</f>
        <v>1</v>
      </c>
    </row>
    <row r="94">
      <c r="A94" s="95">
        <f>'review 1 - annotator 1 - eval'!B136</f>
        <v>1</v>
      </c>
      <c r="B94" s="96">
        <f>'review 1 - annotator 2 - eval'!B136</f>
        <v>1</v>
      </c>
    </row>
    <row r="95">
      <c r="A95" s="95">
        <f>'review 1 - annotator 1 - eval'!B137</f>
        <v>1</v>
      </c>
      <c r="B95" s="96">
        <f>'review 1 - annotator 2 - eval'!B137</f>
        <v>1</v>
      </c>
    </row>
    <row r="96">
      <c r="A96" s="95">
        <f>'review 1 - annotator 1 - eval'!B138</f>
        <v>1</v>
      </c>
      <c r="B96" s="96">
        <f>'review 1 - annotator 2 - eval'!B138</f>
        <v>1</v>
      </c>
    </row>
    <row r="97">
      <c r="A97" s="95">
        <f>'review 1 - annotator 1 - eval'!B139</f>
        <v>1</v>
      </c>
      <c r="B97" s="96">
        <f>'review 1 - annotator 2 - eval'!B139</f>
        <v>1</v>
      </c>
    </row>
    <row r="98">
      <c r="A98" s="95">
        <f>'review 1 - annotator 1 - eval'!B140</f>
        <v>1</v>
      </c>
      <c r="B98" s="96">
        <f>'review 1 - annotator 2 - eval'!B140</f>
        <v>1</v>
      </c>
    </row>
    <row r="99">
      <c r="A99" s="95">
        <f>'review 1 - annotator 1 - eval'!B144</f>
        <v>1</v>
      </c>
      <c r="B99" s="96">
        <f>'review 1 - annotator 2 - eval'!B144</f>
        <v>1</v>
      </c>
    </row>
    <row r="100">
      <c r="A100" s="95">
        <f>'review 1 - annotator 1 - eval'!B145</f>
        <v>1</v>
      </c>
      <c r="B100" s="96">
        <f>'review 1 - annotator 2 - eval'!B145</f>
        <v>1</v>
      </c>
    </row>
    <row r="101">
      <c r="A101" s="95">
        <f>'review 1 - annotator 1 - eval'!B146</f>
        <v>1</v>
      </c>
      <c r="B101" s="96">
        <f>'review 1 - annotator 2 - eval'!B146</f>
        <v>1</v>
      </c>
    </row>
    <row r="102">
      <c r="A102" s="95">
        <f>'review 1 - annotator 1 - eval'!B147</f>
        <v>1</v>
      </c>
      <c r="B102" s="96">
        <f>'review 1 - annotator 2 - eval'!B147</f>
        <v>1</v>
      </c>
    </row>
    <row r="103">
      <c r="A103" s="95">
        <f>'review 1 - annotator 1 - eval'!B148</f>
        <v>1</v>
      </c>
      <c r="B103" s="96">
        <f>'review 1 - annotator 2 - eval'!B148</f>
        <v>1</v>
      </c>
    </row>
    <row r="104">
      <c r="A104" s="95">
        <f>'review 1 - annotator 1 - eval'!B149</f>
        <v>1</v>
      </c>
      <c r="B104" s="96">
        <f>'review 1 - annotator 2 - eval'!B149</f>
        <v>1</v>
      </c>
    </row>
    <row r="105">
      <c r="A105" s="95">
        <f>'review 1 - annotator 1 - eval'!B150</f>
        <v>1</v>
      </c>
      <c r="B105" s="96">
        <f>'review 1 - annotator 2 - eval'!B150</f>
        <v>1</v>
      </c>
    </row>
    <row r="106">
      <c r="A106" s="95">
        <f>'review 1 - annotator 1 - eval'!B154</f>
        <v>0</v>
      </c>
      <c r="B106" s="96">
        <f>'review 1 - annotator 2 - eval'!B154</f>
        <v>0</v>
      </c>
    </row>
    <row r="107">
      <c r="A107" s="95">
        <f>'review 1 - annotator 1 - eval'!B155</f>
        <v>1</v>
      </c>
      <c r="B107" s="96">
        <f>'review 1 - annotator 2 - eval'!B155</f>
        <v>1</v>
      </c>
    </row>
    <row r="108">
      <c r="A108" s="95">
        <f>'review 1 - annotator 1 - eval'!B156</f>
        <v>0</v>
      </c>
      <c r="B108" s="96">
        <f>'review 1 - annotator 2 - eval'!B156</f>
        <v>0</v>
      </c>
    </row>
    <row r="109">
      <c r="A109" s="95">
        <f>'review 1 - annotator 1 - eval'!B157</f>
        <v>1</v>
      </c>
      <c r="B109" s="96">
        <f>'review 1 - annotator 2 - eval'!B157</f>
        <v>1</v>
      </c>
    </row>
    <row r="110">
      <c r="A110" s="95">
        <f>'review 1 - annotator 1 - eval'!B158</f>
        <v>1</v>
      </c>
      <c r="B110" s="96">
        <f>'review 1 - annotator 2 - eval'!B158</f>
        <v>1</v>
      </c>
    </row>
    <row r="111">
      <c r="A111" s="95">
        <f>'review 1 - annotator 1 - eval'!B159</f>
        <v>1</v>
      </c>
      <c r="B111" s="96">
        <f>'review 1 - annotator 2 - eval'!B159</f>
        <v>1</v>
      </c>
    </row>
    <row r="112">
      <c r="A112" s="95">
        <f>'review 1 - annotator 1 - eval'!B160</f>
        <v>1</v>
      </c>
      <c r="B112" s="96">
        <f>'review 1 - annotator 2 - eval'!B160</f>
        <v>1</v>
      </c>
    </row>
    <row r="113">
      <c r="A113" s="95">
        <f>'review 1 - annotator 1 - eval'!B164</f>
        <v>1</v>
      </c>
      <c r="B113" s="96">
        <f>'review 1 - annotator 2 - eval'!B164</f>
        <v>1</v>
      </c>
    </row>
    <row r="114">
      <c r="A114" s="95">
        <f>'review 1 - annotator 1 - eval'!B165</f>
        <v>1</v>
      </c>
      <c r="B114" s="96">
        <f>'review 1 - annotator 2 - eval'!B165</f>
        <v>1</v>
      </c>
    </row>
    <row r="115">
      <c r="A115" s="95">
        <f>'review 1 - annotator 1 - eval'!B166</f>
        <v>1</v>
      </c>
      <c r="B115" s="96">
        <f>'review 1 - annotator 2 - eval'!B166</f>
        <v>1</v>
      </c>
    </row>
    <row r="116">
      <c r="A116" s="95">
        <f>'review 1 - annotator 1 - eval'!B167</f>
        <v>1</v>
      </c>
      <c r="B116" s="96">
        <f>'review 1 - annotator 2 - eval'!B167</f>
        <v>1</v>
      </c>
    </row>
    <row r="117">
      <c r="A117" s="95">
        <f>'review 1 - annotator 1 - eval'!B168</f>
        <v>1</v>
      </c>
      <c r="B117" s="96">
        <f>'review 1 - annotator 2 - eval'!B168</f>
        <v>1</v>
      </c>
    </row>
    <row r="118">
      <c r="A118" s="95">
        <f>'review 1 - annotator 1 - eval'!B169</f>
        <v>1</v>
      </c>
      <c r="B118" s="96">
        <f>'review 1 - annotator 2 - eval'!B169</f>
        <v>1</v>
      </c>
    </row>
    <row r="119">
      <c r="A119" s="95">
        <f>'review 1 - annotator 1 - eval'!B170</f>
        <v>1</v>
      </c>
      <c r="B119" s="96">
        <f>'review 1 - annotator 2 - eval'!B170</f>
        <v>1</v>
      </c>
    </row>
    <row r="120">
      <c r="A120" s="95">
        <f>'review 1 - annotator 1 - eval'!B174</f>
        <v>0</v>
      </c>
      <c r="B120" s="96">
        <f>'review 1 - annotator 2 - eval'!B174</f>
        <v>1</v>
      </c>
    </row>
    <row r="121">
      <c r="A121" s="95">
        <f>'review 1 - annotator 1 - eval'!B175</f>
        <v>1</v>
      </c>
      <c r="B121" s="96">
        <f>'review 1 - annotator 2 - eval'!B175</f>
        <v>1</v>
      </c>
    </row>
    <row r="122">
      <c r="A122" s="95">
        <f>'review 1 - annotator 1 - eval'!B176</f>
        <v>0</v>
      </c>
      <c r="B122" s="96">
        <f>'review 1 - annotator 2 - eval'!B176</f>
        <v>1</v>
      </c>
    </row>
    <row r="123">
      <c r="A123" s="95">
        <f>'review 1 - annotator 1 - eval'!B177</f>
        <v>1</v>
      </c>
      <c r="B123" s="96">
        <f>'review 1 - annotator 2 - eval'!B177</f>
        <v>1</v>
      </c>
    </row>
    <row r="124">
      <c r="A124" s="95">
        <f>'review 1 - annotator 1 - eval'!B178</f>
        <v>1</v>
      </c>
      <c r="B124" s="96">
        <f>'review 1 - annotator 2 - eval'!B178</f>
        <v>1</v>
      </c>
    </row>
    <row r="125">
      <c r="A125" s="95">
        <f>'review 1 - annotator 1 - eval'!B179</f>
        <v>1</v>
      </c>
      <c r="B125" s="96">
        <f>'review 1 - annotator 2 - eval'!B179</f>
        <v>1</v>
      </c>
    </row>
    <row r="126">
      <c r="A126" s="95">
        <f>'review 1 - annotator 1 - eval'!B180</f>
        <v>1</v>
      </c>
      <c r="B126" s="96">
        <f>'review 1 - annotator 2 - eval'!B180</f>
        <v>1</v>
      </c>
    </row>
    <row r="127">
      <c r="A127" s="95">
        <f>'review 1 - annotator 1 - eval'!B184</f>
        <v>1</v>
      </c>
      <c r="B127" s="96">
        <f>'review 1 - annotator 2 - eval'!B184</f>
        <v>1</v>
      </c>
    </row>
    <row r="128">
      <c r="A128" s="95">
        <f>'review 1 - annotator 1 - eval'!B185</f>
        <v>1</v>
      </c>
      <c r="B128" s="96">
        <f>'review 1 - annotator 2 - eval'!B185</f>
        <v>1</v>
      </c>
    </row>
    <row r="129">
      <c r="A129" s="95">
        <f>'review 1 - annotator 1 - eval'!B186</f>
        <v>1</v>
      </c>
      <c r="B129" s="96">
        <f>'review 1 - annotator 2 - eval'!B186</f>
        <v>1</v>
      </c>
    </row>
    <row r="130">
      <c r="A130" s="95">
        <f>'review 1 - annotator 1 - eval'!B187</f>
        <v>1</v>
      </c>
      <c r="B130" s="96">
        <f>'review 1 - annotator 2 - eval'!B187</f>
        <v>1</v>
      </c>
    </row>
    <row r="131">
      <c r="A131" s="95">
        <f>'review 1 - annotator 1 - eval'!B188</f>
        <v>1</v>
      </c>
      <c r="B131" s="96">
        <f>'review 1 - annotator 2 - eval'!B188</f>
        <v>1</v>
      </c>
    </row>
    <row r="132">
      <c r="A132" s="95">
        <f>'review 1 - annotator 1 - eval'!B189</f>
        <v>1</v>
      </c>
      <c r="B132" s="96">
        <f>'review 1 - annotator 2 - eval'!B189</f>
        <v>1</v>
      </c>
    </row>
    <row r="133">
      <c r="A133" s="95">
        <f>'review 1 - annotator 1 - eval'!B190</f>
        <v>1</v>
      </c>
      <c r="B133" s="96">
        <f>'review 1 - annotator 2 - eval'!B190</f>
        <v>1</v>
      </c>
    </row>
    <row r="134">
      <c r="A134" s="95">
        <f>'review 1 - annotator 1 - eval'!B194</f>
        <v>0</v>
      </c>
      <c r="B134" s="96">
        <f>'review 1 - annotator 2 - eval'!B194</f>
        <v>0</v>
      </c>
    </row>
    <row r="135">
      <c r="A135" s="95">
        <f>'review 1 - annotator 1 - eval'!B195</f>
        <v>1</v>
      </c>
      <c r="B135" s="96">
        <f>'review 1 - annotator 2 - eval'!B195</f>
        <v>1</v>
      </c>
    </row>
    <row r="136">
      <c r="A136" s="95">
        <f>'review 1 - annotator 1 - eval'!B196</f>
        <v>0</v>
      </c>
      <c r="B136" s="96">
        <f>'review 1 - annotator 2 - eval'!B196</f>
        <v>0</v>
      </c>
    </row>
    <row r="137">
      <c r="A137" s="95">
        <f>'review 1 - annotator 1 - eval'!B197</f>
        <v>0</v>
      </c>
      <c r="B137" s="96">
        <f>'review 1 - annotator 2 - eval'!B197</f>
        <v>1</v>
      </c>
    </row>
    <row r="138">
      <c r="A138" s="95">
        <f>'review 1 - annotator 1 - eval'!B198</f>
        <v>1</v>
      </c>
      <c r="B138" s="96">
        <f>'review 1 - annotator 2 - eval'!B198</f>
        <v>1</v>
      </c>
    </row>
    <row r="139">
      <c r="A139" s="95">
        <f>'review 1 - annotator 1 - eval'!B199</f>
        <v>0</v>
      </c>
      <c r="B139" s="96">
        <f>'review 1 - annotator 2 - eval'!B199</f>
        <v>1</v>
      </c>
    </row>
    <row r="140">
      <c r="A140" s="95">
        <f>'review 1 - annotator 1 - eval'!B200</f>
        <v>0</v>
      </c>
      <c r="B140" s="96">
        <f>'review 1 - annotator 2 - eval'!B200</f>
        <v>1</v>
      </c>
    </row>
    <row r="141">
      <c r="A141" s="95">
        <f>'review 1 - annotator 1 - eval'!C4</f>
        <v>1</v>
      </c>
      <c r="B141" s="96">
        <f>'review 1 - annotator 2 - eval'!C4</f>
        <v>1</v>
      </c>
    </row>
    <row r="142">
      <c r="A142" s="95">
        <f>'review 1 - annotator 1 - eval'!C5</f>
        <v>1</v>
      </c>
      <c r="B142" s="96">
        <f>'review 1 - annotator 2 - eval'!C5</f>
        <v>1</v>
      </c>
    </row>
    <row r="143">
      <c r="A143" s="95">
        <f>'review 1 - annotator 1 - eval'!C6</f>
        <v>1</v>
      </c>
      <c r="B143" s="96">
        <f>'review 1 - annotator 2 - eval'!C6</f>
        <v>1</v>
      </c>
    </row>
    <row r="144">
      <c r="A144" s="95">
        <f>'review 1 - annotator 1 - eval'!C7</f>
        <v>1</v>
      </c>
      <c r="B144" s="96">
        <f>'review 1 - annotator 2 - eval'!C7</f>
        <v>1</v>
      </c>
    </row>
    <row r="145">
      <c r="A145" s="95">
        <f>'review 1 - annotator 1 - eval'!C8</f>
        <v>0</v>
      </c>
      <c r="B145" s="96">
        <f>'review 1 - annotator 2 - eval'!C8</f>
        <v>1</v>
      </c>
    </row>
    <row r="146">
      <c r="A146" s="95">
        <f>'review 1 - annotator 1 - eval'!C9</f>
        <v>1</v>
      </c>
      <c r="B146" s="96">
        <f>'review 1 - annotator 2 - eval'!C9</f>
        <v>1</v>
      </c>
    </row>
    <row r="147">
      <c r="A147" s="95">
        <f>'review 1 - annotator 1 - eval'!C10</f>
        <v>1</v>
      </c>
      <c r="B147" s="96">
        <f>'review 1 - annotator 2 - eval'!C10</f>
        <v>1</v>
      </c>
    </row>
    <row r="148">
      <c r="A148" s="95">
        <f>'review 1 - annotator 1 - eval'!C14</f>
        <v>1</v>
      </c>
      <c r="B148" s="96">
        <f>'review 1 - annotator 2 - eval'!C14</f>
        <v>1</v>
      </c>
    </row>
    <row r="149">
      <c r="A149" s="95">
        <f>'review 1 - annotator 1 - eval'!C15</f>
        <v>1</v>
      </c>
      <c r="B149" s="96">
        <f>'review 1 - annotator 2 - eval'!C15</f>
        <v>1</v>
      </c>
    </row>
    <row r="150">
      <c r="A150" s="95">
        <f>'review 1 - annotator 1 - eval'!C16</f>
        <v>1</v>
      </c>
      <c r="B150" s="96">
        <f>'review 1 - annotator 2 - eval'!C16</f>
        <v>1</v>
      </c>
    </row>
    <row r="151">
      <c r="A151" s="95">
        <f>'review 1 - annotator 1 - eval'!C17</f>
        <v>1</v>
      </c>
      <c r="B151" s="96">
        <f>'review 1 - annotator 2 - eval'!C17</f>
        <v>1</v>
      </c>
    </row>
    <row r="152">
      <c r="A152" s="95">
        <f>'review 1 - annotator 1 - eval'!C18</f>
        <v>1</v>
      </c>
      <c r="B152" s="96">
        <f>'review 1 - annotator 2 - eval'!C18</f>
        <v>1</v>
      </c>
    </row>
    <row r="153">
      <c r="A153" s="95">
        <f>'review 1 - annotator 1 - eval'!C19</f>
        <v>1</v>
      </c>
      <c r="B153" s="96">
        <f>'review 1 - annotator 2 - eval'!C19</f>
        <v>1</v>
      </c>
    </row>
    <row r="154">
      <c r="A154" s="95">
        <f>'review 1 - annotator 1 - eval'!C20</f>
        <v>1</v>
      </c>
      <c r="B154" s="96">
        <f>'review 1 - annotator 2 - eval'!C20</f>
        <v>1</v>
      </c>
    </row>
    <row r="155">
      <c r="A155" s="95">
        <f>'review 1 - annotator 1 - eval'!C24</f>
        <v>1</v>
      </c>
      <c r="B155" s="96">
        <f>'review 1 - annotator 2 - eval'!C24</f>
        <v>1</v>
      </c>
    </row>
    <row r="156">
      <c r="A156" s="95">
        <f>'review 1 - annotator 1 - eval'!C25</f>
        <v>1</v>
      </c>
      <c r="B156" s="96">
        <f>'review 1 - annotator 2 - eval'!C25</f>
        <v>1</v>
      </c>
    </row>
    <row r="157">
      <c r="A157" s="95">
        <f>'review 1 - annotator 1 - eval'!C26</f>
        <v>1</v>
      </c>
      <c r="B157" s="96">
        <f>'review 1 - annotator 2 - eval'!C26</f>
        <v>1</v>
      </c>
    </row>
    <row r="158">
      <c r="A158" s="95">
        <f>'review 1 - annotator 1 - eval'!C27</f>
        <v>1</v>
      </c>
      <c r="B158" s="96">
        <f>'review 1 - annotator 2 - eval'!C27</f>
        <v>1</v>
      </c>
    </row>
    <row r="159">
      <c r="A159" s="95">
        <f>'review 1 - annotator 1 - eval'!C28</f>
        <v>1</v>
      </c>
      <c r="B159" s="96">
        <f>'review 1 - annotator 2 - eval'!C28</f>
        <v>0</v>
      </c>
    </row>
    <row r="160">
      <c r="A160" s="95">
        <f>'review 1 - annotator 1 - eval'!C29</f>
        <v>1</v>
      </c>
      <c r="B160" s="96">
        <f>'review 1 - annotator 2 - eval'!C29</f>
        <v>1</v>
      </c>
    </row>
    <row r="161">
      <c r="A161" s="95">
        <f>'review 1 - annotator 1 - eval'!C30</f>
        <v>1</v>
      </c>
      <c r="B161" s="96">
        <f>'review 1 - annotator 2 - eval'!C30</f>
        <v>1</v>
      </c>
    </row>
    <row r="162">
      <c r="A162" s="95">
        <f>'review 1 - annotator 1 - eval'!C34</f>
        <v>1</v>
      </c>
      <c r="B162" s="96">
        <f>'review 1 - annotator 2 - eval'!C34</f>
        <v>0</v>
      </c>
    </row>
    <row r="163">
      <c r="A163" s="95">
        <f>'review 1 - annotator 1 - eval'!C35</f>
        <v>1</v>
      </c>
      <c r="B163" s="96">
        <f>'review 1 - annotator 2 - eval'!C35</f>
        <v>1</v>
      </c>
    </row>
    <row r="164">
      <c r="A164" s="95">
        <f>'review 1 - annotator 1 - eval'!C36</f>
        <v>1</v>
      </c>
      <c r="B164" s="96">
        <f>'review 1 - annotator 2 - eval'!C36</f>
        <v>1</v>
      </c>
    </row>
    <row r="165">
      <c r="A165" s="95">
        <f>'review 1 - annotator 1 - eval'!C37</f>
        <v>1</v>
      </c>
      <c r="B165" s="96">
        <f>'review 1 - annotator 2 - eval'!C37</f>
        <v>1</v>
      </c>
    </row>
    <row r="166">
      <c r="A166" s="95">
        <f>'review 1 - annotator 1 - eval'!C38</f>
        <v>0</v>
      </c>
      <c r="B166" s="96">
        <f>'review 1 - annotator 2 - eval'!C38</f>
        <v>0</v>
      </c>
    </row>
    <row r="167">
      <c r="A167" s="95">
        <f>'review 1 - annotator 1 - eval'!C39</f>
        <v>1</v>
      </c>
      <c r="B167" s="96">
        <f>'review 1 - annotator 2 - eval'!C39</f>
        <v>1</v>
      </c>
    </row>
    <row r="168">
      <c r="A168" s="95">
        <f>'review 1 - annotator 1 - eval'!C40</f>
        <v>1</v>
      </c>
      <c r="B168" s="96">
        <f>'review 1 - annotator 2 - eval'!C40</f>
        <v>1</v>
      </c>
    </row>
    <row r="169">
      <c r="A169" s="95">
        <f>'review 1 - annotator 1 - eval'!C44</f>
        <v>1</v>
      </c>
      <c r="B169" s="96">
        <f>'review 1 - annotator 2 - eval'!C44</f>
        <v>1</v>
      </c>
    </row>
    <row r="170">
      <c r="A170" s="95">
        <f>'review 1 - annotator 1 - eval'!C45</f>
        <v>1</v>
      </c>
      <c r="B170" s="96">
        <f>'review 1 - annotator 2 - eval'!C45</f>
        <v>1</v>
      </c>
    </row>
    <row r="171">
      <c r="A171" s="95">
        <f>'review 1 - annotator 1 - eval'!C46</f>
        <v>1</v>
      </c>
      <c r="B171" s="96">
        <f>'review 1 - annotator 2 - eval'!C46</f>
        <v>1</v>
      </c>
    </row>
    <row r="172">
      <c r="A172" s="95">
        <f>'review 1 - annotator 1 - eval'!C47</f>
        <v>1</v>
      </c>
      <c r="B172" s="96">
        <f>'review 1 - annotator 2 - eval'!C47</f>
        <v>1</v>
      </c>
    </row>
    <row r="173">
      <c r="A173" s="95">
        <f>'review 1 - annotator 1 - eval'!C48</f>
        <v>1</v>
      </c>
      <c r="B173" s="96">
        <f>'review 1 - annotator 2 - eval'!C48</f>
        <v>1</v>
      </c>
    </row>
    <row r="174">
      <c r="A174" s="95">
        <f>'review 1 - annotator 1 - eval'!C49</f>
        <v>1</v>
      </c>
      <c r="B174" s="96">
        <f>'review 1 - annotator 2 - eval'!C49</f>
        <v>1</v>
      </c>
    </row>
    <row r="175">
      <c r="A175" s="95">
        <f>'review 1 - annotator 1 - eval'!C50</f>
        <v>1</v>
      </c>
      <c r="B175" s="96">
        <f>'review 1 - annotator 2 - eval'!C50</f>
        <v>1</v>
      </c>
    </row>
    <row r="176">
      <c r="A176" s="95">
        <f>'review 1 - annotator 1 - eval'!C54</f>
        <v>1</v>
      </c>
      <c r="B176" s="96">
        <f>'review 1 - annotator 2 - eval'!C54</f>
        <v>1</v>
      </c>
    </row>
    <row r="177">
      <c r="A177" s="95">
        <f>'review 1 - annotator 1 - eval'!C55</f>
        <v>1</v>
      </c>
      <c r="B177" s="96">
        <f>'review 1 - annotator 2 - eval'!C55</f>
        <v>1</v>
      </c>
    </row>
    <row r="178">
      <c r="A178" s="95">
        <f>'review 1 - annotator 1 - eval'!C56</f>
        <v>1</v>
      </c>
      <c r="B178" s="96">
        <f>'review 1 - annotator 2 - eval'!C56</f>
        <v>1</v>
      </c>
    </row>
    <row r="179">
      <c r="A179" s="95">
        <f>'review 1 - annotator 1 - eval'!C57</f>
        <v>1</v>
      </c>
      <c r="B179" s="96">
        <f>'review 1 - annotator 2 - eval'!C57</f>
        <v>1</v>
      </c>
    </row>
    <row r="180">
      <c r="A180" s="95">
        <f>'review 1 - annotator 1 - eval'!C58</f>
        <v>1</v>
      </c>
      <c r="B180" s="96">
        <f>'review 1 - annotator 2 - eval'!C58</f>
        <v>1</v>
      </c>
    </row>
    <row r="181">
      <c r="A181" s="95">
        <f>'review 1 - annotator 1 - eval'!C59</f>
        <v>1</v>
      </c>
      <c r="B181" s="96">
        <f>'review 1 - annotator 2 - eval'!C59</f>
        <v>1</v>
      </c>
    </row>
    <row r="182">
      <c r="A182" s="95">
        <f>'review 1 - annotator 1 - eval'!C60</f>
        <v>1</v>
      </c>
      <c r="B182" s="96">
        <f>'review 1 - annotator 2 - eval'!C60</f>
        <v>1</v>
      </c>
    </row>
    <row r="183">
      <c r="A183" s="95">
        <f>'review 1 - annotator 1 - eval'!C64</f>
        <v>0</v>
      </c>
      <c r="B183" s="96">
        <f>'review 1 - annotator 2 - eval'!C64</f>
        <v>0</v>
      </c>
    </row>
    <row r="184">
      <c r="A184" s="95">
        <f>'review 1 - annotator 1 - eval'!C65</f>
        <v>1</v>
      </c>
      <c r="B184" s="96">
        <f>'review 1 - annotator 2 - eval'!C65</f>
        <v>1</v>
      </c>
    </row>
    <row r="185">
      <c r="A185" s="95">
        <f>'review 1 - annotator 1 - eval'!C66</f>
        <v>0</v>
      </c>
      <c r="B185" s="96">
        <f>'review 1 - annotator 2 - eval'!C66</f>
        <v>0</v>
      </c>
    </row>
    <row r="186">
      <c r="A186" s="95">
        <f>'review 1 - annotator 1 - eval'!C67</f>
        <v>1</v>
      </c>
      <c r="B186" s="96">
        <f>'review 1 - annotator 2 - eval'!C67</f>
        <v>1</v>
      </c>
    </row>
    <row r="187">
      <c r="A187" s="95">
        <f>'review 1 - annotator 1 - eval'!C68</f>
        <v>1</v>
      </c>
      <c r="B187" s="96">
        <f>'review 1 - annotator 2 - eval'!C68</f>
        <v>1</v>
      </c>
    </row>
    <row r="188">
      <c r="A188" s="95">
        <f>'review 1 - annotator 1 - eval'!C69</f>
        <v>1</v>
      </c>
      <c r="B188" s="96">
        <f>'review 1 - annotator 2 - eval'!C69</f>
        <v>1</v>
      </c>
    </row>
    <row r="189">
      <c r="A189" s="95">
        <f>'review 1 - annotator 1 - eval'!C70</f>
        <v>1</v>
      </c>
      <c r="B189" s="96">
        <f>'review 1 - annotator 2 - eval'!C70</f>
        <v>1</v>
      </c>
    </row>
    <row r="190">
      <c r="A190" s="95">
        <f>'review 1 - annotator 1 - eval'!C74</f>
        <v>1</v>
      </c>
      <c r="B190" s="96">
        <f>'review 1 - annotator 2 - eval'!C74</f>
        <v>1</v>
      </c>
    </row>
    <row r="191">
      <c r="A191" s="95">
        <f>'review 1 - annotator 1 - eval'!C75</f>
        <v>1</v>
      </c>
      <c r="B191" s="96">
        <f>'review 1 - annotator 2 - eval'!C75</f>
        <v>1</v>
      </c>
    </row>
    <row r="192">
      <c r="A192" s="95">
        <f>'review 1 - annotator 1 - eval'!C76</f>
        <v>1</v>
      </c>
      <c r="B192" s="96">
        <f>'review 1 - annotator 2 - eval'!C76</f>
        <v>1</v>
      </c>
    </row>
    <row r="193">
      <c r="A193" s="95">
        <f>'review 1 - annotator 1 - eval'!C77</f>
        <v>1</v>
      </c>
      <c r="B193" s="96">
        <f>'review 1 - annotator 2 - eval'!C77</f>
        <v>1</v>
      </c>
    </row>
    <row r="194">
      <c r="A194" s="95">
        <f>'review 1 - annotator 1 - eval'!C78</f>
        <v>1</v>
      </c>
      <c r="B194" s="96">
        <f>'review 1 - annotator 2 - eval'!C78</f>
        <v>1</v>
      </c>
    </row>
    <row r="195">
      <c r="A195" s="95">
        <f>'review 1 - annotator 1 - eval'!C79</f>
        <v>1</v>
      </c>
      <c r="B195" s="96">
        <f>'review 1 - annotator 2 - eval'!C79</f>
        <v>1</v>
      </c>
    </row>
    <row r="196">
      <c r="A196" s="95">
        <f>'review 1 - annotator 1 - eval'!C80</f>
        <v>1</v>
      </c>
      <c r="B196" s="96">
        <f>'review 1 - annotator 2 - eval'!C80</f>
        <v>1</v>
      </c>
    </row>
    <row r="197">
      <c r="A197" s="95">
        <f>'review 1 - annotator 1 - eval'!C84</f>
        <v>1</v>
      </c>
      <c r="B197" s="96">
        <f>'review 1 - annotator 2 - eval'!C84</f>
        <v>1</v>
      </c>
    </row>
    <row r="198">
      <c r="A198" s="95">
        <f>'review 1 - annotator 1 - eval'!C85</f>
        <v>1</v>
      </c>
      <c r="B198" s="96">
        <f>'review 1 - annotator 2 - eval'!C85</f>
        <v>1</v>
      </c>
    </row>
    <row r="199">
      <c r="A199" s="95">
        <f>'review 1 - annotator 1 - eval'!C86</f>
        <v>1</v>
      </c>
      <c r="B199" s="96">
        <f>'review 1 - annotator 2 - eval'!C86</f>
        <v>1</v>
      </c>
    </row>
    <row r="200">
      <c r="A200" s="95">
        <f>'review 1 - annotator 1 - eval'!C87</f>
        <v>1</v>
      </c>
      <c r="B200" s="96">
        <f>'review 1 - annotator 2 - eval'!C87</f>
        <v>1</v>
      </c>
    </row>
    <row r="201">
      <c r="A201" s="95">
        <f>'review 1 - annotator 1 - eval'!C88</f>
        <v>1</v>
      </c>
      <c r="B201" s="96">
        <f>'review 1 - annotator 2 - eval'!C88</f>
        <v>1</v>
      </c>
    </row>
    <row r="202">
      <c r="A202" s="95">
        <f>'review 1 - annotator 1 - eval'!C89</f>
        <v>1</v>
      </c>
      <c r="B202" s="96">
        <f>'review 1 - annotator 2 - eval'!C89</f>
        <v>1</v>
      </c>
    </row>
    <row r="203">
      <c r="A203" s="95">
        <f>'review 1 - annotator 1 - eval'!C90</f>
        <v>1</v>
      </c>
      <c r="B203" s="96">
        <f>'review 1 - annotator 2 - eval'!C90</f>
        <v>1</v>
      </c>
    </row>
    <row r="204">
      <c r="A204" s="95">
        <f>'review 1 - annotator 1 - eval'!C94</f>
        <v>1</v>
      </c>
      <c r="B204" s="96">
        <f>'review 1 - annotator 2 - eval'!C94</f>
        <v>1</v>
      </c>
    </row>
    <row r="205">
      <c r="A205" s="95">
        <f>'review 1 - annotator 1 - eval'!C95</f>
        <v>1</v>
      </c>
      <c r="B205" s="96">
        <f>'review 1 - annotator 2 - eval'!C95</f>
        <v>1</v>
      </c>
    </row>
    <row r="206">
      <c r="A206" s="95">
        <f>'review 1 - annotator 1 - eval'!C96</f>
        <v>1</v>
      </c>
      <c r="B206" s="96">
        <f>'review 1 - annotator 2 - eval'!C96</f>
        <v>1</v>
      </c>
    </row>
    <row r="207">
      <c r="A207" s="95">
        <f>'review 1 - annotator 1 - eval'!C97</f>
        <v>1</v>
      </c>
      <c r="B207" s="96">
        <f>'review 1 - annotator 2 - eval'!C97</f>
        <v>1</v>
      </c>
    </row>
    <row r="208">
      <c r="A208" s="95">
        <f>'review 1 - annotator 1 - eval'!C98</f>
        <v>1</v>
      </c>
      <c r="B208" s="96">
        <f>'review 1 - annotator 2 - eval'!C98</f>
        <v>1</v>
      </c>
    </row>
    <row r="209">
      <c r="A209" s="95">
        <f>'review 1 - annotator 1 - eval'!C99</f>
        <v>1</v>
      </c>
      <c r="B209" s="96">
        <f>'review 1 - annotator 2 - eval'!C99</f>
        <v>1</v>
      </c>
    </row>
    <row r="210">
      <c r="A210" s="95">
        <f>'review 1 - annotator 1 - eval'!C100</f>
        <v>1</v>
      </c>
      <c r="B210" s="96">
        <f>'review 1 - annotator 2 - eval'!C100</f>
        <v>1</v>
      </c>
    </row>
    <row r="211">
      <c r="A211" s="95">
        <f>'review 1 - annotator 1 - eval'!C104</f>
        <v>1</v>
      </c>
      <c r="B211" s="96">
        <f>'review 1 - annotator 2 - eval'!C104</f>
        <v>1</v>
      </c>
    </row>
    <row r="212">
      <c r="A212" s="95">
        <f>'review 1 - annotator 1 - eval'!C105</f>
        <v>1</v>
      </c>
      <c r="B212" s="96">
        <f>'review 1 - annotator 2 - eval'!C105</f>
        <v>1</v>
      </c>
    </row>
    <row r="213">
      <c r="A213" s="95">
        <f>'review 1 - annotator 1 - eval'!C106</f>
        <v>0</v>
      </c>
      <c r="B213" s="96">
        <f>'review 1 - annotator 2 - eval'!C106</f>
        <v>1</v>
      </c>
    </row>
    <row r="214">
      <c r="A214" s="95">
        <f>'review 1 - annotator 1 - eval'!C107</f>
        <v>1</v>
      </c>
      <c r="B214" s="96">
        <f>'review 1 - annotator 2 - eval'!C107</f>
        <v>1</v>
      </c>
    </row>
    <row r="215">
      <c r="A215" s="95">
        <f>'review 1 - annotator 1 - eval'!C108</f>
        <v>1</v>
      </c>
      <c r="B215" s="96">
        <f>'review 1 - annotator 2 - eval'!C108</f>
        <v>1</v>
      </c>
    </row>
    <row r="216">
      <c r="A216" s="95">
        <f>'review 1 - annotator 1 - eval'!C109</f>
        <v>1</v>
      </c>
      <c r="B216" s="96">
        <f>'review 1 - annotator 2 - eval'!C109</f>
        <v>1</v>
      </c>
    </row>
    <row r="217">
      <c r="A217" s="95">
        <f>'review 1 - annotator 1 - eval'!C110</f>
        <v>1</v>
      </c>
      <c r="B217" s="96">
        <f>'review 1 - annotator 2 - eval'!C110</f>
        <v>1</v>
      </c>
    </row>
    <row r="218">
      <c r="A218" s="95">
        <f>'review 1 - annotator 1 - eval'!C114</f>
        <v>1</v>
      </c>
      <c r="B218" s="96">
        <f>'review 1 - annotator 2 - eval'!C114</f>
        <v>1</v>
      </c>
    </row>
    <row r="219">
      <c r="A219" s="95">
        <f>'review 1 - annotator 1 - eval'!C115</f>
        <v>1</v>
      </c>
      <c r="B219" s="96">
        <f>'review 1 - annotator 2 - eval'!C115</f>
        <v>1</v>
      </c>
    </row>
    <row r="220">
      <c r="A220" s="95">
        <f>'review 1 - annotator 1 - eval'!C116</f>
        <v>1</v>
      </c>
      <c r="B220" s="96">
        <f>'review 1 - annotator 2 - eval'!C116</f>
        <v>1</v>
      </c>
    </row>
    <row r="221">
      <c r="A221" s="95">
        <f>'review 1 - annotator 1 - eval'!C117</f>
        <v>1</v>
      </c>
      <c r="B221" s="96">
        <f>'review 1 - annotator 2 - eval'!C117</f>
        <v>1</v>
      </c>
    </row>
    <row r="222">
      <c r="A222" s="95">
        <f>'review 1 - annotator 1 - eval'!C118</f>
        <v>1</v>
      </c>
      <c r="B222" s="96">
        <f>'review 1 - annotator 2 - eval'!C118</f>
        <v>1</v>
      </c>
    </row>
    <row r="223">
      <c r="A223" s="95">
        <f>'review 1 - annotator 1 - eval'!C119</f>
        <v>1</v>
      </c>
      <c r="B223" s="96">
        <f>'review 1 - annotator 2 - eval'!C119</f>
        <v>1</v>
      </c>
    </row>
    <row r="224">
      <c r="A224" s="95">
        <f>'review 1 - annotator 1 - eval'!C120</f>
        <v>1</v>
      </c>
      <c r="B224" s="96">
        <f>'review 1 - annotator 2 - eval'!C120</f>
        <v>1</v>
      </c>
    </row>
    <row r="225">
      <c r="A225" s="95">
        <f>'review 1 - annotator 1 - eval'!C124</f>
        <v>1</v>
      </c>
      <c r="B225" s="96">
        <f>'review 1 - annotator 2 - eval'!C124</f>
        <v>1</v>
      </c>
    </row>
    <row r="226">
      <c r="A226" s="95">
        <f>'review 1 - annotator 1 - eval'!C125</f>
        <v>1</v>
      </c>
      <c r="B226" s="96">
        <f>'review 1 - annotator 2 - eval'!C125</f>
        <v>1</v>
      </c>
    </row>
    <row r="227">
      <c r="A227" s="95">
        <f>'review 1 - annotator 1 - eval'!C126</f>
        <v>1</v>
      </c>
      <c r="B227" s="96">
        <f>'review 1 - annotator 2 - eval'!C126</f>
        <v>1</v>
      </c>
    </row>
    <row r="228">
      <c r="A228" s="95">
        <f>'review 1 - annotator 1 - eval'!C127</f>
        <v>1</v>
      </c>
      <c r="B228" s="96">
        <f>'review 1 - annotator 2 - eval'!C127</f>
        <v>1</v>
      </c>
    </row>
    <row r="229">
      <c r="A229" s="95">
        <f>'review 1 - annotator 1 - eval'!C128</f>
        <v>1</v>
      </c>
      <c r="B229" s="96">
        <f>'review 1 - annotator 2 - eval'!C128</f>
        <v>1</v>
      </c>
    </row>
    <row r="230">
      <c r="A230" s="95">
        <f>'review 1 - annotator 1 - eval'!C129</f>
        <v>1</v>
      </c>
      <c r="B230" s="96">
        <f>'review 1 - annotator 2 - eval'!C129</f>
        <v>1</v>
      </c>
    </row>
    <row r="231">
      <c r="A231" s="95">
        <f>'review 1 - annotator 1 - eval'!C130</f>
        <v>1</v>
      </c>
      <c r="B231" s="96">
        <f>'review 1 - annotator 2 - eval'!C130</f>
        <v>1</v>
      </c>
    </row>
    <row r="232">
      <c r="A232" s="95">
        <f>'review 1 - annotator 1 - eval'!C134</f>
        <v>1</v>
      </c>
      <c r="B232" s="96">
        <f>'review 1 - annotator 2 - eval'!C134</f>
        <v>1</v>
      </c>
    </row>
    <row r="233">
      <c r="A233" s="95">
        <f>'review 1 - annotator 1 - eval'!C135</f>
        <v>1</v>
      </c>
      <c r="B233" s="96">
        <f>'review 1 - annotator 2 - eval'!C135</f>
        <v>1</v>
      </c>
    </row>
    <row r="234">
      <c r="A234" s="95">
        <f>'review 1 - annotator 1 - eval'!C136</f>
        <v>1</v>
      </c>
      <c r="B234" s="96">
        <f>'review 1 - annotator 2 - eval'!C136</f>
        <v>0</v>
      </c>
    </row>
    <row r="235">
      <c r="A235" s="95">
        <f>'review 1 - annotator 1 - eval'!C137</f>
        <v>1</v>
      </c>
      <c r="B235" s="96">
        <f>'review 1 - annotator 2 - eval'!C137</f>
        <v>1</v>
      </c>
    </row>
    <row r="236">
      <c r="A236" s="95">
        <f>'review 1 - annotator 1 - eval'!C138</f>
        <v>1</v>
      </c>
      <c r="B236" s="96">
        <f>'review 1 - annotator 2 - eval'!C138</f>
        <v>0</v>
      </c>
    </row>
    <row r="237">
      <c r="A237" s="95">
        <f>'review 1 - annotator 1 - eval'!C139</f>
        <v>1</v>
      </c>
      <c r="B237" s="96">
        <f>'review 1 - annotator 2 - eval'!C139</f>
        <v>1</v>
      </c>
    </row>
    <row r="238">
      <c r="A238" s="95">
        <f>'review 1 - annotator 1 - eval'!C140</f>
        <v>1</v>
      </c>
      <c r="B238" s="96">
        <f>'review 1 - annotator 2 - eval'!C140</f>
        <v>1</v>
      </c>
    </row>
    <row r="239">
      <c r="A239" s="95">
        <f>'review 1 - annotator 1 - eval'!C144</f>
        <v>1</v>
      </c>
      <c r="B239" s="96">
        <f>'review 1 - annotator 2 - eval'!C144</f>
        <v>1</v>
      </c>
    </row>
    <row r="240">
      <c r="A240" s="95">
        <f>'review 1 - annotator 1 - eval'!C145</f>
        <v>1</v>
      </c>
      <c r="B240" s="96">
        <f>'review 1 - annotator 2 - eval'!C145</f>
        <v>1</v>
      </c>
    </row>
    <row r="241">
      <c r="A241" s="95">
        <f>'review 1 - annotator 1 - eval'!C146</f>
        <v>1</v>
      </c>
      <c r="B241" s="96">
        <f>'review 1 - annotator 2 - eval'!C146</f>
        <v>0</v>
      </c>
    </row>
    <row r="242">
      <c r="A242" s="95">
        <f>'review 1 - annotator 1 - eval'!C147</f>
        <v>1</v>
      </c>
      <c r="B242" s="96">
        <f>'review 1 - annotator 2 - eval'!C147</f>
        <v>1</v>
      </c>
    </row>
    <row r="243">
      <c r="A243" s="95">
        <f>'review 1 - annotator 1 - eval'!C148</f>
        <v>1</v>
      </c>
      <c r="B243" s="96">
        <f>'review 1 - annotator 2 - eval'!C148</f>
        <v>1</v>
      </c>
    </row>
    <row r="244">
      <c r="A244" s="95">
        <f>'review 1 - annotator 1 - eval'!C149</f>
        <v>1</v>
      </c>
      <c r="B244" s="96">
        <f>'review 1 - annotator 2 - eval'!C149</f>
        <v>1</v>
      </c>
    </row>
    <row r="245">
      <c r="A245" s="95">
        <f>'review 1 - annotator 1 - eval'!C150</f>
        <v>1</v>
      </c>
      <c r="B245" s="96">
        <f>'review 1 - annotator 2 - eval'!C150</f>
        <v>1</v>
      </c>
    </row>
    <row r="246">
      <c r="A246" s="95">
        <f>'review 1 - annotator 1 - eval'!C154</f>
        <v>0</v>
      </c>
      <c r="B246" s="96">
        <f>'review 1 - annotator 2 - eval'!C154</f>
        <v>0</v>
      </c>
    </row>
    <row r="247">
      <c r="A247" s="95">
        <f>'review 1 - annotator 1 - eval'!C155</f>
        <v>1</v>
      </c>
      <c r="B247" s="96">
        <f>'review 1 - annotator 2 - eval'!C155</f>
        <v>1</v>
      </c>
    </row>
    <row r="248">
      <c r="A248" s="95">
        <f>'review 1 - annotator 1 - eval'!C156</f>
        <v>0</v>
      </c>
      <c r="B248" s="96">
        <f>'review 1 - annotator 2 - eval'!C156</f>
        <v>0</v>
      </c>
    </row>
    <row r="249">
      <c r="A249" s="95">
        <f>'review 1 - annotator 1 - eval'!C157</f>
        <v>1</v>
      </c>
      <c r="B249" s="96">
        <f>'review 1 - annotator 2 - eval'!C157</f>
        <v>1</v>
      </c>
    </row>
    <row r="250">
      <c r="A250" s="95">
        <f>'review 1 - annotator 1 - eval'!C158</f>
        <v>1</v>
      </c>
      <c r="B250" s="96">
        <f>'review 1 - annotator 2 - eval'!C158</f>
        <v>1</v>
      </c>
    </row>
    <row r="251">
      <c r="A251" s="95">
        <f>'review 1 - annotator 1 - eval'!C159</f>
        <v>1</v>
      </c>
      <c r="B251" s="96">
        <f>'review 1 - annotator 2 - eval'!C159</f>
        <v>1</v>
      </c>
    </row>
    <row r="252">
      <c r="A252" s="95">
        <f>'review 1 - annotator 1 - eval'!C160</f>
        <v>1</v>
      </c>
      <c r="B252" s="96">
        <f>'review 1 - annotator 2 - eval'!C160</f>
        <v>1</v>
      </c>
    </row>
    <row r="253">
      <c r="A253" s="95">
        <f>'review 1 - annotator 1 - eval'!C164</f>
        <v>1</v>
      </c>
      <c r="B253" s="96">
        <f>'review 1 - annotator 2 - eval'!C164</f>
        <v>1</v>
      </c>
    </row>
    <row r="254">
      <c r="A254" s="95">
        <f>'review 1 - annotator 1 - eval'!C165</f>
        <v>1</v>
      </c>
      <c r="B254" s="96">
        <f>'review 1 - annotator 2 - eval'!C165</f>
        <v>1</v>
      </c>
    </row>
    <row r="255">
      <c r="A255" s="95">
        <f>'review 1 - annotator 1 - eval'!C166</f>
        <v>1</v>
      </c>
      <c r="B255" s="96">
        <f>'review 1 - annotator 2 - eval'!C166</f>
        <v>1</v>
      </c>
    </row>
    <row r="256">
      <c r="A256" s="95">
        <f>'review 1 - annotator 1 - eval'!C167</f>
        <v>1</v>
      </c>
      <c r="B256" s="96">
        <f>'review 1 - annotator 2 - eval'!C167</f>
        <v>1</v>
      </c>
    </row>
    <row r="257">
      <c r="A257" s="95">
        <f>'review 1 - annotator 1 - eval'!C168</f>
        <v>1</v>
      </c>
      <c r="B257" s="96">
        <f>'review 1 - annotator 2 - eval'!C168</f>
        <v>1</v>
      </c>
    </row>
    <row r="258">
      <c r="A258" s="95">
        <f>'review 1 - annotator 1 - eval'!C169</f>
        <v>1</v>
      </c>
      <c r="B258" s="96">
        <f>'review 1 - annotator 2 - eval'!C169</f>
        <v>1</v>
      </c>
    </row>
    <row r="259">
      <c r="A259" s="95">
        <f>'review 1 - annotator 1 - eval'!C170</f>
        <v>1</v>
      </c>
      <c r="B259" s="96">
        <f>'review 1 - annotator 2 - eval'!C170</f>
        <v>1</v>
      </c>
    </row>
    <row r="260">
      <c r="A260" s="95">
        <f>'review 1 - annotator 1 - eval'!C174</f>
        <v>0</v>
      </c>
      <c r="B260" s="96">
        <f>'review 1 - annotator 2 - eval'!C174</f>
        <v>1</v>
      </c>
    </row>
    <row r="261">
      <c r="A261" s="95">
        <f>'review 1 - annotator 1 - eval'!C175</f>
        <v>1</v>
      </c>
      <c r="B261" s="96">
        <f>'review 1 - annotator 2 - eval'!C175</f>
        <v>1</v>
      </c>
    </row>
    <row r="262">
      <c r="A262" s="95">
        <f>'review 1 - annotator 1 - eval'!C176</f>
        <v>0</v>
      </c>
      <c r="B262" s="96">
        <f>'review 1 - annotator 2 - eval'!C176</f>
        <v>1</v>
      </c>
    </row>
    <row r="263">
      <c r="A263" s="95">
        <f>'review 1 - annotator 1 - eval'!C177</f>
        <v>1</v>
      </c>
      <c r="B263" s="96">
        <f>'review 1 - annotator 2 - eval'!C177</f>
        <v>1</v>
      </c>
    </row>
    <row r="264">
      <c r="A264" s="95">
        <f>'review 1 - annotator 1 - eval'!C178</f>
        <v>1</v>
      </c>
      <c r="B264" s="96">
        <f>'review 1 - annotator 2 - eval'!C178</f>
        <v>1</v>
      </c>
    </row>
    <row r="265">
      <c r="A265" s="95">
        <f>'review 1 - annotator 1 - eval'!C179</f>
        <v>1</v>
      </c>
      <c r="B265" s="96">
        <f>'review 1 - annotator 2 - eval'!C179</f>
        <v>1</v>
      </c>
    </row>
    <row r="266">
      <c r="A266" s="95">
        <f>'review 1 - annotator 1 - eval'!C180</f>
        <v>1</v>
      </c>
      <c r="B266" s="96">
        <f>'review 1 - annotator 2 - eval'!C180</f>
        <v>1</v>
      </c>
    </row>
    <row r="267">
      <c r="A267" s="95">
        <f>'review 1 - annotator 1 - eval'!C184</f>
        <v>1</v>
      </c>
      <c r="B267" s="96">
        <f>'review 1 - annotator 2 - eval'!C184</f>
        <v>1</v>
      </c>
    </row>
    <row r="268">
      <c r="A268" s="95">
        <f>'review 1 - annotator 1 - eval'!C185</f>
        <v>1</v>
      </c>
      <c r="B268" s="96">
        <f>'review 1 - annotator 2 - eval'!C185</f>
        <v>1</v>
      </c>
    </row>
    <row r="269">
      <c r="A269" s="95">
        <f>'review 1 - annotator 1 - eval'!C186</f>
        <v>1</v>
      </c>
      <c r="B269" s="96">
        <f>'review 1 - annotator 2 - eval'!C186</f>
        <v>1</v>
      </c>
    </row>
    <row r="270">
      <c r="A270" s="95">
        <f>'review 1 - annotator 1 - eval'!C187</f>
        <v>1</v>
      </c>
      <c r="B270" s="96">
        <f>'review 1 - annotator 2 - eval'!C187</f>
        <v>1</v>
      </c>
    </row>
    <row r="271">
      <c r="A271" s="95">
        <f>'review 1 - annotator 1 - eval'!C188</f>
        <v>1</v>
      </c>
      <c r="B271" s="96">
        <f>'review 1 - annotator 2 - eval'!C188</f>
        <v>1</v>
      </c>
    </row>
    <row r="272">
      <c r="A272" s="95">
        <f>'review 1 - annotator 1 - eval'!C189</f>
        <v>1</v>
      </c>
      <c r="B272" s="96">
        <f>'review 1 - annotator 2 - eval'!C189</f>
        <v>1</v>
      </c>
    </row>
    <row r="273">
      <c r="A273" s="95">
        <f>'review 1 - annotator 1 - eval'!C190</f>
        <v>1</v>
      </c>
      <c r="B273" s="96">
        <f>'review 1 - annotator 2 - eval'!C190</f>
        <v>1</v>
      </c>
    </row>
    <row r="274">
      <c r="A274" s="95">
        <f>'review 1 - annotator 1 - eval'!C194</f>
        <v>0</v>
      </c>
      <c r="B274" s="96">
        <f>'review 1 - annotator 2 - eval'!C194</f>
        <v>0</v>
      </c>
    </row>
    <row r="275">
      <c r="A275" s="95">
        <f>'review 1 - annotator 1 - eval'!C195</f>
        <v>1</v>
      </c>
      <c r="B275" s="96">
        <f>'review 1 - annotator 2 - eval'!C195</f>
        <v>1</v>
      </c>
    </row>
    <row r="276">
      <c r="A276" s="95">
        <f>'review 1 - annotator 1 - eval'!C196</f>
        <v>0</v>
      </c>
      <c r="B276" s="96">
        <f>'review 1 - annotator 2 - eval'!C196</f>
        <v>0</v>
      </c>
    </row>
    <row r="277">
      <c r="A277" s="95">
        <f>'review 1 - annotator 1 - eval'!C197</f>
        <v>1</v>
      </c>
      <c r="B277" s="96">
        <f>'review 1 - annotator 2 - eval'!C197</f>
        <v>1</v>
      </c>
    </row>
    <row r="278">
      <c r="A278" s="95">
        <f>'review 1 - annotator 1 - eval'!C198</f>
        <v>1</v>
      </c>
      <c r="B278" s="96">
        <f>'review 1 - annotator 2 - eval'!C198</f>
        <v>1</v>
      </c>
    </row>
    <row r="279">
      <c r="A279" s="95">
        <f>'review 1 - annotator 1 - eval'!C199</f>
        <v>1</v>
      </c>
      <c r="B279" s="96">
        <f>'review 1 - annotator 2 - eval'!C199</f>
        <v>1</v>
      </c>
    </row>
    <row r="280">
      <c r="A280" s="95">
        <f>'review 1 - annotator 1 - eval'!C200</f>
        <v>1</v>
      </c>
      <c r="B280" s="96">
        <f>'review 1 - annotator 2 - eval'!C200</f>
        <v>1</v>
      </c>
    </row>
    <row r="281">
      <c r="A281" s="95">
        <f>'review 1 - annotator 1 - eval'!D4</f>
        <v>1</v>
      </c>
      <c r="B281" s="96">
        <f>'review 1 - annotator 2 - eval'!D4</f>
        <v>1</v>
      </c>
    </row>
    <row r="282">
      <c r="A282" s="95">
        <f>'review 1 - annotator 1 - eval'!D5</f>
        <v>1</v>
      </c>
      <c r="B282" s="96">
        <f>'review 1 - annotator 2 - eval'!D5</f>
        <v>1</v>
      </c>
    </row>
    <row r="283">
      <c r="A283" s="95">
        <f>'review 1 - annotator 1 - eval'!D6</f>
        <v>1</v>
      </c>
      <c r="B283" s="96">
        <f>'review 1 - annotator 2 - eval'!D6</f>
        <v>1</v>
      </c>
    </row>
    <row r="284">
      <c r="A284" s="95">
        <f>'review 1 - annotator 1 - eval'!D7</f>
        <v>1</v>
      </c>
      <c r="B284" s="96">
        <f>'review 1 - annotator 2 - eval'!D7</f>
        <v>1</v>
      </c>
    </row>
    <row r="285">
      <c r="A285" s="95">
        <f>'review 1 - annotator 1 - eval'!D8</f>
        <v>1</v>
      </c>
      <c r="B285" s="96">
        <f>'review 1 - annotator 2 - eval'!D8</f>
        <v>1</v>
      </c>
    </row>
    <row r="286">
      <c r="A286" s="95">
        <f>'review 1 - annotator 1 - eval'!D9</f>
        <v>1</v>
      </c>
      <c r="B286" s="96">
        <f>'review 1 - annotator 2 - eval'!D9</f>
        <v>1</v>
      </c>
    </row>
    <row r="287">
      <c r="A287" s="95">
        <f>'review 1 - annotator 1 - eval'!D10</f>
        <v>1</v>
      </c>
      <c r="B287" s="96">
        <f>'review 1 - annotator 2 - eval'!D10</f>
        <v>1</v>
      </c>
    </row>
    <row r="288">
      <c r="A288" s="95">
        <f>'review 1 - annotator 1 - eval'!D14</f>
        <v>1</v>
      </c>
      <c r="B288" s="96">
        <f>'review 1 - annotator 2 - eval'!D14</f>
        <v>1</v>
      </c>
    </row>
    <row r="289">
      <c r="A289" s="95">
        <f>'review 1 - annotator 1 - eval'!D15</f>
        <v>1</v>
      </c>
      <c r="B289" s="96">
        <f>'review 1 - annotator 2 - eval'!D15</f>
        <v>1</v>
      </c>
    </row>
    <row r="290">
      <c r="A290" s="95">
        <f>'review 1 - annotator 1 - eval'!D16</f>
        <v>1</v>
      </c>
      <c r="B290" s="96">
        <f>'review 1 - annotator 2 - eval'!D16</f>
        <v>1</v>
      </c>
    </row>
    <row r="291">
      <c r="A291" s="95">
        <f>'review 1 - annotator 1 - eval'!D17</f>
        <v>1</v>
      </c>
      <c r="B291" s="96">
        <f>'review 1 - annotator 2 - eval'!D17</f>
        <v>1</v>
      </c>
    </row>
    <row r="292">
      <c r="A292" s="95">
        <f>'review 1 - annotator 1 - eval'!D18</f>
        <v>1</v>
      </c>
      <c r="B292" s="96">
        <f>'review 1 - annotator 2 - eval'!D18</f>
        <v>1</v>
      </c>
    </row>
    <row r="293">
      <c r="A293" s="95">
        <f>'review 1 - annotator 1 - eval'!D19</f>
        <v>1</v>
      </c>
      <c r="B293" s="96">
        <f>'review 1 - annotator 2 - eval'!D19</f>
        <v>1</v>
      </c>
    </row>
    <row r="294">
      <c r="A294" s="95">
        <f>'review 1 - annotator 1 - eval'!D20</f>
        <v>1</v>
      </c>
      <c r="B294" s="96">
        <f>'review 1 - annotator 2 - eval'!D20</f>
        <v>1</v>
      </c>
    </row>
    <row r="295">
      <c r="A295" s="95">
        <f>'review 1 - annotator 1 - eval'!D24</f>
        <v>1</v>
      </c>
      <c r="B295" s="96">
        <f>'review 1 - annotator 2 - eval'!D24</f>
        <v>1</v>
      </c>
    </row>
    <row r="296">
      <c r="A296" s="95">
        <f>'review 1 - annotator 1 - eval'!D25</f>
        <v>1</v>
      </c>
      <c r="B296" s="96">
        <f>'review 1 - annotator 2 - eval'!D25</f>
        <v>1</v>
      </c>
    </row>
    <row r="297">
      <c r="A297" s="95">
        <f>'review 1 - annotator 1 - eval'!D26</f>
        <v>1</v>
      </c>
      <c r="B297" s="96">
        <f>'review 1 - annotator 2 - eval'!D26</f>
        <v>1</v>
      </c>
    </row>
    <row r="298">
      <c r="A298" s="95">
        <f>'review 1 - annotator 1 - eval'!D27</f>
        <v>1</v>
      </c>
      <c r="B298" s="96">
        <f>'review 1 - annotator 2 - eval'!D27</f>
        <v>1</v>
      </c>
    </row>
    <row r="299">
      <c r="A299" s="95">
        <f>'review 1 - annotator 1 - eval'!D28</f>
        <v>1</v>
      </c>
      <c r="B299" s="96">
        <f>'review 1 - annotator 2 - eval'!D28</f>
        <v>1</v>
      </c>
    </row>
    <row r="300">
      <c r="A300" s="95">
        <f>'review 1 - annotator 1 - eval'!D29</f>
        <v>1</v>
      </c>
      <c r="B300" s="96">
        <f>'review 1 - annotator 2 - eval'!D29</f>
        <v>1</v>
      </c>
    </row>
    <row r="301">
      <c r="A301" s="95">
        <f>'review 1 - annotator 1 - eval'!D30</f>
        <v>1</v>
      </c>
      <c r="B301" s="96">
        <f>'review 1 - annotator 2 - eval'!D30</f>
        <v>1</v>
      </c>
    </row>
    <row r="302">
      <c r="A302" s="95">
        <f>'review 1 - annotator 1 - eval'!D34</f>
        <v>1</v>
      </c>
      <c r="B302" s="96">
        <f>'review 1 - annotator 2 - eval'!D34</f>
        <v>1</v>
      </c>
    </row>
    <row r="303">
      <c r="A303" s="95">
        <f>'review 1 - annotator 1 - eval'!D35</f>
        <v>1</v>
      </c>
      <c r="B303" s="96">
        <f>'review 1 - annotator 2 - eval'!D35</f>
        <v>1</v>
      </c>
    </row>
    <row r="304">
      <c r="A304" s="95">
        <f>'review 1 - annotator 1 - eval'!D36</f>
        <v>1</v>
      </c>
      <c r="B304" s="96">
        <f>'review 1 - annotator 2 - eval'!D36</f>
        <v>1</v>
      </c>
    </row>
    <row r="305">
      <c r="A305" s="95">
        <f>'review 1 - annotator 1 - eval'!D37</f>
        <v>1</v>
      </c>
      <c r="B305" s="96">
        <f>'review 1 - annotator 2 - eval'!D37</f>
        <v>1</v>
      </c>
    </row>
    <row r="306">
      <c r="A306" s="95">
        <f>'review 1 - annotator 1 - eval'!D38</f>
        <v>1</v>
      </c>
      <c r="B306" s="96">
        <f>'review 1 - annotator 2 - eval'!D38</f>
        <v>1</v>
      </c>
    </row>
    <row r="307">
      <c r="A307" s="95">
        <f>'review 1 - annotator 1 - eval'!D39</f>
        <v>1</v>
      </c>
      <c r="B307" s="96">
        <f>'review 1 - annotator 2 - eval'!D39</f>
        <v>1</v>
      </c>
    </row>
    <row r="308">
      <c r="A308" s="95">
        <f>'review 1 - annotator 1 - eval'!D40</f>
        <v>1</v>
      </c>
      <c r="B308" s="96">
        <f>'review 1 - annotator 2 - eval'!D40</f>
        <v>1</v>
      </c>
    </row>
    <row r="309">
      <c r="A309" s="95">
        <f>'review 1 - annotator 1 - eval'!D44</f>
        <v>1</v>
      </c>
      <c r="B309" s="96">
        <f>'review 1 - annotator 2 - eval'!D44</f>
        <v>1</v>
      </c>
    </row>
    <row r="310">
      <c r="A310" s="95">
        <f>'review 1 - annotator 1 - eval'!D45</f>
        <v>1</v>
      </c>
      <c r="B310" s="96">
        <f>'review 1 - annotator 2 - eval'!D45</f>
        <v>1</v>
      </c>
    </row>
    <row r="311">
      <c r="A311" s="95">
        <f>'review 1 - annotator 1 - eval'!D46</f>
        <v>1</v>
      </c>
      <c r="B311" s="96">
        <f>'review 1 - annotator 2 - eval'!D46</f>
        <v>1</v>
      </c>
    </row>
    <row r="312">
      <c r="A312" s="95">
        <f>'review 1 - annotator 1 - eval'!D47</f>
        <v>1</v>
      </c>
      <c r="B312" s="96">
        <f>'review 1 - annotator 2 - eval'!D47</f>
        <v>1</v>
      </c>
    </row>
    <row r="313">
      <c r="A313" s="95">
        <f>'review 1 - annotator 1 - eval'!D48</f>
        <v>1</v>
      </c>
      <c r="B313" s="96">
        <f>'review 1 - annotator 2 - eval'!D48</f>
        <v>1</v>
      </c>
    </row>
    <row r="314">
      <c r="A314" s="95">
        <f>'review 1 - annotator 1 - eval'!D49</f>
        <v>1</v>
      </c>
      <c r="B314" s="96">
        <f>'review 1 - annotator 2 - eval'!D49</f>
        <v>1</v>
      </c>
    </row>
    <row r="315">
      <c r="A315" s="95">
        <f>'review 1 - annotator 1 - eval'!D50</f>
        <v>1</v>
      </c>
      <c r="B315" s="96">
        <f>'review 1 - annotator 2 - eval'!D50</f>
        <v>1</v>
      </c>
    </row>
    <row r="316">
      <c r="A316" s="95">
        <f>'review 1 - annotator 1 - eval'!D54</f>
        <v>1</v>
      </c>
      <c r="B316" s="96">
        <f>'review 1 - annotator 2 - eval'!D54</f>
        <v>1</v>
      </c>
    </row>
    <row r="317">
      <c r="A317" s="95">
        <f>'review 1 - annotator 1 - eval'!D55</f>
        <v>1</v>
      </c>
      <c r="B317" s="96">
        <f>'review 1 - annotator 2 - eval'!D55</f>
        <v>1</v>
      </c>
    </row>
    <row r="318">
      <c r="A318" s="95">
        <f>'review 1 - annotator 1 - eval'!D56</f>
        <v>1</v>
      </c>
      <c r="B318" s="96">
        <f>'review 1 - annotator 2 - eval'!D56</f>
        <v>1</v>
      </c>
    </row>
    <row r="319">
      <c r="A319" s="95">
        <f>'review 1 - annotator 1 - eval'!D57</f>
        <v>1</v>
      </c>
      <c r="B319" s="96">
        <f>'review 1 - annotator 2 - eval'!D57</f>
        <v>1</v>
      </c>
    </row>
    <row r="320">
      <c r="A320" s="95">
        <f>'review 1 - annotator 1 - eval'!D58</f>
        <v>1</v>
      </c>
      <c r="B320" s="96">
        <f>'review 1 - annotator 2 - eval'!D58</f>
        <v>1</v>
      </c>
    </row>
    <row r="321">
      <c r="A321" s="95">
        <f>'review 1 - annotator 1 - eval'!D59</f>
        <v>1</v>
      </c>
      <c r="B321" s="96">
        <f>'review 1 - annotator 2 - eval'!D59</f>
        <v>1</v>
      </c>
    </row>
    <row r="322">
      <c r="A322" s="95">
        <f>'review 1 - annotator 1 - eval'!D60</f>
        <v>1</v>
      </c>
      <c r="B322" s="96">
        <f>'review 1 - annotator 2 - eval'!D60</f>
        <v>1</v>
      </c>
    </row>
    <row r="323">
      <c r="A323" s="95">
        <f>'review 1 - annotator 1 - eval'!D64</f>
        <v>1</v>
      </c>
      <c r="B323" s="96">
        <f>'review 1 - annotator 2 - eval'!D64</f>
        <v>1</v>
      </c>
    </row>
    <row r="324">
      <c r="A324" s="95">
        <f>'review 1 - annotator 1 - eval'!D65</f>
        <v>1</v>
      </c>
      <c r="B324" s="96">
        <f>'review 1 - annotator 2 - eval'!D65</f>
        <v>1</v>
      </c>
    </row>
    <row r="325">
      <c r="A325" s="95">
        <f>'review 1 - annotator 1 - eval'!D66</f>
        <v>1</v>
      </c>
      <c r="B325" s="96">
        <f>'review 1 - annotator 2 - eval'!D66</f>
        <v>1</v>
      </c>
    </row>
    <row r="326">
      <c r="A326" s="95">
        <f>'review 1 - annotator 1 - eval'!D67</f>
        <v>1</v>
      </c>
      <c r="B326" s="96">
        <f>'review 1 - annotator 2 - eval'!D67</f>
        <v>1</v>
      </c>
    </row>
    <row r="327">
      <c r="A327" s="95">
        <f>'review 1 - annotator 1 - eval'!D68</f>
        <v>1</v>
      </c>
      <c r="B327" s="96">
        <f>'review 1 - annotator 2 - eval'!D68</f>
        <v>1</v>
      </c>
    </row>
    <row r="328">
      <c r="A328" s="95">
        <f>'review 1 - annotator 1 - eval'!D69</f>
        <v>1</v>
      </c>
      <c r="B328" s="96">
        <f>'review 1 - annotator 2 - eval'!D69</f>
        <v>1</v>
      </c>
    </row>
    <row r="329">
      <c r="A329" s="95">
        <f>'review 1 - annotator 1 - eval'!D70</f>
        <v>1</v>
      </c>
      <c r="B329" s="96">
        <f>'review 1 - annotator 2 - eval'!D70</f>
        <v>1</v>
      </c>
    </row>
    <row r="330">
      <c r="A330" s="95">
        <f>'review 1 - annotator 1 - eval'!D74</f>
        <v>1</v>
      </c>
      <c r="B330" s="96">
        <f>'review 1 - annotator 2 - eval'!D74</f>
        <v>1</v>
      </c>
    </row>
    <row r="331">
      <c r="A331" s="95">
        <f>'review 1 - annotator 1 - eval'!D75</f>
        <v>1</v>
      </c>
      <c r="B331" s="96">
        <f>'review 1 - annotator 2 - eval'!D75</f>
        <v>1</v>
      </c>
    </row>
    <row r="332">
      <c r="A332" s="95">
        <f>'review 1 - annotator 1 - eval'!D76</f>
        <v>1</v>
      </c>
      <c r="B332" s="96">
        <f>'review 1 - annotator 2 - eval'!D76</f>
        <v>1</v>
      </c>
    </row>
    <row r="333">
      <c r="A333" s="95">
        <f>'review 1 - annotator 1 - eval'!D77</f>
        <v>1</v>
      </c>
      <c r="B333" s="96">
        <f>'review 1 - annotator 2 - eval'!D77</f>
        <v>1</v>
      </c>
    </row>
    <row r="334">
      <c r="A334" s="95">
        <f>'review 1 - annotator 1 - eval'!D78</f>
        <v>1</v>
      </c>
      <c r="B334" s="96">
        <f>'review 1 - annotator 2 - eval'!D78</f>
        <v>1</v>
      </c>
    </row>
    <row r="335">
      <c r="A335" s="95">
        <f>'review 1 - annotator 1 - eval'!D79</f>
        <v>1</v>
      </c>
      <c r="B335" s="96">
        <f>'review 1 - annotator 2 - eval'!D79</f>
        <v>1</v>
      </c>
    </row>
    <row r="336">
      <c r="A336" s="95">
        <f>'review 1 - annotator 1 - eval'!D80</f>
        <v>1</v>
      </c>
      <c r="B336" s="96">
        <f>'review 1 - annotator 2 - eval'!D80</f>
        <v>1</v>
      </c>
    </row>
    <row r="337">
      <c r="A337" s="95">
        <f>'review 1 - annotator 1 - eval'!D84</f>
        <v>1</v>
      </c>
      <c r="B337" s="96">
        <f>'review 1 - annotator 2 - eval'!D84</f>
        <v>1</v>
      </c>
    </row>
    <row r="338">
      <c r="A338" s="95">
        <f>'review 1 - annotator 1 - eval'!D85</f>
        <v>1</v>
      </c>
      <c r="B338" s="96">
        <f>'review 1 - annotator 2 - eval'!D85</f>
        <v>1</v>
      </c>
    </row>
    <row r="339">
      <c r="A339" s="95">
        <f>'review 1 - annotator 1 - eval'!D86</f>
        <v>1</v>
      </c>
      <c r="B339" s="96">
        <f>'review 1 - annotator 2 - eval'!D86</f>
        <v>1</v>
      </c>
    </row>
    <row r="340">
      <c r="A340" s="95">
        <f>'review 1 - annotator 1 - eval'!D87</f>
        <v>1</v>
      </c>
      <c r="B340" s="96">
        <f>'review 1 - annotator 2 - eval'!D87</f>
        <v>1</v>
      </c>
    </row>
    <row r="341">
      <c r="A341" s="95">
        <f>'review 1 - annotator 1 - eval'!D88</f>
        <v>1</v>
      </c>
      <c r="B341" s="96">
        <f>'review 1 - annotator 2 - eval'!D88</f>
        <v>1</v>
      </c>
    </row>
    <row r="342">
      <c r="A342" s="95">
        <f>'review 1 - annotator 1 - eval'!D89</f>
        <v>1</v>
      </c>
      <c r="B342" s="96">
        <f>'review 1 - annotator 2 - eval'!D89</f>
        <v>1</v>
      </c>
    </row>
    <row r="343">
      <c r="A343" s="95">
        <f>'review 1 - annotator 1 - eval'!D90</f>
        <v>1</v>
      </c>
      <c r="B343" s="96">
        <f>'review 1 - annotator 2 - eval'!D90</f>
        <v>1</v>
      </c>
    </row>
    <row r="344">
      <c r="A344" s="95">
        <f>'review 1 - annotator 1 - eval'!D94</f>
        <v>1</v>
      </c>
      <c r="B344" s="96">
        <f>'review 1 - annotator 2 - eval'!D94</f>
        <v>1</v>
      </c>
    </row>
    <row r="345">
      <c r="A345" s="95">
        <f>'review 1 - annotator 1 - eval'!D95</f>
        <v>1</v>
      </c>
      <c r="B345" s="96">
        <f>'review 1 - annotator 2 - eval'!D95</f>
        <v>1</v>
      </c>
    </row>
    <row r="346">
      <c r="A346" s="95">
        <f>'review 1 - annotator 1 - eval'!D96</f>
        <v>1</v>
      </c>
      <c r="B346" s="96">
        <f>'review 1 - annotator 2 - eval'!D96</f>
        <v>1</v>
      </c>
    </row>
    <row r="347">
      <c r="A347" s="95">
        <f>'review 1 - annotator 1 - eval'!D97</f>
        <v>1</v>
      </c>
      <c r="B347" s="96">
        <f>'review 1 - annotator 2 - eval'!D97</f>
        <v>1</v>
      </c>
    </row>
    <row r="348">
      <c r="A348" s="95">
        <f>'review 1 - annotator 1 - eval'!D98</f>
        <v>1</v>
      </c>
      <c r="B348" s="96">
        <f>'review 1 - annotator 2 - eval'!D98</f>
        <v>1</v>
      </c>
    </row>
    <row r="349">
      <c r="A349" s="95">
        <f>'review 1 - annotator 1 - eval'!D99</f>
        <v>1</v>
      </c>
      <c r="B349" s="96">
        <f>'review 1 - annotator 2 - eval'!D99</f>
        <v>1</v>
      </c>
    </row>
    <row r="350">
      <c r="A350" s="95">
        <f>'review 1 - annotator 1 - eval'!D100</f>
        <v>1</v>
      </c>
      <c r="B350" s="96">
        <f>'review 1 - annotator 2 - eval'!D100</f>
        <v>1</v>
      </c>
    </row>
    <row r="351">
      <c r="A351" s="95">
        <f>'review 1 - annotator 1 - eval'!D104</f>
        <v>1</v>
      </c>
      <c r="B351" s="96">
        <f>'review 1 - annotator 2 - eval'!D104</f>
        <v>1</v>
      </c>
    </row>
    <row r="352">
      <c r="A352" s="95">
        <f>'review 1 - annotator 1 - eval'!D105</f>
        <v>1</v>
      </c>
      <c r="B352" s="96">
        <f>'review 1 - annotator 2 - eval'!D105</f>
        <v>1</v>
      </c>
    </row>
    <row r="353">
      <c r="A353" s="95">
        <f>'review 1 - annotator 1 - eval'!D106</f>
        <v>1</v>
      </c>
      <c r="B353" s="96">
        <f>'review 1 - annotator 2 - eval'!D106</f>
        <v>1</v>
      </c>
    </row>
    <row r="354">
      <c r="A354" s="95">
        <f>'review 1 - annotator 1 - eval'!D107</f>
        <v>1</v>
      </c>
      <c r="B354" s="96">
        <f>'review 1 - annotator 2 - eval'!D107</f>
        <v>1</v>
      </c>
    </row>
    <row r="355">
      <c r="A355" s="95">
        <f>'review 1 - annotator 1 - eval'!D108</f>
        <v>1</v>
      </c>
      <c r="B355" s="96">
        <f>'review 1 - annotator 2 - eval'!D108</f>
        <v>1</v>
      </c>
    </row>
    <row r="356">
      <c r="A356" s="95">
        <f>'review 1 - annotator 1 - eval'!D109</f>
        <v>1</v>
      </c>
      <c r="B356" s="96">
        <f>'review 1 - annotator 2 - eval'!D109</f>
        <v>1</v>
      </c>
    </row>
    <row r="357">
      <c r="A357" s="95">
        <f>'review 1 - annotator 1 - eval'!D110</f>
        <v>1</v>
      </c>
      <c r="B357" s="96">
        <f>'review 1 - annotator 2 - eval'!D110</f>
        <v>1</v>
      </c>
    </row>
    <row r="358">
      <c r="A358" s="95">
        <f>'review 1 - annotator 1 - eval'!D114</f>
        <v>1</v>
      </c>
      <c r="B358" s="96">
        <f>'review 1 - annotator 2 - eval'!D114</f>
        <v>1</v>
      </c>
    </row>
    <row r="359">
      <c r="A359" s="95">
        <f>'review 1 - annotator 1 - eval'!D115</f>
        <v>1</v>
      </c>
      <c r="B359" s="96">
        <f>'review 1 - annotator 2 - eval'!D115</f>
        <v>1</v>
      </c>
    </row>
    <row r="360">
      <c r="A360" s="95">
        <f>'review 1 - annotator 1 - eval'!D116</f>
        <v>1</v>
      </c>
      <c r="B360" s="96">
        <f>'review 1 - annotator 2 - eval'!D116</f>
        <v>1</v>
      </c>
    </row>
    <row r="361">
      <c r="A361" s="95">
        <f>'review 1 - annotator 1 - eval'!D117</f>
        <v>1</v>
      </c>
      <c r="B361" s="96">
        <f>'review 1 - annotator 2 - eval'!D117</f>
        <v>1</v>
      </c>
    </row>
    <row r="362">
      <c r="A362" s="95">
        <f>'review 1 - annotator 1 - eval'!D118</f>
        <v>1</v>
      </c>
      <c r="B362" s="96">
        <f>'review 1 - annotator 2 - eval'!D118</f>
        <v>1</v>
      </c>
    </row>
    <row r="363">
      <c r="A363" s="95">
        <f>'review 1 - annotator 1 - eval'!D119</f>
        <v>1</v>
      </c>
      <c r="B363" s="96">
        <f>'review 1 - annotator 2 - eval'!D119</f>
        <v>1</v>
      </c>
    </row>
    <row r="364">
      <c r="A364" s="95">
        <f>'review 1 - annotator 1 - eval'!D120</f>
        <v>1</v>
      </c>
      <c r="B364" s="96">
        <f>'review 1 - annotator 2 - eval'!D120</f>
        <v>1</v>
      </c>
    </row>
    <row r="365">
      <c r="A365" s="95">
        <f>'review 1 - annotator 1 - eval'!D124</f>
        <v>1</v>
      </c>
      <c r="B365" s="96">
        <f>'review 1 - annotator 2 - eval'!D124</f>
        <v>1</v>
      </c>
    </row>
    <row r="366">
      <c r="A366" s="95">
        <f>'review 1 - annotator 1 - eval'!D125</f>
        <v>1</v>
      </c>
      <c r="B366" s="96">
        <f>'review 1 - annotator 2 - eval'!D125</f>
        <v>1</v>
      </c>
    </row>
    <row r="367">
      <c r="A367" s="95">
        <f>'review 1 - annotator 1 - eval'!D126</f>
        <v>1</v>
      </c>
      <c r="B367" s="96">
        <f>'review 1 - annotator 2 - eval'!D126</f>
        <v>1</v>
      </c>
    </row>
    <row r="368">
      <c r="A368" s="95">
        <f>'review 1 - annotator 1 - eval'!D127</f>
        <v>1</v>
      </c>
      <c r="B368" s="96">
        <f>'review 1 - annotator 2 - eval'!D127</f>
        <v>1</v>
      </c>
    </row>
    <row r="369">
      <c r="A369" s="95">
        <f>'review 1 - annotator 1 - eval'!D128</f>
        <v>1</v>
      </c>
      <c r="B369" s="96">
        <f>'review 1 - annotator 2 - eval'!D128</f>
        <v>1</v>
      </c>
    </row>
    <row r="370">
      <c r="A370" s="95">
        <f>'review 1 - annotator 1 - eval'!D129</f>
        <v>1</v>
      </c>
      <c r="B370" s="97">
        <f>'review 1 - annotator 2 - eval'!D129</f>
        <v>1</v>
      </c>
    </row>
    <row r="371">
      <c r="A371" s="95">
        <f>'review 1 - annotator 1 - eval'!D130</f>
        <v>1</v>
      </c>
      <c r="B371" s="96">
        <f>'review 1 - annotator 2 - eval'!D130</f>
        <v>1</v>
      </c>
    </row>
    <row r="372">
      <c r="A372" s="95">
        <f>'review 1 - annotator 1 - eval'!D134</f>
        <v>1</v>
      </c>
      <c r="B372" s="96">
        <f>'review 1 - annotator 2 - eval'!D134</f>
        <v>1</v>
      </c>
    </row>
    <row r="373">
      <c r="A373" s="95">
        <f>'review 1 - annotator 1 - eval'!D135</f>
        <v>1</v>
      </c>
      <c r="B373" s="96">
        <f>'review 1 - annotator 2 - eval'!D135</f>
        <v>1</v>
      </c>
    </row>
    <row r="374">
      <c r="A374" s="95">
        <f>'review 1 - annotator 1 - eval'!D136</f>
        <v>1</v>
      </c>
      <c r="B374" s="96">
        <f>'review 1 - annotator 2 - eval'!D136</f>
        <v>1</v>
      </c>
    </row>
    <row r="375">
      <c r="A375" s="95">
        <f>'review 1 - annotator 1 - eval'!D137</f>
        <v>1</v>
      </c>
      <c r="B375" s="96">
        <f>'review 1 - annotator 2 - eval'!D137</f>
        <v>1</v>
      </c>
    </row>
    <row r="376">
      <c r="A376" s="95">
        <f>'review 1 - annotator 1 - eval'!D138</f>
        <v>1</v>
      </c>
      <c r="B376" s="96">
        <f>'review 1 - annotator 2 - eval'!D138</f>
        <v>1</v>
      </c>
    </row>
    <row r="377">
      <c r="A377" s="95">
        <f>'review 1 - annotator 1 - eval'!D139</f>
        <v>1</v>
      </c>
      <c r="B377" s="96">
        <f>'review 1 - annotator 2 - eval'!D139</f>
        <v>1</v>
      </c>
    </row>
    <row r="378">
      <c r="A378" s="95">
        <f>'review 1 - annotator 1 - eval'!D140</f>
        <v>1</v>
      </c>
      <c r="B378" s="96">
        <f>'review 1 - annotator 2 - eval'!D140</f>
        <v>1</v>
      </c>
    </row>
    <row r="379">
      <c r="A379" s="95">
        <f>'review 1 - annotator 1 - eval'!D144</f>
        <v>1</v>
      </c>
      <c r="B379" s="96">
        <f>'review 1 - annotator 2 - eval'!D144</f>
        <v>1</v>
      </c>
    </row>
    <row r="380">
      <c r="A380" s="95">
        <f>'review 1 - annotator 1 - eval'!D145</f>
        <v>1</v>
      </c>
      <c r="B380" s="96">
        <f>'review 1 - annotator 2 - eval'!D145</f>
        <v>1</v>
      </c>
    </row>
    <row r="381">
      <c r="A381" s="95">
        <f>'review 1 - annotator 1 - eval'!D146</f>
        <v>1</v>
      </c>
      <c r="B381" s="96">
        <f>'review 1 - annotator 2 - eval'!D146</f>
        <v>1</v>
      </c>
    </row>
    <row r="382">
      <c r="A382" s="95">
        <f>'review 1 - annotator 1 - eval'!D147</f>
        <v>1</v>
      </c>
      <c r="B382" s="96">
        <f>'review 1 - annotator 2 - eval'!D147</f>
        <v>1</v>
      </c>
    </row>
    <row r="383">
      <c r="A383" s="95">
        <f>'review 1 - annotator 1 - eval'!D148</f>
        <v>1</v>
      </c>
      <c r="B383" s="96">
        <f>'review 1 - annotator 2 - eval'!D148</f>
        <v>1</v>
      </c>
    </row>
    <row r="384">
      <c r="A384" s="95">
        <f>'review 1 - annotator 1 - eval'!D149</f>
        <v>1</v>
      </c>
      <c r="B384" s="96">
        <f>'review 1 - annotator 2 - eval'!D149</f>
        <v>1</v>
      </c>
    </row>
    <row r="385">
      <c r="A385" s="95">
        <f>'review 1 - annotator 1 - eval'!D150</f>
        <v>1</v>
      </c>
      <c r="B385" s="96">
        <f>'review 1 - annotator 2 - eval'!D150</f>
        <v>1</v>
      </c>
    </row>
    <row r="386">
      <c r="A386" s="95">
        <f>'review 1 - annotator 1 - eval'!D154</f>
        <v>1</v>
      </c>
      <c r="B386" s="96">
        <f>'review 1 - annotator 2 - eval'!D154</f>
        <v>1</v>
      </c>
    </row>
    <row r="387">
      <c r="A387" s="95">
        <f>'review 1 - annotator 1 - eval'!D155</f>
        <v>1</v>
      </c>
      <c r="B387" s="96">
        <f>'review 1 - annotator 2 - eval'!D155</f>
        <v>1</v>
      </c>
    </row>
    <row r="388">
      <c r="A388" s="95">
        <f>'review 1 - annotator 1 - eval'!D156</f>
        <v>1</v>
      </c>
      <c r="B388" s="96">
        <f>'review 1 - annotator 2 - eval'!D156</f>
        <v>1</v>
      </c>
    </row>
    <row r="389">
      <c r="A389" s="95">
        <f>'review 1 - annotator 1 - eval'!D157</f>
        <v>1</v>
      </c>
      <c r="B389" s="96">
        <f>'review 1 - annotator 2 - eval'!D157</f>
        <v>1</v>
      </c>
    </row>
    <row r="390">
      <c r="A390" s="95">
        <f>'review 1 - annotator 1 - eval'!D158</f>
        <v>1</v>
      </c>
      <c r="B390" s="96">
        <f>'review 1 - annotator 2 - eval'!D158</f>
        <v>1</v>
      </c>
    </row>
    <row r="391">
      <c r="A391" s="95">
        <f>'review 1 - annotator 1 - eval'!D159</f>
        <v>1</v>
      </c>
      <c r="B391" s="96">
        <f>'review 1 - annotator 2 - eval'!D159</f>
        <v>1</v>
      </c>
    </row>
    <row r="392">
      <c r="A392" s="95">
        <f>'review 1 - annotator 1 - eval'!D160</f>
        <v>1</v>
      </c>
      <c r="B392" s="96">
        <f>'review 1 - annotator 2 - eval'!D160</f>
        <v>1</v>
      </c>
    </row>
    <row r="393">
      <c r="A393" s="95">
        <f>'review 1 - annotator 1 - eval'!D164</f>
        <v>1</v>
      </c>
      <c r="B393" s="96">
        <f>'review 1 - annotator 2 - eval'!D164</f>
        <v>1</v>
      </c>
    </row>
    <row r="394">
      <c r="A394" s="95">
        <f>'review 1 - annotator 1 - eval'!D165</f>
        <v>1</v>
      </c>
      <c r="B394" s="96">
        <f>'review 1 - annotator 2 - eval'!D165</f>
        <v>1</v>
      </c>
    </row>
    <row r="395">
      <c r="A395" s="95">
        <f>'review 1 - annotator 1 - eval'!D166</f>
        <v>1</v>
      </c>
      <c r="B395" s="96">
        <f>'review 1 - annotator 2 - eval'!D166</f>
        <v>1</v>
      </c>
    </row>
    <row r="396">
      <c r="A396" s="95">
        <f>'review 1 - annotator 1 - eval'!D167</f>
        <v>1</v>
      </c>
      <c r="B396" s="96">
        <f>'review 1 - annotator 2 - eval'!D167</f>
        <v>1</v>
      </c>
    </row>
    <row r="397">
      <c r="A397" s="95">
        <f>'review 1 - annotator 1 - eval'!D168</f>
        <v>1</v>
      </c>
      <c r="B397" s="96">
        <f>'review 1 - annotator 2 - eval'!D168</f>
        <v>1</v>
      </c>
    </row>
    <row r="398">
      <c r="A398" s="95">
        <f>'review 1 - annotator 1 - eval'!D169</f>
        <v>1</v>
      </c>
      <c r="B398" s="96">
        <f>'review 1 - annotator 2 - eval'!D169</f>
        <v>1</v>
      </c>
    </row>
    <row r="399">
      <c r="A399" s="95">
        <f>'review 1 - annotator 1 - eval'!D170</f>
        <v>1</v>
      </c>
      <c r="B399" s="96">
        <f>'review 1 - annotator 2 - eval'!D170</f>
        <v>1</v>
      </c>
    </row>
    <row r="400">
      <c r="A400" s="95">
        <f>'review 1 - annotator 1 - eval'!D174</f>
        <v>1</v>
      </c>
      <c r="B400" s="96">
        <f>'review 1 - annotator 2 - eval'!D174</f>
        <v>1</v>
      </c>
    </row>
    <row r="401">
      <c r="A401" s="95">
        <f>'review 1 - annotator 1 - eval'!D175</f>
        <v>1</v>
      </c>
      <c r="B401" s="96">
        <f>'review 1 - annotator 2 - eval'!D175</f>
        <v>1</v>
      </c>
    </row>
    <row r="402">
      <c r="A402" s="95">
        <f>'review 1 - annotator 1 - eval'!D176</f>
        <v>1</v>
      </c>
      <c r="B402" s="96">
        <f>'review 1 - annotator 2 - eval'!D176</f>
        <v>1</v>
      </c>
    </row>
    <row r="403">
      <c r="A403" s="95">
        <f>'review 1 - annotator 1 - eval'!D177</f>
        <v>1</v>
      </c>
      <c r="B403" s="96">
        <f>'review 1 - annotator 2 - eval'!D177</f>
        <v>1</v>
      </c>
    </row>
    <row r="404">
      <c r="A404" s="95">
        <f>'review 1 - annotator 1 - eval'!D178</f>
        <v>1</v>
      </c>
      <c r="B404" s="96">
        <f>'review 1 - annotator 2 - eval'!D178</f>
        <v>1</v>
      </c>
    </row>
    <row r="405">
      <c r="A405" s="95">
        <f>'review 1 - annotator 1 - eval'!D179</f>
        <v>1</v>
      </c>
      <c r="B405" s="96">
        <f>'review 1 - annotator 2 - eval'!D179</f>
        <v>1</v>
      </c>
    </row>
    <row r="406">
      <c r="A406" s="95">
        <f>'review 1 - annotator 1 - eval'!D180</f>
        <v>1</v>
      </c>
      <c r="B406" s="96">
        <f>'review 1 - annotator 2 - eval'!D180</f>
        <v>1</v>
      </c>
    </row>
    <row r="407">
      <c r="A407" s="95">
        <f>'review 1 - annotator 1 - eval'!D184</f>
        <v>1</v>
      </c>
      <c r="B407" s="96">
        <f>'review 1 - annotator 2 - eval'!D184</f>
        <v>1</v>
      </c>
    </row>
    <row r="408">
      <c r="A408" s="95">
        <f>'review 1 - annotator 1 - eval'!D185</f>
        <v>1</v>
      </c>
      <c r="B408" s="96">
        <f>'review 1 - annotator 2 - eval'!D185</f>
        <v>1</v>
      </c>
    </row>
    <row r="409">
      <c r="A409" s="95">
        <f>'review 1 - annotator 1 - eval'!D186</f>
        <v>1</v>
      </c>
      <c r="B409" s="96">
        <f>'review 1 - annotator 2 - eval'!D186</f>
        <v>1</v>
      </c>
    </row>
    <row r="410">
      <c r="A410" s="95">
        <f>'review 1 - annotator 1 - eval'!D187</f>
        <v>1</v>
      </c>
      <c r="B410" s="96">
        <f>'review 1 - annotator 2 - eval'!D187</f>
        <v>1</v>
      </c>
    </row>
    <row r="411">
      <c r="A411" s="95">
        <f>'review 1 - annotator 1 - eval'!D188</f>
        <v>1</v>
      </c>
      <c r="B411" s="96">
        <f>'review 1 - annotator 2 - eval'!D188</f>
        <v>1</v>
      </c>
    </row>
    <row r="412">
      <c r="A412" s="95">
        <f>'review 1 - annotator 1 - eval'!D189</f>
        <v>1</v>
      </c>
      <c r="B412" s="96">
        <f>'review 1 - annotator 2 - eval'!D189</f>
        <v>1</v>
      </c>
    </row>
    <row r="413">
      <c r="A413" s="95">
        <f>'review 1 - annotator 1 - eval'!D190</f>
        <v>1</v>
      </c>
      <c r="B413" s="96">
        <f>'review 1 - annotator 2 - eval'!D190</f>
        <v>1</v>
      </c>
    </row>
    <row r="414">
      <c r="A414" s="95">
        <f>'review 1 - annotator 1 - eval'!D194</f>
        <v>0</v>
      </c>
      <c r="B414" s="96">
        <f>'review 1 - annotator 2 - eval'!D194</f>
        <v>0</v>
      </c>
    </row>
    <row r="415">
      <c r="A415" s="95">
        <f>'review 1 - annotator 1 - eval'!D195</f>
        <v>1</v>
      </c>
      <c r="B415" s="96">
        <f>'review 1 - annotator 2 - eval'!D195</f>
        <v>1</v>
      </c>
    </row>
    <row r="416">
      <c r="A416" s="95">
        <f>'review 1 - annotator 1 - eval'!D196</f>
        <v>0</v>
      </c>
      <c r="B416" s="96">
        <f>'review 1 - annotator 2 - eval'!D196</f>
        <v>0</v>
      </c>
    </row>
    <row r="417">
      <c r="A417" s="95">
        <f>'review 1 - annotator 1 - eval'!D197</f>
        <v>1</v>
      </c>
      <c r="B417" s="96">
        <f>'review 1 - annotator 2 - eval'!D197</f>
        <v>1</v>
      </c>
    </row>
    <row r="418">
      <c r="A418" s="95">
        <f>'review 1 - annotator 1 - eval'!D198</f>
        <v>1</v>
      </c>
      <c r="B418" s="96">
        <f>'review 1 - annotator 2 - eval'!D198</f>
        <v>1</v>
      </c>
    </row>
    <row r="419">
      <c r="A419" s="95">
        <f>'review 1 - annotator 1 - eval'!D199</f>
        <v>1</v>
      </c>
      <c r="B419" s="96">
        <f>'review 1 - annotator 2 - eval'!D199</f>
        <v>1</v>
      </c>
    </row>
    <row r="420">
      <c r="A420" s="95">
        <f>'review 1 - annotator 1 - eval'!D200</f>
        <v>1</v>
      </c>
      <c r="B420" s="96">
        <f>'review 1 - annotator 2 - eval'!D200</f>
        <v>1</v>
      </c>
    </row>
    <row r="421">
      <c r="A421" s="95">
        <f>'review 1 - annotator 1 - eval'!F4</f>
        <v>1</v>
      </c>
      <c r="B421" s="96">
        <f>'review 1 - annotator 2 - eval'!F4</f>
        <v>1</v>
      </c>
    </row>
    <row r="422">
      <c r="A422" s="95">
        <f>'review 1 - annotator 1 - eval'!F5</f>
        <v>1</v>
      </c>
      <c r="B422" s="96">
        <f>'review 1 - annotator 2 - eval'!F5</f>
        <v>1</v>
      </c>
    </row>
    <row r="423">
      <c r="A423" s="95">
        <f>'review 1 - annotator 1 - eval'!F6</f>
        <v>0</v>
      </c>
      <c r="B423" s="96">
        <f>'review 1 - annotator 2 - eval'!F6</f>
        <v>0</v>
      </c>
    </row>
    <row r="424">
      <c r="A424" s="95">
        <f>'review 1 - annotator 1 - eval'!F7</f>
        <v>1</v>
      </c>
      <c r="B424" s="96">
        <f>'review 1 - annotator 2 - eval'!F7</f>
        <v>1</v>
      </c>
    </row>
    <row r="425">
      <c r="A425" s="95">
        <f>'review 1 - annotator 1 - eval'!F8</f>
        <v>0</v>
      </c>
      <c r="B425" s="96">
        <f>'review 1 - annotator 2 - eval'!F8</f>
        <v>0</v>
      </c>
    </row>
    <row r="426">
      <c r="A426" s="95">
        <f>'review 1 - annotator 1 - eval'!F9</f>
        <v>1</v>
      </c>
      <c r="B426" s="96">
        <f>'review 1 - annotator 2 - eval'!F9</f>
        <v>1</v>
      </c>
    </row>
    <row r="427">
      <c r="A427" s="95">
        <f>'review 1 - annotator 1 - eval'!F10</f>
        <v>1</v>
      </c>
      <c r="B427" s="96">
        <f>'review 1 - annotator 2 - eval'!F10</f>
        <v>1</v>
      </c>
    </row>
    <row r="428">
      <c r="A428" s="95">
        <f>'review 1 - annotator 1 - eval'!F14</f>
        <v>1</v>
      </c>
      <c r="B428" s="96">
        <f>'review 1 - annotator 2 - eval'!F14</f>
        <v>1</v>
      </c>
    </row>
    <row r="429">
      <c r="A429" s="95">
        <f>'review 1 - annotator 1 - eval'!F15</f>
        <v>1</v>
      </c>
      <c r="B429" s="96">
        <f>'review 1 - annotator 2 - eval'!F15</f>
        <v>1</v>
      </c>
    </row>
    <row r="430">
      <c r="A430" s="95">
        <f>'review 1 - annotator 1 - eval'!F16</f>
        <v>1</v>
      </c>
      <c r="B430" s="96">
        <f>'review 1 - annotator 2 - eval'!F16</f>
        <v>1</v>
      </c>
    </row>
    <row r="431">
      <c r="A431" s="95">
        <f>'review 1 - annotator 1 - eval'!F17</f>
        <v>1</v>
      </c>
      <c r="B431" s="96">
        <f>'review 1 - annotator 2 - eval'!F17</f>
        <v>1</v>
      </c>
    </row>
    <row r="432">
      <c r="A432" s="95">
        <f>'review 1 - annotator 1 - eval'!F18</f>
        <v>0</v>
      </c>
      <c r="B432" s="96">
        <f>'review 1 - annotator 2 - eval'!F18</f>
        <v>0</v>
      </c>
    </row>
    <row r="433">
      <c r="A433" s="95">
        <f>'review 1 - annotator 1 - eval'!F19</f>
        <v>1</v>
      </c>
      <c r="B433" s="96">
        <f>'review 1 - annotator 2 - eval'!F19</f>
        <v>1</v>
      </c>
    </row>
    <row r="434">
      <c r="A434" s="95">
        <f>'review 1 - annotator 1 - eval'!F20</f>
        <v>1</v>
      </c>
      <c r="B434" s="96">
        <f>'review 1 - annotator 2 - eval'!F20</f>
        <v>1</v>
      </c>
    </row>
    <row r="435">
      <c r="A435" s="95">
        <f>'review 1 - annotator 1 - eval'!F24</f>
        <v>1</v>
      </c>
      <c r="B435" s="96">
        <f>'review 1 - annotator 2 - eval'!F24</f>
        <v>1</v>
      </c>
    </row>
    <row r="436">
      <c r="A436" s="95">
        <f>'review 1 - annotator 1 - eval'!F25</f>
        <v>1</v>
      </c>
      <c r="B436" s="96">
        <f>'review 1 - annotator 2 - eval'!F25</f>
        <v>1</v>
      </c>
    </row>
    <row r="437">
      <c r="A437" s="95">
        <f>'review 1 - annotator 1 - eval'!F26</f>
        <v>1</v>
      </c>
      <c r="B437" s="96">
        <f>'review 1 - annotator 2 - eval'!F26</f>
        <v>1</v>
      </c>
    </row>
    <row r="438">
      <c r="A438" s="95">
        <f>'review 1 - annotator 1 - eval'!F27</f>
        <v>1</v>
      </c>
      <c r="B438" s="96">
        <f>'review 1 - annotator 2 - eval'!F27</f>
        <v>1</v>
      </c>
    </row>
    <row r="439">
      <c r="A439" s="95">
        <f>'review 1 - annotator 1 - eval'!F28</f>
        <v>1</v>
      </c>
      <c r="B439" s="96">
        <f>'review 1 - annotator 2 - eval'!F28</f>
        <v>1</v>
      </c>
    </row>
    <row r="440">
      <c r="A440" s="95">
        <f>'review 1 - annotator 1 - eval'!F29</f>
        <v>1</v>
      </c>
      <c r="B440" s="96">
        <f>'review 1 - annotator 2 - eval'!F29</f>
        <v>1</v>
      </c>
    </row>
    <row r="441">
      <c r="A441" s="95">
        <f>'review 1 - annotator 1 - eval'!F30</f>
        <v>1</v>
      </c>
      <c r="B441" s="96">
        <f>'review 1 - annotator 2 - eval'!F30</f>
        <v>1</v>
      </c>
    </row>
    <row r="442">
      <c r="A442" s="95">
        <f>'review 1 - annotator 1 - eval'!F34</f>
        <v>1</v>
      </c>
      <c r="B442" s="96">
        <f>'review 1 - annotator 2 - eval'!F34</f>
        <v>1</v>
      </c>
    </row>
    <row r="443">
      <c r="A443" s="95">
        <f>'review 1 - annotator 1 - eval'!F35</f>
        <v>1</v>
      </c>
      <c r="B443" s="96">
        <f>'review 1 - annotator 2 - eval'!F35</f>
        <v>1</v>
      </c>
    </row>
    <row r="444">
      <c r="A444" s="95">
        <f>'review 1 - annotator 1 - eval'!F36</f>
        <v>1</v>
      </c>
      <c r="B444" s="96">
        <f>'review 1 - annotator 2 - eval'!F36</f>
        <v>1</v>
      </c>
    </row>
    <row r="445">
      <c r="A445" s="95">
        <f>'review 1 - annotator 1 - eval'!F37</f>
        <v>1</v>
      </c>
      <c r="B445" s="96">
        <f>'review 1 - annotator 2 - eval'!F37</f>
        <v>1</v>
      </c>
    </row>
    <row r="446">
      <c r="A446" s="95">
        <f>'review 1 - annotator 1 - eval'!F38</f>
        <v>1</v>
      </c>
      <c r="B446" s="96">
        <f>'review 1 - annotator 2 - eval'!F38</f>
        <v>1</v>
      </c>
    </row>
    <row r="447">
      <c r="A447" s="95">
        <f>'review 1 - annotator 1 - eval'!F39</f>
        <v>1</v>
      </c>
      <c r="B447" s="96">
        <f>'review 1 - annotator 2 - eval'!F39</f>
        <v>1</v>
      </c>
    </row>
    <row r="448">
      <c r="A448" s="95">
        <f>'review 1 - annotator 1 - eval'!F40</f>
        <v>1</v>
      </c>
      <c r="B448" s="96">
        <f>'review 1 - annotator 2 - eval'!F40</f>
        <v>1</v>
      </c>
    </row>
    <row r="449">
      <c r="A449" s="95">
        <f>'review 1 - annotator 1 - eval'!F44</f>
        <v>1</v>
      </c>
      <c r="B449" s="96">
        <f>'review 1 - annotator 2 - eval'!F44</f>
        <v>1</v>
      </c>
    </row>
    <row r="450">
      <c r="A450" s="95">
        <f>'review 1 - annotator 1 - eval'!F45</f>
        <v>1</v>
      </c>
      <c r="B450" s="96">
        <f>'review 1 - annotator 2 - eval'!F45</f>
        <v>1</v>
      </c>
    </row>
    <row r="451">
      <c r="A451" s="95">
        <f>'review 1 - annotator 1 - eval'!F46</f>
        <v>1</v>
      </c>
      <c r="B451" s="96">
        <f>'review 1 - annotator 2 - eval'!F46</f>
        <v>1</v>
      </c>
    </row>
    <row r="452">
      <c r="A452" s="95">
        <f>'review 1 - annotator 1 - eval'!F47</f>
        <v>1</v>
      </c>
      <c r="B452" s="96">
        <f>'review 1 - annotator 2 - eval'!F47</f>
        <v>1</v>
      </c>
    </row>
    <row r="453">
      <c r="A453" s="95">
        <f>'review 1 - annotator 1 - eval'!F48</f>
        <v>1</v>
      </c>
      <c r="B453" s="96">
        <f>'review 1 - annotator 2 - eval'!F48</f>
        <v>0</v>
      </c>
    </row>
    <row r="454">
      <c r="A454" s="95">
        <f>'review 1 - annotator 1 - eval'!F49</f>
        <v>1</v>
      </c>
      <c r="B454" s="96">
        <f>'review 1 - annotator 2 - eval'!F49</f>
        <v>1</v>
      </c>
    </row>
    <row r="455">
      <c r="A455" s="95">
        <f>'review 1 - annotator 1 - eval'!F50</f>
        <v>1</v>
      </c>
      <c r="B455" s="96">
        <f>'review 1 - annotator 2 - eval'!F50</f>
        <v>1</v>
      </c>
    </row>
    <row r="456">
      <c r="A456" s="95">
        <f>'review 1 - annotator 1 - eval'!F54</f>
        <v>1</v>
      </c>
      <c r="B456" s="96">
        <f>'review 1 - annotator 2 - eval'!F54</f>
        <v>1</v>
      </c>
    </row>
    <row r="457">
      <c r="A457" s="95">
        <f>'review 1 - annotator 1 - eval'!F55</f>
        <v>1</v>
      </c>
      <c r="B457" s="96">
        <f>'review 1 - annotator 2 - eval'!F55</f>
        <v>1</v>
      </c>
    </row>
    <row r="458">
      <c r="A458" s="95">
        <f>'review 1 - annotator 1 - eval'!F56</f>
        <v>1</v>
      </c>
      <c r="B458" s="96">
        <f>'review 1 - annotator 2 - eval'!F56</f>
        <v>1</v>
      </c>
    </row>
    <row r="459">
      <c r="A459" s="95">
        <f>'review 1 - annotator 1 - eval'!F57</f>
        <v>1</v>
      </c>
      <c r="B459" s="96">
        <f>'review 1 - annotator 2 - eval'!F57</f>
        <v>1</v>
      </c>
    </row>
    <row r="460">
      <c r="A460" s="95">
        <f>'review 1 - annotator 1 - eval'!F58</f>
        <v>1</v>
      </c>
      <c r="B460" s="96">
        <f>'review 1 - annotator 2 - eval'!F58</f>
        <v>1</v>
      </c>
    </row>
    <row r="461">
      <c r="A461" s="95">
        <f>'review 1 - annotator 1 - eval'!F59</f>
        <v>1</v>
      </c>
      <c r="B461" s="96">
        <f>'review 1 - annotator 2 - eval'!F59</f>
        <v>1</v>
      </c>
    </row>
    <row r="462">
      <c r="A462" s="95">
        <f>'review 1 - annotator 1 - eval'!F60</f>
        <v>1</v>
      </c>
      <c r="B462" s="96">
        <f>'review 1 - annotator 2 - eval'!F60</f>
        <v>1</v>
      </c>
    </row>
    <row r="463">
      <c r="A463" s="95">
        <f>'review 1 - annotator 1 - eval'!F64</f>
        <v>1</v>
      </c>
      <c r="B463" s="96">
        <f>'review 1 - annotator 2 - eval'!F64</f>
        <v>1</v>
      </c>
    </row>
    <row r="464">
      <c r="A464" s="95">
        <f>'review 1 - annotator 1 - eval'!F65</f>
        <v>1</v>
      </c>
      <c r="B464" s="96">
        <f>'review 1 - annotator 2 - eval'!F65</f>
        <v>1</v>
      </c>
    </row>
    <row r="465">
      <c r="A465" s="95">
        <f>'review 1 - annotator 1 - eval'!F66</f>
        <v>1</v>
      </c>
      <c r="B465" s="96">
        <f>'review 1 - annotator 2 - eval'!F66</f>
        <v>1</v>
      </c>
    </row>
    <row r="466">
      <c r="A466" s="95">
        <f>'review 1 - annotator 1 - eval'!F67</f>
        <v>1</v>
      </c>
      <c r="B466" s="96">
        <f>'review 1 - annotator 2 - eval'!F67</f>
        <v>1</v>
      </c>
    </row>
    <row r="467">
      <c r="A467" s="95">
        <f>'review 1 - annotator 1 - eval'!F68</f>
        <v>1</v>
      </c>
      <c r="B467" s="96">
        <f>'review 1 - annotator 2 - eval'!F68</f>
        <v>1</v>
      </c>
    </row>
    <row r="468">
      <c r="A468" s="95">
        <f>'review 1 - annotator 1 - eval'!F69</f>
        <v>1</v>
      </c>
      <c r="B468" s="96">
        <f>'review 1 - annotator 2 - eval'!F69</f>
        <v>1</v>
      </c>
    </row>
    <row r="469">
      <c r="A469" s="95">
        <f>'review 1 - annotator 1 - eval'!F70</f>
        <v>1</v>
      </c>
      <c r="B469" s="96">
        <f>'review 1 - annotator 2 - eval'!F70</f>
        <v>1</v>
      </c>
    </row>
    <row r="470">
      <c r="A470" s="95">
        <f>'review 1 - annotator 1 - eval'!F74</f>
        <v>1</v>
      </c>
      <c r="B470" s="96">
        <f>'review 1 - annotator 2 - eval'!F74</f>
        <v>1</v>
      </c>
    </row>
    <row r="471">
      <c r="A471" s="95">
        <f>'review 1 - annotator 1 - eval'!F75</f>
        <v>1</v>
      </c>
      <c r="B471" s="96">
        <f>'review 1 - annotator 2 - eval'!F75</f>
        <v>1</v>
      </c>
    </row>
    <row r="472">
      <c r="A472" s="95">
        <f>'review 1 - annotator 1 - eval'!F76</f>
        <v>1</v>
      </c>
      <c r="B472" s="96">
        <f>'review 1 - annotator 2 - eval'!F76</f>
        <v>1</v>
      </c>
    </row>
    <row r="473">
      <c r="A473" s="95">
        <f>'review 1 - annotator 1 - eval'!F77</f>
        <v>1</v>
      </c>
      <c r="B473" s="96">
        <f>'review 1 - annotator 2 - eval'!F77</f>
        <v>1</v>
      </c>
    </row>
    <row r="474">
      <c r="A474" s="95">
        <f>'review 1 - annotator 1 - eval'!F78</f>
        <v>1</v>
      </c>
      <c r="B474" s="96">
        <f>'review 1 - annotator 2 - eval'!F78</f>
        <v>0</v>
      </c>
    </row>
    <row r="475">
      <c r="A475" s="95">
        <f>'review 1 - annotator 1 - eval'!F79</f>
        <v>1</v>
      </c>
      <c r="B475" s="96">
        <f>'review 1 - annotator 2 - eval'!F79</f>
        <v>1</v>
      </c>
    </row>
    <row r="476">
      <c r="A476" s="95">
        <f>'review 1 - annotator 1 - eval'!F80</f>
        <v>1</v>
      </c>
      <c r="B476" s="96">
        <f>'review 1 - annotator 2 - eval'!F80</f>
        <v>1</v>
      </c>
    </row>
    <row r="477">
      <c r="A477" s="95">
        <f>'review 1 - annotator 1 - eval'!F84</f>
        <v>1</v>
      </c>
      <c r="B477" s="96">
        <f>'review 1 - annotator 2 - eval'!F84</f>
        <v>0</v>
      </c>
    </row>
    <row r="478">
      <c r="A478" s="95">
        <f>'review 1 - annotator 1 - eval'!F85</f>
        <v>1</v>
      </c>
      <c r="B478" s="96">
        <f>'review 1 - annotator 2 - eval'!F85</f>
        <v>1</v>
      </c>
    </row>
    <row r="479">
      <c r="A479" s="95">
        <f>'review 1 - annotator 1 - eval'!F86</f>
        <v>1</v>
      </c>
      <c r="B479" s="96">
        <f>'review 1 - annotator 2 - eval'!F86</f>
        <v>0</v>
      </c>
    </row>
    <row r="480">
      <c r="A480" s="95">
        <f>'review 1 - annotator 1 - eval'!F87</f>
        <v>1</v>
      </c>
      <c r="B480" s="96">
        <f>'review 1 - annotator 2 - eval'!F87</f>
        <v>0</v>
      </c>
    </row>
    <row r="481">
      <c r="A481" s="95">
        <f>'review 1 - annotator 1 - eval'!F88</f>
        <v>1</v>
      </c>
      <c r="B481" s="96">
        <f>'review 1 - annotator 2 - eval'!F88</f>
        <v>1</v>
      </c>
    </row>
    <row r="482">
      <c r="A482" s="95">
        <f>'review 1 - annotator 1 - eval'!F89</f>
        <v>1</v>
      </c>
      <c r="B482" s="96">
        <f>'review 1 - annotator 2 - eval'!F89</f>
        <v>1</v>
      </c>
    </row>
    <row r="483">
      <c r="A483" s="95">
        <f>'review 1 - annotator 1 - eval'!F90</f>
        <v>1</v>
      </c>
      <c r="B483" s="96">
        <f>'review 1 - annotator 2 - eval'!F90</f>
        <v>1</v>
      </c>
    </row>
    <row r="484">
      <c r="A484" s="95">
        <f>'review 1 - annotator 1 - eval'!F94</f>
        <v>1</v>
      </c>
      <c r="B484" s="96">
        <f>'review 1 - annotator 2 - eval'!F94</f>
        <v>1</v>
      </c>
    </row>
    <row r="485">
      <c r="A485" s="95">
        <f>'review 1 - annotator 1 - eval'!F95</f>
        <v>1</v>
      </c>
      <c r="B485" s="96">
        <f>'review 1 - annotator 2 - eval'!F95</f>
        <v>1</v>
      </c>
    </row>
    <row r="486">
      <c r="A486" s="95">
        <f>'review 1 - annotator 1 - eval'!F96</f>
        <v>1</v>
      </c>
      <c r="B486" s="96">
        <f>'review 1 - annotator 2 - eval'!F96</f>
        <v>1</v>
      </c>
    </row>
    <row r="487">
      <c r="A487" s="95">
        <f>'review 1 - annotator 1 - eval'!F97</f>
        <v>1</v>
      </c>
      <c r="B487" s="96">
        <f>'review 1 - annotator 2 - eval'!F97</f>
        <v>1</v>
      </c>
    </row>
    <row r="488">
      <c r="A488" s="95">
        <f>'review 1 - annotator 1 - eval'!F98</f>
        <v>1</v>
      </c>
      <c r="B488" s="96">
        <f>'review 1 - annotator 2 - eval'!F98</f>
        <v>1</v>
      </c>
    </row>
    <row r="489">
      <c r="A489" s="95">
        <f>'review 1 - annotator 1 - eval'!F99</f>
        <v>1</v>
      </c>
      <c r="B489" s="96">
        <f>'review 1 - annotator 2 - eval'!F99</f>
        <v>1</v>
      </c>
    </row>
    <row r="490">
      <c r="A490" s="95">
        <f>'review 1 - annotator 1 - eval'!F100</f>
        <v>1</v>
      </c>
      <c r="B490" s="96">
        <f>'review 1 - annotator 2 - eval'!F100</f>
        <v>1</v>
      </c>
    </row>
    <row r="491">
      <c r="A491" s="95">
        <f>'review 1 - annotator 1 - eval'!F104</f>
        <v>0</v>
      </c>
      <c r="B491" s="96">
        <f>'review 1 - annotator 2 - eval'!F104</f>
        <v>1</v>
      </c>
    </row>
    <row r="492">
      <c r="A492" s="95">
        <f>'review 1 - annotator 1 - eval'!F105</f>
        <v>1</v>
      </c>
      <c r="B492" s="96">
        <f>'review 1 - annotator 2 - eval'!F105</f>
        <v>1</v>
      </c>
    </row>
    <row r="493">
      <c r="A493" s="95">
        <f>'review 1 - annotator 1 - eval'!F106</f>
        <v>0</v>
      </c>
      <c r="B493" s="96">
        <f>'review 1 - annotator 2 - eval'!F106</f>
        <v>1</v>
      </c>
    </row>
    <row r="494">
      <c r="A494" s="95">
        <f>'review 1 - annotator 1 - eval'!F107</f>
        <v>1</v>
      </c>
      <c r="B494" s="96">
        <f>'review 1 - annotator 2 - eval'!F107</f>
        <v>1</v>
      </c>
    </row>
    <row r="495">
      <c r="A495" s="95">
        <f>'review 1 - annotator 1 - eval'!F108</f>
        <v>0</v>
      </c>
      <c r="B495" s="96">
        <f>'review 1 - annotator 2 - eval'!F108</f>
        <v>1</v>
      </c>
    </row>
    <row r="496">
      <c r="A496" s="95">
        <f>'review 1 - annotator 1 - eval'!F109</f>
        <v>1</v>
      </c>
      <c r="B496" s="96">
        <f>'review 1 - annotator 2 - eval'!F109</f>
        <v>1</v>
      </c>
    </row>
    <row r="497">
      <c r="A497" s="95">
        <f>'review 1 - annotator 1 - eval'!F110</f>
        <v>1</v>
      </c>
      <c r="B497" s="96">
        <f>'review 1 - annotator 2 - eval'!F110</f>
        <v>1</v>
      </c>
    </row>
    <row r="498">
      <c r="A498" s="95">
        <f>'review 1 - annotator 1 - eval'!F114</f>
        <v>1</v>
      </c>
      <c r="B498" s="96">
        <f>'review 1 - annotator 2 - eval'!F114</f>
        <v>1</v>
      </c>
    </row>
    <row r="499">
      <c r="A499" s="95">
        <f>'review 1 - annotator 1 - eval'!F115</f>
        <v>1</v>
      </c>
      <c r="B499" s="96">
        <f>'review 1 - annotator 2 - eval'!F115</f>
        <v>1</v>
      </c>
    </row>
    <row r="500">
      <c r="A500" s="95">
        <f>'review 1 - annotator 1 - eval'!F116</f>
        <v>1</v>
      </c>
      <c r="B500" s="96">
        <f>'review 1 - annotator 2 - eval'!F116</f>
        <v>1</v>
      </c>
    </row>
    <row r="501">
      <c r="A501" s="95">
        <f>'review 1 - annotator 1 - eval'!F117</f>
        <v>1</v>
      </c>
      <c r="B501" s="96">
        <f>'review 1 - annotator 2 - eval'!F117</f>
        <v>1</v>
      </c>
    </row>
    <row r="502">
      <c r="A502" s="95">
        <f>'review 1 - annotator 1 - eval'!F118</f>
        <v>1</v>
      </c>
      <c r="B502" s="96">
        <f>'review 1 - annotator 2 - eval'!F118</f>
        <v>1</v>
      </c>
    </row>
    <row r="503">
      <c r="A503" s="95">
        <f>'review 1 - annotator 1 - eval'!F119</f>
        <v>1</v>
      </c>
      <c r="B503" s="96">
        <f>'review 1 - annotator 2 - eval'!F119</f>
        <v>1</v>
      </c>
    </row>
    <row r="504">
      <c r="A504" s="95">
        <f>'review 1 - annotator 1 - eval'!F120</f>
        <v>1</v>
      </c>
      <c r="B504" s="96">
        <f>'review 1 - annotator 2 - eval'!F120</f>
        <v>1</v>
      </c>
    </row>
    <row r="505">
      <c r="A505" s="95">
        <f>'review 1 - annotator 1 - eval'!F124</f>
        <v>1</v>
      </c>
      <c r="B505" s="96">
        <f>'review 1 - annotator 2 - eval'!F124</f>
        <v>0</v>
      </c>
    </row>
    <row r="506">
      <c r="A506" s="95">
        <f>'review 1 - annotator 1 - eval'!F125</f>
        <v>1</v>
      </c>
      <c r="B506" s="96">
        <f>'review 1 - annotator 2 - eval'!F125</f>
        <v>0</v>
      </c>
    </row>
    <row r="507">
      <c r="A507" s="95">
        <f>'review 1 - annotator 1 - eval'!F126</f>
        <v>0</v>
      </c>
      <c r="B507" s="96">
        <f>'review 1 - annotator 2 - eval'!F126</f>
        <v>0</v>
      </c>
    </row>
    <row r="508">
      <c r="A508" s="95">
        <f>'review 1 - annotator 1 - eval'!F127</f>
        <v>1</v>
      </c>
      <c r="B508" s="96">
        <f>'review 1 - annotator 2 - eval'!F127</f>
        <v>0</v>
      </c>
    </row>
    <row r="509">
      <c r="A509" s="95">
        <f>'review 1 - annotator 1 - eval'!F128</f>
        <v>0</v>
      </c>
      <c r="B509" s="96">
        <f>'review 1 - annotator 2 - eval'!F128</f>
        <v>0</v>
      </c>
    </row>
    <row r="510">
      <c r="A510" s="95">
        <f>'review 1 - annotator 1 - eval'!F129</f>
        <v>0</v>
      </c>
      <c r="B510" s="96">
        <f>'review 1 - annotator 2 - eval'!F129</f>
        <v>0</v>
      </c>
    </row>
    <row r="511">
      <c r="A511" s="95">
        <f>'review 1 - annotator 1 - eval'!F130</f>
        <v>0</v>
      </c>
      <c r="B511" s="96">
        <f>'review 1 - annotator 2 - eval'!F130</f>
        <v>0</v>
      </c>
    </row>
    <row r="512">
      <c r="A512" s="95">
        <f>'review 1 - annotator 1 - eval'!F134</f>
        <v>1</v>
      </c>
      <c r="B512" s="96">
        <f>'review 1 - annotator 2 - eval'!F134</f>
        <v>1</v>
      </c>
    </row>
    <row r="513">
      <c r="A513" s="95">
        <f>'review 1 - annotator 1 - eval'!F135</f>
        <v>1</v>
      </c>
      <c r="B513" s="96">
        <f>'review 1 - annotator 2 - eval'!F135</f>
        <v>1</v>
      </c>
    </row>
    <row r="514">
      <c r="A514" s="95">
        <f>'review 1 - annotator 1 - eval'!F136</f>
        <v>0</v>
      </c>
      <c r="B514" s="96">
        <f>'review 1 - annotator 2 - eval'!F136</f>
        <v>1</v>
      </c>
    </row>
    <row r="515">
      <c r="A515" s="95">
        <f>'review 1 - annotator 1 - eval'!F137</f>
        <v>1</v>
      </c>
      <c r="B515" s="96">
        <f>'review 1 - annotator 2 - eval'!F137</f>
        <v>1</v>
      </c>
    </row>
    <row r="516">
      <c r="A516" s="95">
        <f>'review 1 - annotator 1 - eval'!F138</f>
        <v>0</v>
      </c>
      <c r="B516" s="96">
        <f>'review 1 - annotator 2 - eval'!F138</f>
        <v>1</v>
      </c>
    </row>
    <row r="517">
      <c r="A517" s="95">
        <f>'review 1 - annotator 1 - eval'!F139</f>
        <v>1</v>
      </c>
      <c r="B517" s="96">
        <f>'review 1 - annotator 2 - eval'!F139</f>
        <v>1</v>
      </c>
    </row>
    <row r="518">
      <c r="A518" s="95">
        <f>'review 1 - annotator 1 - eval'!F140</f>
        <v>1</v>
      </c>
      <c r="B518" s="96">
        <f>'review 1 - annotator 2 - eval'!F140</f>
        <v>1</v>
      </c>
    </row>
    <row r="519">
      <c r="A519" s="95">
        <f>'review 1 - annotator 1 - eval'!F144</f>
        <v>0</v>
      </c>
      <c r="B519" s="96">
        <f>'review 1 - annotator 2 - eval'!F144</f>
        <v>0</v>
      </c>
    </row>
    <row r="520">
      <c r="A520" s="95">
        <f>'review 1 - annotator 1 - eval'!F145</f>
        <v>1</v>
      </c>
      <c r="B520" s="96">
        <f>'review 1 - annotator 2 - eval'!F145</f>
        <v>1</v>
      </c>
    </row>
    <row r="521">
      <c r="A521" s="95">
        <f>'review 1 - annotator 1 - eval'!F146</f>
        <v>0</v>
      </c>
      <c r="B521" s="96">
        <f>'review 1 - annotator 2 - eval'!F146</f>
        <v>0</v>
      </c>
    </row>
    <row r="522">
      <c r="A522" s="95">
        <f>'review 1 - annotator 1 - eval'!F147</f>
        <v>1</v>
      </c>
      <c r="B522" s="96">
        <f>'review 1 - annotator 2 - eval'!F147</f>
        <v>1</v>
      </c>
    </row>
    <row r="523">
      <c r="A523" s="95">
        <f>'review 1 - annotator 1 - eval'!F148</f>
        <v>1</v>
      </c>
      <c r="B523" s="96">
        <f>'review 1 - annotator 2 - eval'!F148</f>
        <v>1</v>
      </c>
    </row>
    <row r="524">
      <c r="A524" s="95">
        <f>'review 1 - annotator 1 - eval'!F149</f>
        <v>1</v>
      </c>
      <c r="B524" s="96">
        <f>'review 1 - annotator 2 - eval'!F149</f>
        <v>1</v>
      </c>
    </row>
    <row r="525">
      <c r="A525" s="95">
        <f>'review 1 - annotator 1 - eval'!F150</f>
        <v>1</v>
      </c>
      <c r="B525" s="96">
        <f>'review 1 - annotator 2 - eval'!F150</f>
        <v>1</v>
      </c>
    </row>
    <row r="526">
      <c r="A526" s="95">
        <f>'review 1 - annotator 1 - eval'!F154</f>
        <v>1</v>
      </c>
      <c r="B526" s="96">
        <f>'review 1 - annotator 2 - eval'!F154</f>
        <v>1</v>
      </c>
    </row>
    <row r="527">
      <c r="A527" s="95">
        <f>'review 1 - annotator 1 - eval'!F155</f>
        <v>1</v>
      </c>
      <c r="B527" s="96">
        <f>'review 1 - annotator 2 - eval'!F155</f>
        <v>1</v>
      </c>
    </row>
    <row r="528">
      <c r="A528" s="95">
        <f>'review 1 - annotator 1 - eval'!F156</f>
        <v>1</v>
      </c>
      <c r="B528" s="96">
        <f>'review 1 - annotator 2 - eval'!F156</f>
        <v>1</v>
      </c>
    </row>
    <row r="529">
      <c r="A529" s="95">
        <f>'review 1 - annotator 1 - eval'!F157</f>
        <v>1</v>
      </c>
      <c r="B529" s="96">
        <f>'review 1 - annotator 2 - eval'!F157</f>
        <v>1</v>
      </c>
    </row>
    <row r="530">
      <c r="A530" s="95">
        <f>'review 1 - annotator 1 - eval'!F158</f>
        <v>1</v>
      </c>
      <c r="B530" s="96">
        <f>'review 1 - annotator 2 - eval'!F158</f>
        <v>1</v>
      </c>
    </row>
    <row r="531">
      <c r="A531" s="95">
        <f>'review 1 - annotator 1 - eval'!F159</f>
        <v>1</v>
      </c>
      <c r="B531" s="96">
        <f>'review 1 - annotator 2 - eval'!F159</f>
        <v>1</v>
      </c>
    </row>
    <row r="532">
      <c r="A532" s="95">
        <f>'review 1 - annotator 1 - eval'!F160</f>
        <v>1</v>
      </c>
      <c r="B532" s="96">
        <f>'review 1 - annotator 2 - eval'!F160</f>
        <v>1</v>
      </c>
    </row>
    <row r="533">
      <c r="A533" s="95">
        <f>'review 1 - annotator 1 - eval'!F164</f>
        <v>1</v>
      </c>
      <c r="B533" s="96">
        <f>'review 1 - annotator 2 - eval'!F164</f>
        <v>1</v>
      </c>
    </row>
    <row r="534">
      <c r="A534" s="95">
        <f>'review 1 - annotator 1 - eval'!F165</f>
        <v>1</v>
      </c>
      <c r="B534" s="96">
        <f>'review 1 - annotator 2 - eval'!F165</f>
        <v>1</v>
      </c>
    </row>
    <row r="535">
      <c r="A535" s="95">
        <f>'review 1 - annotator 1 - eval'!F166</f>
        <v>1</v>
      </c>
      <c r="B535" s="96">
        <f>'review 1 - annotator 2 - eval'!F166</f>
        <v>1</v>
      </c>
    </row>
    <row r="536">
      <c r="A536" s="95">
        <f>'review 1 - annotator 1 - eval'!F167</f>
        <v>1</v>
      </c>
      <c r="B536" s="96">
        <f>'review 1 - annotator 2 - eval'!F167</f>
        <v>1</v>
      </c>
    </row>
    <row r="537">
      <c r="A537" s="95">
        <f>'review 1 - annotator 1 - eval'!F168</f>
        <v>1</v>
      </c>
      <c r="B537" s="96">
        <f>'review 1 - annotator 2 - eval'!F168</f>
        <v>1</v>
      </c>
    </row>
    <row r="538">
      <c r="A538" s="95">
        <f>'review 1 - annotator 1 - eval'!F169</f>
        <v>1</v>
      </c>
      <c r="B538" s="96">
        <f>'review 1 - annotator 2 - eval'!F169</f>
        <v>1</v>
      </c>
    </row>
    <row r="539">
      <c r="A539" s="95">
        <f>'review 1 - annotator 1 - eval'!F170</f>
        <v>1</v>
      </c>
      <c r="B539" s="96">
        <f>'review 1 - annotator 2 - eval'!F170</f>
        <v>1</v>
      </c>
    </row>
    <row r="540">
      <c r="A540" s="95">
        <f>'review 1 - annotator 1 - eval'!F174</f>
        <v>1</v>
      </c>
      <c r="B540" s="96">
        <f>'review 1 - annotator 2 - eval'!F174</f>
        <v>1</v>
      </c>
    </row>
    <row r="541">
      <c r="A541" s="95">
        <f>'review 1 - annotator 1 - eval'!F175</f>
        <v>1</v>
      </c>
      <c r="B541" s="96">
        <f>'review 1 - annotator 2 - eval'!F175</f>
        <v>1</v>
      </c>
    </row>
    <row r="542">
      <c r="A542" s="95">
        <f>'review 1 - annotator 1 - eval'!F176</f>
        <v>0</v>
      </c>
      <c r="B542" s="96">
        <f>'review 1 - annotator 2 - eval'!F176</f>
        <v>1</v>
      </c>
    </row>
    <row r="543">
      <c r="A543" s="95">
        <f>'review 1 - annotator 1 - eval'!F177</f>
        <v>1</v>
      </c>
      <c r="B543" s="96">
        <f>'review 1 - annotator 2 - eval'!F177</f>
        <v>1</v>
      </c>
    </row>
    <row r="544">
      <c r="A544" s="95">
        <f>'review 1 - annotator 1 - eval'!F178</f>
        <v>1</v>
      </c>
      <c r="B544" s="96">
        <f>'review 1 - annotator 2 - eval'!F178</f>
        <v>1</v>
      </c>
    </row>
    <row r="545">
      <c r="A545" s="95">
        <f>'review 1 - annotator 1 - eval'!F179</f>
        <v>1</v>
      </c>
      <c r="B545" s="96">
        <f>'review 1 - annotator 2 - eval'!F179</f>
        <v>1</v>
      </c>
    </row>
    <row r="546">
      <c r="A546" s="95">
        <f>'review 1 - annotator 1 - eval'!F180</f>
        <v>1</v>
      </c>
      <c r="B546" s="96">
        <f>'review 1 - annotator 2 - eval'!F180</f>
        <v>1</v>
      </c>
    </row>
    <row r="547">
      <c r="A547" s="95">
        <f>'review 1 - annotator 1 - eval'!F184</f>
        <v>1</v>
      </c>
      <c r="B547" s="96">
        <f>'review 1 - annotator 2 - eval'!F184</f>
        <v>1</v>
      </c>
    </row>
    <row r="548">
      <c r="A548" s="95">
        <f>'review 1 - annotator 1 - eval'!F185</f>
        <v>1</v>
      </c>
      <c r="B548" s="96">
        <f>'review 1 - annotator 2 - eval'!F185</f>
        <v>1</v>
      </c>
    </row>
    <row r="549">
      <c r="A549" s="95">
        <f>'review 1 - annotator 1 - eval'!F186</f>
        <v>1</v>
      </c>
      <c r="B549" s="96">
        <f>'review 1 - annotator 2 - eval'!F186</f>
        <v>1</v>
      </c>
    </row>
    <row r="550">
      <c r="A550" s="95">
        <f>'review 1 - annotator 1 - eval'!F187</f>
        <v>1</v>
      </c>
      <c r="B550" s="96">
        <f>'review 1 - annotator 2 - eval'!F187</f>
        <v>1</v>
      </c>
    </row>
    <row r="551">
      <c r="A551" s="95">
        <f>'review 1 - annotator 1 - eval'!F188</f>
        <v>1</v>
      </c>
      <c r="B551" s="96">
        <f>'review 1 - annotator 2 - eval'!F188</f>
        <v>1</v>
      </c>
    </row>
    <row r="552">
      <c r="A552" s="95">
        <f>'review 1 - annotator 1 - eval'!F189</f>
        <v>1</v>
      </c>
      <c r="B552" s="96">
        <f>'review 1 - annotator 2 - eval'!F189</f>
        <v>1</v>
      </c>
    </row>
    <row r="553">
      <c r="A553" s="95">
        <f>'review 1 - annotator 1 - eval'!F190</f>
        <v>1</v>
      </c>
      <c r="B553" s="96">
        <f>'review 1 - annotator 2 - eval'!F190</f>
        <v>1</v>
      </c>
    </row>
    <row r="554">
      <c r="A554" s="95">
        <f>'review 1 - annotator 1 - eval'!F194</f>
        <v>1</v>
      </c>
      <c r="B554" s="96">
        <f>'review 1 - annotator 2 - eval'!F194</f>
        <v>1</v>
      </c>
    </row>
    <row r="555">
      <c r="A555" s="95">
        <f>'review 1 - annotator 1 - eval'!F195</f>
        <v>1</v>
      </c>
      <c r="B555" s="96">
        <f>'review 1 - annotator 2 - eval'!F195</f>
        <v>1</v>
      </c>
    </row>
    <row r="556">
      <c r="A556" s="95">
        <f>'review 1 - annotator 1 - eval'!F196</f>
        <v>0</v>
      </c>
      <c r="B556" s="96">
        <f>'review 1 - annotator 2 - eval'!F196</f>
        <v>1</v>
      </c>
    </row>
    <row r="557">
      <c r="A557" s="95">
        <f>'review 1 - annotator 1 - eval'!F197</f>
        <v>1</v>
      </c>
      <c r="B557" s="96">
        <f>'review 1 - annotator 2 - eval'!F197</f>
        <v>1</v>
      </c>
    </row>
    <row r="558">
      <c r="A558" s="95">
        <f>'review 1 - annotator 1 - eval'!F198</f>
        <v>1</v>
      </c>
      <c r="B558" s="96">
        <f>'review 1 - annotator 2 - eval'!F198</f>
        <v>1</v>
      </c>
    </row>
    <row r="559">
      <c r="A559" s="95">
        <f>'review 1 - annotator 1 - eval'!F199</f>
        <v>1</v>
      </c>
      <c r="B559" s="96">
        <f>'review 1 - annotator 2 - eval'!F199</f>
        <v>1</v>
      </c>
    </row>
    <row r="560">
      <c r="A560" s="95">
        <f>'review 1 - annotator 1 - eval'!F200</f>
        <v>1</v>
      </c>
      <c r="B560" s="96">
        <f>'review 1 - annotator 2 - eval'!F200</f>
        <v>1</v>
      </c>
    </row>
    <row r="561">
      <c r="A561" s="95">
        <f>'review 1 - annotator 1 - eval'!G4</f>
        <v>1</v>
      </c>
      <c r="B561" s="96">
        <f>'review 1 - annotator 2 - eval'!G4</f>
        <v>1</v>
      </c>
    </row>
    <row r="562">
      <c r="A562" s="95">
        <f>'review 1 - annotator 1 - eval'!G5</f>
        <v>1</v>
      </c>
      <c r="B562" s="96">
        <f>'review 1 - annotator 2 - eval'!G5</f>
        <v>1</v>
      </c>
    </row>
    <row r="563">
      <c r="A563" s="95">
        <f>'review 1 - annotator 1 - eval'!G6</f>
        <v>1</v>
      </c>
      <c r="B563" s="96">
        <f>'review 1 - annotator 2 - eval'!G6</f>
        <v>0</v>
      </c>
    </row>
    <row r="564">
      <c r="A564" s="95">
        <f>'review 1 - annotator 1 - eval'!G7</f>
        <v>1</v>
      </c>
      <c r="B564" s="96">
        <f>'review 1 - annotator 2 - eval'!G7</f>
        <v>1</v>
      </c>
    </row>
    <row r="565">
      <c r="A565" s="95">
        <f>'review 1 - annotator 1 - eval'!G8</f>
        <v>1</v>
      </c>
      <c r="B565" s="96">
        <f>'review 1 - annotator 2 - eval'!G8</f>
        <v>1</v>
      </c>
    </row>
    <row r="566">
      <c r="A566" s="95">
        <f>'review 1 - annotator 1 - eval'!G9</f>
        <v>1</v>
      </c>
      <c r="B566" s="96">
        <f>'review 1 - annotator 2 - eval'!G9</f>
        <v>1</v>
      </c>
    </row>
    <row r="567">
      <c r="A567" s="95">
        <f>'review 1 - annotator 1 - eval'!G10</f>
        <v>1</v>
      </c>
      <c r="B567" s="96">
        <f>'review 1 - annotator 2 - eval'!G10</f>
        <v>1</v>
      </c>
    </row>
    <row r="568">
      <c r="A568" s="95">
        <f>'review 1 - annotator 1 - eval'!G14</f>
        <v>1</v>
      </c>
      <c r="B568" s="96">
        <f>'review 1 - annotator 2 - eval'!G14</f>
        <v>1</v>
      </c>
    </row>
    <row r="569">
      <c r="A569" s="95">
        <f>'review 1 - annotator 1 - eval'!G15</f>
        <v>1</v>
      </c>
      <c r="B569" s="96">
        <f>'review 1 - annotator 2 - eval'!G15</f>
        <v>1</v>
      </c>
    </row>
    <row r="570">
      <c r="A570" s="95">
        <f>'review 1 - annotator 1 - eval'!G16</f>
        <v>1</v>
      </c>
      <c r="B570" s="96">
        <f>'review 1 - annotator 2 - eval'!G16</f>
        <v>1</v>
      </c>
    </row>
    <row r="571">
      <c r="A571" s="95">
        <f>'review 1 - annotator 1 - eval'!G17</f>
        <v>1</v>
      </c>
      <c r="B571" s="96">
        <f>'review 1 - annotator 2 - eval'!G17</f>
        <v>1</v>
      </c>
    </row>
    <row r="572">
      <c r="A572" s="95">
        <f>'review 1 - annotator 1 - eval'!G18</f>
        <v>0</v>
      </c>
      <c r="B572" s="96">
        <f>'review 1 - annotator 2 - eval'!G18</f>
        <v>1</v>
      </c>
    </row>
    <row r="573">
      <c r="A573" s="95">
        <f>'review 1 - annotator 1 - eval'!G19</f>
        <v>1</v>
      </c>
      <c r="B573" s="96">
        <f>'review 1 - annotator 2 - eval'!G19</f>
        <v>1</v>
      </c>
    </row>
    <row r="574">
      <c r="A574" s="95">
        <f>'review 1 - annotator 1 - eval'!G20</f>
        <v>1</v>
      </c>
      <c r="B574" s="96">
        <f>'review 1 - annotator 2 - eval'!G20</f>
        <v>1</v>
      </c>
    </row>
    <row r="575">
      <c r="A575" s="95">
        <f>'review 1 - annotator 1 - eval'!G24</f>
        <v>1</v>
      </c>
      <c r="B575" s="96">
        <f>'review 1 - annotator 2 - eval'!G24</f>
        <v>1</v>
      </c>
    </row>
    <row r="576">
      <c r="A576" s="95">
        <f>'review 1 - annotator 1 - eval'!G25</f>
        <v>1</v>
      </c>
      <c r="B576" s="96">
        <f>'review 1 - annotator 2 - eval'!G25</f>
        <v>1</v>
      </c>
    </row>
    <row r="577">
      <c r="A577" s="95">
        <f>'review 1 - annotator 1 - eval'!G26</f>
        <v>1</v>
      </c>
      <c r="B577" s="96">
        <f>'review 1 - annotator 2 - eval'!G26</f>
        <v>1</v>
      </c>
    </row>
    <row r="578">
      <c r="A578" s="95">
        <f>'review 1 - annotator 1 - eval'!G27</f>
        <v>1</v>
      </c>
      <c r="B578" s="96">
        <f>'review 1 - annotator 2 - eval'!G27</f>
        <v>1</v>
      </c>
    </row>
    <row r="579">
      <c r="A579" s="95">
        <f>'review 1 - annotator 1 - eval'!G28</f>
        <v>0</v>
      </c>
      <c r="B579" s="96">
        <f>'review 1 - annotator 2 - eval'!G28</f>
        <v>1</v>
      </c>
    </row>
    <row r="580">
      <c r="A580" s="95">
        <f>'review 1 - annotator 1 - eval'!G29</f>
        <v>1</v>
      </c>
      <c r="B580" s="96">
        <f>'review 1 - annotator 2 - eval'!G29</f>
        <v>1</v>
      </c>
    </row>
    <row r="581">
      <c r="A581" s="95">
        <f>'review 1 - annotator 1 - eval'!G30</f>
        <v>1</v>
      </c>
      <c r="B581" s="96">
        <f>'review 1 - annotator 2 - eval'!G30</f>
        <v>1</v>
      </c>
    </row>
    <row r="582">
      <c r="A582" s="95">
        <f>'review 1 - annotator 1 - eval'!G34</f>
        <v>1</v>
      </c>
      <c r="B582" s="96">
        <f>'review 1 - annotator 2 - eval'!G34</f>
        <v>0</v>
      </c>
    </row>
    <row r="583">
      <c r="A583" s="95">
        <f>'review 1 - annotator 1 - eval'!G35</f>
        <v>1</v>
      </c>
      <c r="B583" s="96">
        <f>'review 1 - annotator 2 - eval'!G35</f>
        <v>0</v>
      </c>
    </row>
    <row r="584">
      <c r="A584" s="95">
        <f>'review 1 - annotator 1 - eval'!G36</f>
        <v>1</v>
      </c>
      <c r="B584" s="96">
        <f>'review 1 - annotator 2 - eval'!G36</f>
        <v>0</v>
      </c>
    </row>
    <row r="585">
      <c r="A585" s="95">
        <f>'review 1 - annotator 1 - eval'!G37</f>
        <v>1</v>
      </c>
      <c r="B585" s="96">
        <f>'review 1 - annotator 2 - eval'!G37</f>
        <v>1</v>
      </c>
    </row>
    <row r="586">
      <c r="A586" s="95">
        <f>'review 1 - annotator 1 - eval'!G38</f>
        <v>1</v>
      </c>
      <c r="B586" s="96">
        <f>'review 1 - annotator 2 - eval'!G38</f>
        <v>0</v>
      </c>
    </row>
    <row r="587">
      <c r="A587" s="95">
        <f>'review 1 - annotator 1 - eval'!G39</f>
        <v>1</v>
      </c>
      <c r="B587" s="96">
        <f>'review 1 - annotator 2 - eval'!G39</f>
        <v>1</v>
      </c>
    </row>
    <row r="588">
      <c r="A588" s="95">
        <f>'review 1 - annotator 1 - eval'!G40</f>
        <v>1</v>
      </c>
      <c r="B588" s="96">
        <f>'review 1 - annotator 2 - eval'!G40</f>
        <v>1</v>
      </c>
    </row>
    <row r="589">
      <c r="A589" s="95">
        <f>'review 1 - annotator 1 - eval'!G44</f>
        <v>1</v>
      </c>
      <c r="B589" s="96">
        <f>'review 1 - annotator 2 - eval'!G44</f>
        <v>1</v>
      </c>
    </row>
    <row r="590">
      <c r="A590" s="95">
        <f>'review 1 - annotator 1 - eval'!G45</f>
        <v>1</v>
      </c>
      <c r="B590" s="96">
        <f>'review 1 - annotator 2 - eval'!G45</f>
        <v>1</v>
      </c>
    </row>
    <row r="591">
      <c r="A591" s="95">
        <f>'review 1 - annotator 1 - eval'!G46</f>
        <v>1</v>
      </c>
      <c r="B591" s="96">
        <f>'review 1 - annotator 2 - eval'!G46</f>
        <v>1</v>
      </c>
    </row>
    <row r="592">
      <c r="A592" s="95">
        <f>'review 1 - annotator 1 - eval'!G47</f>
        <v>1</v>
      </c>
      <c r="B592" s="96">
        <f>'review 1 - annotator 2 - eval'!G47</f>
        <v>1</v>
      </c>
    </row>
    <row r="593">
      <c r="A593" s="95">
        <f>'review 1 - annotator 1 - eval'!G48</f>
        <v>1</v>
      </c>
      <c r="B593" s="96">
        <f>'review 1 - annotator 2 - eval'!G48</f>
        <v>1</v>
      </c>
    </row>
    <row r="594">
      <c r="A594" s="95">
        <f>'review 1 - annotator 1 - eval'!G49</f>
        <v>1</v>
      </c>
      <c r="B594" s="96">
        <f>'review 1 - annotator 2 - eval'!G49</f>
        <v>1</v>
      </c>
    </row>
    <row r="595">
      <c r="A595" s="95">
        <f>'review 1 - annotator 1 - eval'!G50</f>
        <v>1</v>
      </c>
      <c r="B595" s="96">
        <f>'review 1 - annotator 2 - eval'!G50</f>
        <v>1</v>
      </c>
    </row>
    <row r="596">
      <c r="A596" s="95">
        <f>'review 1 - annotator 1 - eval'!G54</f>
        <v>1</v>
      </c>
      <c r="B596" s="96">
        <f>'review 1 - annotator 2 - eval'!G54</f>
        <v>1</v>
      </c>
    </row>
    <row r="597">
      <c r="A597" s="95">
        <f>'review 1 - annotator 1 - eval'!G55</f>
        <v>1</v>
      </c>
      <c r="B597" s="96">
        <f>'review 1 - annotator 2 - eval'!G55</f>
        <v>1</v>
      </c>
    </row>
    <row r="598">
      <c r="A598" s="95">
        <f>'review 1 - annotator 1 - eval'!G56</f>
        <v>1</v>
      </c>
      <c r="B598" s="96">
        <f>'review 1 - annotator 2 - eval'!G56</f>
        <v>1</v>
      </c>
    </row>
    <row r="599">
      <c r="A599" s="95">
        <f>'review 1 - annotator 1 - eval'!G57</f>
        <v>1</v>
      </c>
      <c r="B599" s="96">
        <f>'review 1 - annotator 2 - eval'!G57</f>
        <v>1</v>
      </c>
    </row>
    <row r="600">
      <c r="A600" s="95">
        <f>'review 1 - annotator 1 - eval'!G58</f>
        <v>1</v>
      </c>
      <c r="B600" s="96">
        <f>'review 1 - annotator 2 - eval'!G58</f>
        <v>1</v>
      </c>
    </row>
    <row r="601">
      <c r="A601" s="95">
        <f>'review 1 - annotator 1 - eval'!G59</f>
        <v>1</v>
      </c>
      <c r="B601" s="96">
        <f>'review 1 - annotator 2 - eval'!G59</f>
        <v>1</v>
      </c>
    </row>
    <row r="602">
      <c r="A602" s="95">
        <f>'review 1 - annotator 1 - eval'!G60</f>
        <v>1</v>
      </c>
      <c r="B602" s="96">
        <f>'review 1 - annotator 2 - eval'!G60</f>
        <v>1</v>
      </c>
    </row>
    <row r="603">
      <c r="A603" s="95">
        <f>'review 1 - annotator 1 - eval'!G64</f>
        <v>1</v>
      </c>
      <c r="B603" s="96">
        <f>'review 1 - annotator 2 - eval'!G64</f>
        <v>1</v>
      </c>
    </row>
    <row r="604">
      <c r="A604" s="95">
        <f>'review 1 - annotator 1 - eval'!G65</f>
        <v>1</v>
      </c>
      <c r="B604" s="96">
        <f>'review 1 - annotator 2 - eval'!G65</f>
        <v>1</v>
      </c>
    </row>
    <row r="605">
      <c r="A605" s="95">
        <f>'review 1 - annotator 1 - eval'!G66</f>
        <v>1</v>
      </c>
      <c r="B605" s="96">
        <f>'review 1 - annotator 2 - eval'!G66</f>
        <v>1</v>
      </c>
    </row>
    <row r="606">
      <c r="A606" s="95">
        <f>'review 1 - annotator 1 - eval'!G67</f>
        <v>1</v>
      </c>
      <c r="B606" s="96">
        <f>'review 1 - annotator 2 - eval'!G67</f>
        <v>1</v>
      </c>
    </row>
    <row r="607">
      <c r="A607" s="95">
        <f>'review 1 - annotator 1 - eval'!G68</f>
        <v>1</v>
      </c>
      <c r="B607" s="96">
        <f>'review 1 - annotator 2 - eval'!G68</f>
        <v>1</v>
      </c>
    </row>
    <row r="608">
      <c r="A608" s="95">
        <f>'review 1 - annotator 1 - eval'!G69</f>
        <v>1</v>
      </c>
      <c r="B608" s="96">
        <f>'review 1 - annotator 2 - eval'!G69</f>
        <v>1</v>
      </c>
    </row>
    <row r="609">
      <c r="A609" s="95">
        <f>'review 1 - annotator 1 - eval'!G70</f>
        <v>1</v>
      </c>
      <c r="B609" s="96">
        <f>'review 1 - annotator 2 - eval'!G70</f>
        <v>1</v>
      </c>
    </row>
    <row r="610">
      <c r="A610" s="95">
        <f>'review 1 - annotator 1 - eval'!G74</f>
        <v>1</v>
      </c>
      <c r="B610" s="96">
        <f>'review 1 - annotator 2 - eval'!G74</f>
        <v>1</v>
      </c>
    </row>
    <row r="611">
      <c r="A611" s="95">
        <f>'review 1 - annotator 1 - eval'!G75</f>
        <v>1</v>
      </c>
      <c r="B611" s="96">
        <f>'review 1 - annotator 2 - eval'!G75</f>
        <v>1</v>
      </c>
    </row>
    <row r="612">
      <c r="A612" s="95">
        <f>'review 1 - annotator 1 - eval'!G76</f>
        <v>1</v>
      </c>
      <c r="B612" s="96">
        <f>'review 1 - annotator 2 - eval'!G76</f>
        <v>1</v>
      </c>
    </row>
    <row r="613">
      <c r="A613" s="95">
        <f>'review 1 - annotator 1 - eval'!G77</f>
        <v>1</v>
      </c>
      <c r="B613" s="96">
        <f>'review 1 - annotator 2 - eval'!G77</f>
        <v>1</v>
      </c>
    </row>
    <row r="614">
      <c r="A614" s="95">
        <f>'review 1 - annotator 1 - eval'!G78</f>
        <v>1</v>
      </c>
      <c r="B614" s="96">
        <f>'review 1 - annotator 2 - eval'!G78</f>
        <v>1</v>
      </c>
    </row>
    <row r="615">
      <c r="A615" s="95">
        <f>'review 1 - annotator 1 - eval'!G79</f>
        <v>1</v>
      </c>
      <c r="B615" s="96">
        <f>'review 1 - annotator 2 - eval'!G79</f>
        <v>1</v>
      </c>
    </row>
    <row r="616">
      <c r="A616" s="95">
        <f>'review 1 - annotator 1 - eval'!G80</f>
        <v>1</v>
      </c>
      <c r="B616" s="96">
        <f>'review 1 - annotator 2 - eval'!G80</f>
        <v>1</v>
      </c>
    </row>
    <row r="617">
      <c r="A617" s="95">
        <f>'review 1 - annotator 1 - eval'!G84</f>
        <v>1</v>
      </c>
      <c r="B617" s="96">
        <f>'review 1 - annotator 2 - eval'!G84</f>
        <v>0</v>
      </c>
    </row>
    <row r="618">
      <c r="A618" s="95">
        <f>'review 1 - annotator 1 - eval'!G85</f>
        <v>1</v>
      </c>
      <c r="B618" s="96">
        <f>'review 1 - annotator 2 - eval'!G85</f>
        <v>1</v>
      </c>
    </row>
    <row r="619">
      <c r="A619" s="95">
        <f>'review 1 - annotator 1 - eval'!G86</f>
        <v>1</v>
      </c>
      <c r="B619" s="96">
        <f>'review 1 - annotator 2 - eval'!G86</f>
        <v>0</v>
      </c>
    </row>
    <row r="620">
      <c r="A620" s="95">
        <f>'review 1 - annotator 1 - eval'!G87</f>
        <v>1</v>
      </c>
      <c r="B620" s="96">
        <f>'review 1 - annotator 2 - eval'!G87</f>
        <v>1</v>
      </c>
    </row>
    <row r="621">
      <c r="A621" s="95">
        <f>'review 1 - annotator 1 - eval'!G88</f>
        <v>1</v>
      </c>
      <c r="B621" s="96">
        <f>'review 1 - annotator 2 - eval'!G88</f>
        <v>1</v>
      </c>
    </row>
    <row r="622">
      <c r="A622" s="95">
        <f>'review 1 - annotator 1 - eval'!G89</f>
        <v>1</v>
      </c>
      <c r="B622" s="96">
        <f>'review 1 - annotator 2 - eval'!G89</f>
        <v>1</v>
      </c>
    </row>
    <row r="623">
      <c r="A623" s="95">
        <f>'review 1 - annotator 1 - eval'!G90</f>
        <v>1</v>
      </c>
      <c r="B623" s="96">
        <f>'review 1 - annotator 2 - eval'!G90</f>
        <v>1</v>
      </c>
    </row>
    <row r="624">
      <c r="A624" s="95">
        <f>'review 1 - annotator 1 - eval'!G94</f>
        <v>1</v>
      </c>
      <c r="B624" s="96">
        <f>'review 1 - annotator 2 - eval'!G94</f>
        <v>0</v>
      </c>
    </row>
    <row r="625">
      <c r="A625" s="95">
        <f>'review 1 - annotator 1 - eval'!G95</f>
        <v>1</v>
      </c>
      <c r="B625" s="96">
        <f>'review 1 - annotator 2 - eval'!G95</f>
        <v>1</v>
      </c>
    </row>
    <row r="626">
      <c r="A626" s="95">
        <f>'review 1 - annotator 1 - eval'!G96</f>
        <v>1</v>
      </c>
      <c r="B626" s="96">
        <f>'review 1 - annotator 2 - eval'!G96</f>
        <v>0</v>
      </c>
    </row>
    <row r="627">
      <c r="A627" s="95">
        <f>'review 1 - annotator 1 - eval'!G97</f>
        <v>1</v>
      </c>
      <c r="B627" s="96">
        <f>'review 1 - annotator 2 - eval'!G97</f>
        <v>1</v>
      </c>
    </row>
    <row r="628">
      <c r="A628" s="95">
        <f>'review 1 - annotator 1 - eval'!G98</f>
        <v>1</v>
      </c>
      <c r="B628" s="96">
        <f>'review 1 - annotator 2 - eval'!G98</f>
        <v>0</v>
      </c>
    </row>
    <row r="629">
      <c r="A629" s="95">
        <f>'review 1 - annotator 1 - eval'!G99</f>
        <v>1</v>
      </c>
      <c r="B629" s="96">
        <f>'review 1 - annotator 2 - eval'!G99</f>
        <v>1</v>
      </c>
    </row>
    <row r="630">
      <c r="A630" s="95">
        <f>'review 1 - annotator 1 - eval'!G100</f>
        <v>1</v>
      </c>
      <c r="B630" s="96">
        <f>'review 1 - annotator 2 - eval'!G100</f>
        <v>1</v>
      </c>
    </row>
    <row r="631">
      <c r="A631" s="95">
        <f>'review 1 - annotator 1 - eval'!G104</f>
        <v>1</v>
      </c>
      <c r="B631" s="96">
        <f>'review 1 - annotator 2 - eval'!G104</f>
        <v>1</v>
      </c>
    </row>
    <row r="632">
      <c r="A632" s="95">
        <f>'review 1 - annotator 1 - eval'!G105</f>
        <v>1</v>
      </c>
      <c r="B632" s="96">
        <f>'review 1 - annotator 2 - eval'!G105</f>
        <v>1</v>
      </c>
    </row>
    <row r="633">
      <c r="A633" s="95">
        <f>'review 1 - annotator 1 - eval'!G106</f>
        <v>0</v>
      </c>
      <c r="B633" s="96">
        <f>'review 1 - annotator 2 - eval'!G106</f>
        <v>1</v>
      </c>
    </row>
    <row r="634">
      <c r="A634" s="95">
        <f>'review 1 - annotator 1 - eval'!G107</f>
        <v>1</v>
      </c>
      <c r="B634" s="96">
        <f>'review 1 - annotator 2 - eval'!G107</f>
        <v>1</v>
      </c>
    </row>
    <row r="635">
      <c r="A635" s="95">
        <f>'review 1 - annotator 1 - eval'!G108</f>
        <v>1</v>
      </c>
      <c r="B635" s="96">
        <f>'review 1 - annotator 2 - eval'!G108</f>
        <v>1</v>
      </c>
    </row>
    <row r="636">
      <c r="A636" s="95">
        <f>'review 1 - annotator 1 - eval'!G109</f>
        <v>1</v>
      </c>
      <c r="B636" s="96">
        <f>'review 1 - annotator 2 - eval'!G109</f>
        <v>1</v>
      </c>
    </row>
    <row r="637">
      <c r="A637" s="95">
        <f>'review 1 - annotator 1 - eval'!G110</f>
        <v>1</v>
      </c>
      <c r="B637" s="96">
        <f>'review 1 - annotator 2 - eval'!G110</f>
        <v>1</v>
      </c>
    </row>
    <row r="638">
      <c r="A638" s="95">
        <f>'review 1 - annotator 1 - eval'!G114</f>
        <v>1</v>
      </c>
      <c r="B638" s="96">
        <f>'review 1 - annotator 2 - eval'!G114</f>
        <v>1</v>
      </c>
    </row>
    <row r="639">
      <c r="A639" s="95">
        <f>'review 1 - annotator 1 - eval'!G115</f>
        <v>1</v>
      </c>
      <c r="B639" s="96">
        <f>'review 1 - annotator 2 - eval'!G115</f>
        <v>1</v>
      </c>
    </row>
    <row r="640">
      <c r="A640" s="95">
        <f>'review 1 - annotator 1 - eval'!G116</f>
        <v>1</v>
      </c>
      <c r="B640" s="96">
        <f>'review 1 - annotator 2 - eval'!G116</f>
        <v>1</v>
      </c>
    </row>
    <row r="641">
      <c r="A641" s="95">
        <f>'review 1 - annotator 1 - eval'!G117</f>
        <v>1</v>
      </c>
      <c r="B641" s="96">
        <f>'review 1 - annotator 2 - eval'!G117</f>
        <v>1</v>
      </c>
    </row>
    <row r="642">
      <c r="A642" s="95">
        <f>'review 1 - annotator 1 - eval'!G118</f>
        <v>1</v>
      </c>
      <c r="B642" s="96">
        <f>'review 1 - annotator 2 - eval'!G118</f>
        <v>0</v>
      </c>
    </row>
    <row r="643">
      <c r="A643" s="95">
        <f>'review 1 - annotator 1 - eval'!G119</f>
        <v>1</v>
      </c>
      <c r="B643" s="96">
        <f>'review 1 - annotator 2 - eval'!G119</f>
        <v>1</v>
      </c>
    </row>
    <row r="644">
      <c r="A644" s="95">
        <f>'review 1 - annotator 1 - eval'!G120</f>
        <v>1</v>
      </c>
      <c r="B644" s="96">
        <f>'review 1 - annotator 2 - eval'!G120</f>
        <v>1</v>
      </c>
    </row>
    <row r="645">
      <c r="A645" s="95">
        <f>'review 1 - annotator 1 - eval'!G124</f>
        <v>1</v>
      </c>
      <c r="B645" s="96">
        <f>'review 1 - annotator 2 - eval'!G124</f>
        <v>1</v>
      </c>
    </row>
    <row r="646">
      <c r="A646" s="95">
        <f>'review 1 - annotator 1 - eval'!G125</f>
        <v>1</v>
      </c>
      <c r="B646" s="96">
        <f>'review 1 - annotator 2 - eval'!G125</f>
        <v>1</v>
      </c>
    </row>
    <row r="647">
      <c r="A647" s="95">
        <f>'review 1 - annotator 1 - eval'!G126</f>
        <v>0</v>
      </c>
      <c r="B647" s="96">
        <f>'review 1 - annotator 2 - eval'!G126</f>
        <v>1</v>
      </c>
    </row>
    <row r="648">
      <c r="A648" s="95">
        <f>'review 1 - annotator 1 - eval'!G127</f>
        <v>1</v>
      </c>
      <c r="B648" s="96">
        <f>'review 1 - annotator 2 - eval'!G127</f>
        <v>1</v>
      </c>
    </row>
    <row r="649">
      <c r="A649" s="95">
        <f>'review 1 - annotator 1 - eval'!G128</f>
        <v>0</v>
      </c>
      <c r="B649" s="96">
        <f>'review 1 - annotator 2 - eval'!G128</f>
        <v>1</v>
      </c>
    </row>
    <row r="650">
      <c r="A650" s="95">
        <f>'review 1 - annotator 1 - eval'!G129</f>
        <v>1</v>
      </c>
      <c r="B650" s="96">
        <f>'review 1 - annotator 2 - eval'!G129</f>
        <v>1</v>
      </c>
    </row>
    <row r="651">
      <c r="A651" s="95">
        <f>'review 1 - annotator 1 - eval'!G130</f>
        <v>1</v>
      </c>
      <c r="B651" s="96">
        <f>'review 1 - annotator 2 - eval'!G130</f>
        <v>1</v>
      </c>
    </row>
    <row r="652">
      <c r="A652" s="95">
        <f>'review 1 - annotator 1 - eval'!G134</f>
        <v>1</v>
      </c>
      <c r="B652" s="96">
        <f>'review 1 - annotator 2 - eval'!G134</f>
        <v>1</v>
      </c>
    </row>
    <row r="653">
      <c r="A653" s="95">
        <f>'review 1 - annotator 1 - eval'!G135</f>
        <v>1</v>
      </c>
      <c r="B653" s="96">
        <f>'review 1 - annotator 2 - eval'!G135</f>
        <v>1</v>
      </c>
    </row>
    <row r="654">
      <c r="A654" s="95">
        <f>'review 1 - annotator 1 - eval'!G136</f>
        <v>1</v>
      </c>
      <c r="B654" s="96">
        <f>'review 1 - annotator 2 - eval'!G136</f>
        <v>0</v>
      </c>
    </row>
    <row r="655">
      <c r="A655" s="95">
        <f>'review 1 - annotator 1 - eval'!G137</f>
        <v>1</v>
      </c>
      <c r="B655" s="96">
        <f>'review 1 - annotator 2 - eval'!G137</f>
        <v>1</v>
      </c>
    </row>
    <row r="656">
      <c r="A656" s="95">
        <f>'review 1 - annotator 1 - eval'!G138</f>
        <v>1</v>
      </c>
      <c r="B656" s="96">
        <f>'review 1 - annotator 2 - eval'!G138</f>
        <v>1</v>
      </c>
    </row>
    <row r="657">
      <c r="A657" s="95">
        <f>'review 1 - annotator 1 - eval'!G139</f>
        <v>1</v>
      </c>
      <c r="B657" s="96">
        <f>'review 1 - annotator 2 - eval'!G139</f>
        <v>1</v>
      </c>
    </row>
    <row r="658">
      <c r="A658" s="95">
        <f>'review 1 - annotator 1 - eval'!G140</f>
        <v>1</v>
      </c>
      <c r="B658" s="96">
        <f>'review 1 - annotator 2 - eval'!G140</f>
        <v>1</v>
      </c>
    </row>
    <row r="659">
      <c r="A659" s="95">
        <f>'review 1 - annotator 1 - eval'!G144</f>
        <v>0</v>
      </c>
      <c r="B659" s="96">
        <f>'review 1 - annotator 2 - eval'!G144</f>
        <v>1</v>
      </c>
    </row>
    <row r="660">
      <c r="A660" s="95">
        <f>'review 1 - annotator 1 - eval'!G145</f>
        <v>1</v>
      </c>
      <c r="B660" s="96">
        <f>'review 1 - annotator 2 - eval'!G145</f>
        <v>1</v>
      </c>
    </row>
    <row r="661">
      <c r="A661" s="95">
        <f>'review 1 - annotator 1 - eval'!G146</f>
        <v>0</v>
      </c>
      <c r="B661" s="96">
        <f>'review 1 - annotator 2 - eval'!G146</f>
        <v>1</v>
      </c>
    </row>
    <row r="662">
      <c r="A662" s="95">
        <f>'review 1 - annotator 1 - eval'!G147</f>
        <v>1</v>
      </c>
      <c r="B662" s="96">
        <f>'review 1 - annotator 2 - eval'!G147</f>
        <v>1</v>
      </c>
    </row>
    <row r="663">
      <c r="A663" s="95">
        <f>'review 1 - annotator 1 - eval'!G148</f>
        <v>1</v>
      </c>
      <c r="B663" s="96">
        <f>'review 1 - annotator 2 - eval'!G148</f>
        <v>1</v>
      </c>
    </row>
    <row r="664">
      <c r="A664" s="95">
        <f>'review 1 - annotator 1 - eval'!G149</f>
        <v>1</v>
      </c>
      <c r="B664" s="96">
        <f>'review 1 - annotator 2 - eval'!G149</f>
        <v>1</v>
      </c>
    </row>
    <row r="665">
      <c r="A665" s="95">
        <f>'review 1 - annotator 1 - eval'!G150</f>
        <v>1</v>
      </c>
      <c r="B665" s="96">
        <f>'review 1 - annotator 2 - eval'!G150</f>
        <v>1</v>
      </c>
    </row>
    <row r="666">
      <c r="A666" s="95">
        <f>'review 1 - annotator 1 - eval'!G154</f>
        <v>0</v>
      </c>
      <c r="B666" s="96">
        <f>'review 1 - annotator 2 - eval'!G154</f>
        <v>1</v>
      </c>
    </row>
    <row r="667">
      <c r="A667" s="95">
        <f>'review 1 - annotator 1 - eval'!G155</f>
        <v>1</v>
      </c>
      <c r="B667" s="96">
        <f>'review 1 - annotator 2 - eval'!G155</f>
        <v>1</v>
      </c>
    </row>
    <row r="668">
      <c r="A668" s="95">
        <f>'review 1 - annotator 1 - eval'!G156</f>
        <v>0</v>
      </c>
      <c r="B668" s="96">
        <f>'review 1 - annotator 2 - eval'!G156</f>
        <v>1</v>
      </c>
    </row>
    <row r="669">
      <c r="A669" s="95">
        <f>'review 1 - annotator 1 - eval'!G157</f>
        <v>1</v>
      </c>
      <c r="B669" s="96">
        <f>'review 1 - annotator 2 - eval'!G157</f>
        <v>1</v>
      </c>
    </row>
    <row r="670">
      <c r="A670" s="95">
        <f>'review 1 - annotator 1 - eval'!G158</f>
        <v>1</v>
      </c>
      <c r="B670" s="96">
        <f>'review 1 - annotator 2 - eval'!G158</f>
        <v>1</v>
      </c>
    </row>
    <row r="671">
      <c r="A671" s="95">
        <f>'review 1 - annotator 1 - eval'!G159</f>
        <v>1</v>
      </c>
      <c r="B671" s="96">
        <f>'review 1 - annotator 2 - eval'!G159</f>
        <v>1</v>
      </c>
    </row>
    <row r="672">
      <c r="A672" s="95">
        <f>'review 1 - annotator 1 - eval'!G160</f>
        <v>1</v>
      </c>
      <c r="B672" s="96">
        <f>'review 1 - annotator 2 - eval'!G160</f>
        <v>1</v>
      </c>
    </row>
    <row r="673">
      <c r="A673" s="95">
        <f>'review 1 - annotator 1 - eval'!G164</f>
        <v>1</v>
      </c>
      <c r="B673" s="96">
        <f>'review 1 - annotator 2 - eval'!G164</f>
        <v>0</v>
      </c>
    </row>
    <row r="674">
      <c r="A674" s="95">
        <f>'review 1 - annotator 1 - eval'!G165</f>
        <v>1</v>
      </c>
      <c r="B674" s="96">
        <f>'review 1 - annotator 2 - eval'!G165</f>
        <v>1</v>
      </c>
    </row>
    <row r="675">
      <c r="A675" s="95">
        <f>'review 1 - annotator 1 - eval'!G166</f>
        <v>0</v>
      </c>
      <c r="B675" s="96">
        <f>'review 1 - annotator 2 - eval'!G166</f>
        <v>0</v>
      </c>
    </row>
    <row r="676">
      <c r="A676" s="95">
        <f>'review 1 - annotator 1 - eval'!G167</f>
        <v>1</v>
      </c>
      <c r="B676" s="96">
        <f>'review 1 - annotator 2 - eval'!G167</f>
        <v>1</v>
      </c>
    </row>
    <row r="677">
      <c r="A677" s="95">
        <f>'review 1 - annotator 1 - eval'!G168</f>
        <v>1</v>
      </c>
      <c r="B677" s="96">
        <f>'review 1 - annotator 2 - eval'!G168</f>
        <v>1</v>
      </c>
    </row>
    <row r="678">
      <c r="A678" s="95">
        <f>'review 1 - annotator 1 - eval'!G169</f>
        <v>1</v>
      </c>
      <c r="B678" s="96">
        <f>'review 1 - annotator 2 - eval'!G169</f>
        <v>1</v>
      </c>
    </row>
    <row r="679">
      <c r="A679" s="95">
        <f>'review 1 - annotator 1 - eval'!G170</f>
        <v>1</v>
      </c>
      <c r="B679" s="96">
        <f>'review 1 - annotator 2 - eval'!G170</f>
        <v>1</v>
      </c>
    </row>
    <row r="680">
      <c r="A680" s="95">
        <f>'review 1 - annotator 1 - eval'!G174</f>
        <v>1</v>
      </c>
      <c r="B680" s="96">
        <f>'review 1 - annotator 2 - eval'!G174</f>
        <v>1</v>
      </c>
    </row>
    <row r="681">
      <c r="A681" s="95">
        <f>'review 1 - annotator 1 - eval'!G175</f>
        <v>1</v>
      </c>
      <c r="B681" s="96">
        <f>'review 1 - annotator 2 - eval'!G175</f>
        <v>1</v>
      </c>
    </row>
    <row r="682">
      <c r="A682" s="95">
        <f>'review 1 - annotator 1 - eval'!G176</f>
        <v>1</v>
      </c>
      <c r="B682" s="96">
        <f>'review 1 - annotator 2 - eval'!G176</f>
        <v>1</v>
      </c>
    </row>
    <row r="683">
      <c r="A683" s="95">
        <f>'review 1 - annotator 1 - eval'!G177</f>
        <v>1</v>
      </c>
      <c r="B683" s="96">
        <f>'review 1 - annotator 2 - eval'!G177</f>
        <v>1</v>
      </c>
    </row>
    <row r="684">
      <c r="A684" s="95">
        <f>'review 1 - annotator 1 - eval'!G178</f>
        <v>1</v>
      </c>
      <c r="B684" s="96">
        <f>'review 1 - annotator 2 - eval'!G178</f>
        <v>1</v>
      </c>
    </row>
    <row r="685">
      <c r="A685" s="95">
        <f>'review 1 - annotator 1 - eval'!G179</f>
        <v>1</v>
      </c>
      <c r="B685" s="96">
        <f>'review 1 - annotator 2 - eval'!G179</f>
        <v>1</v>
      </c>
    </row>
    <row r="686">
      <c r="A686" s="95">
        <f>'review 1 - annotator 1 - eval'!G180</f>
        <v>1</v>
      </c>
      <c r="B686" s="96">
        <f>'review 1 - annotator 2 - eval'!G180</f>
        <v>1</v>
      </c>
    </row>
    <row r="687">
      <c r="A687" s="95">
        <f>'review 1 - annotator 1 - eval'!G184</f>
        <v>1</v>
      </c>
      <c r="B687" s="96">
        <f>'review 1 - annotator 2 - eval'!G184</f>
        <v>1</v>
      </c>
    </row>
    <row r="688">
      <c r="A688" s="95">
        <f>'review 1 - annotator 1 - eval'!G185</f>
        <v>1</v>
      </c>
      <c r="B688" s="96">
        <f>'review 1 - annotator 2 - eval'!G185</f>
        <v>1</v>
      </c>
    </row>
    <row r="689">
      <c r="A689" s="95">
        <f>'review 1 - annotator 1 - eval'!G186</f>
        <v>1</v>
      </c>
      <c r="B689" s="96">
        <f>'review 1 - annotator 2 - eval'!G186</f>
        <v>1</v>
      </c>
    </row>
    <row r="690">
      <c r="A690" s="95">
        <f>'review 1 - annotator 1 - eval'!G187</f>
        <v>1</v>
      </c>
      <c r="B690" s="96">
        <f>'review 1 - annotator 2 - eval'!G187</f>
        <v>1</v>
      </c>
    </row>
    <row r="691">
      <c r="A691" s="95">
        <f>'review 1 - annotator 1 - eval'!G188</f>
        <v>1</v>
      </c>
      <c r="B691" s="96">
        <f>'review 1 - annotator 2 - eval'!G188</f>
        <v>1</v>
      </c>
    </row>
    <row r="692">
      <c r="A692" s="95">
        <f>'review 1 - annotator 1 - eval'!G189</f>
        <v>1</v>
      </c>
      <c r="B692" s="96">
        <f>'review 1 - annotator 2 - eval'!G189</f>
        <v>1</v>
      </c>
    </row>
    <row r="693">
      <c r="A693" s="95">
        <f>'review 1 - annotator 1 - eval'!G190</f>
        <v>1</v>
      </c>
      <c r="B693" s="96">
        <f>'review 1 - annotator 2 - eval'!G190</f>
        <v>1</v>
      </c>
    </row>
    <row r="694">
      <c r="A694" s="95">
        <f>'review 1 - annotator 1 - eval'!G194</f>
        <v>1</v>
      </c>
      <c r="B694" s="96">
        <f>'review 1 - annotator 2 - eval'!G194</f>
        <v>1</v>
      </c>
    </row>
    <row r="695">
      <c r="A695" s="95">
        <f>'review 1 - annotator 1 - eval'!G195</f>
        <v>1</v>
      </c>
      <c r="B695" s="96">
        <f>'review 1 - annotator 2 - eval'!G195</f>
        <v>1</v>
      </c>
    </row>
    <row r="696">
      <c r="A696" s="95">
        <f>'review 1 - annotator 1 - eval'!G196</f>
        <v>1</v>
      </c>
      <c r="B696" s="96">
        <f>'review 1 - annotator 2 - eval'!G196</f>
        <v>1</v>
      </c>
    </row>
    <row r="697">
      <c r="A697" s="95">
        <f>'review 1 - annotator 1 - eval'!G197</f>
        <v>1</v>
      </c>
      <c r="B697" s="96">
        <f>'review 1 - annotator 2 - eval'!G197</f>
        <v>1</v>
      </c>
    </row>
    <row r="698">
      <c r="A698" s="95">
        <f>'review 1 - annotator 1 - eval'!G198</f>
        <v>1</v>
      </c>
      <c r="B698" s="96">
        <f>'review 1 - annotator 2 - eval'!G198</f>
        <v>0</v>
      </c>
    </row>
    <row r="699">
      <c r="A699" s="95">
        <f>'review 1 - annotator 1 - eval'!G199</f>
        <v>1</v>
      </c>
      <c r="B699" s="96">
        <f>'review 1 - annotator 2 - eval'!G199</f>
        <v>1</v>
      </c>
    </row>
    <row r="700">
      <c r="A700" s="95">
        <f>'review 1 - annotator 1 - eval'!G200</f>
        <v>1</v>
      </c>
      <c r="B700" s="96">
        <f>'review 1 - annotator 2 - eval'!G200</f>
        <v>1</v>
      </c>
    </row>
    <row r="701">
      <c r="A701" s="95">
        <f>'review 1 - annotator 1 - eval'!H4</f>
        <v>1</v>
      </c>
      <c r="B701" s="96">
        <f>'review 1 - annotator 2 - eval'!H4</f>
        <v>1</v>
      </c>
    </row>
    <row r="702">
      <c r="A702" s="95">
        <f>'review 1 - annotator 1 - eval'!H5</f>
        <v>1</v>
      </c>
      <c r="B702" s="96">
        <f>'review 1 - annotator 2 - eval'!H5</f>
        <v>1</v>
      </c>
    </row>
    <row r="703">
      <c r="A703" s="95">
        <f>'review 1 - annotator 1 - eval'!H6</f>
        <v>1</v>
      </c>
      <c r="B703" s="96">
        <f>'review 1 - annotator 2 - eval'!H6</f>
        <v>1</v>
      </c>
    </row>
    <row r="704">
      <c r="A704" s="95">
        <f>'review 1 - annotator 1 - eval'!H7</f>
        <v>1</v>
      </c>
      <c r="B704" s="96">
        <f>'review 1 - annotator 2 - eval'!H7</f>
        <v>1</v>
      </c>
    </row>
    <row r="705">
      <c r="A705" s="95">
        <f>'review 1 - annotator 1 - eval'!H8</f>
        <v>1</v>
      </c>
      <c r="B705" s="96">
        <f>'review 1 - annotator 2 - eval'!H8</f>
        <v>1</v>
      </c>
    </row>
    <row r="706">
      <c r="A706" s="95">
        <f>'review 1 - annotator 1 - eval'!H9</f>
        <v>1</v>
      </c>
      <c r="B706" s="96">
        <f>'review 1 - annotator 2 - eval'!H9</f>
        <v>1</v>
      </c>
    </row>
    <row r="707">
      <c r="A707" s="95">
        <f>'review 1 - annotator 1 - eval'!H10</f>
        <v>1</v>
      </c>
      <c r="B707" s="96">
        <f>'review 1 - annotator 2 - eval'!H10</f>
        <v>1</v>
      </c>
    </row>
    <row r="708">
      <c r="A708" s="95">
        <f>'review 1 - annotator 1 - eval'!H14</f>
        <v>1</v>
      </c>
      <c r="B708" s="96">
        <f>'review 1 - annotator 2 - eval'!H14</f>
        <v>1</v>
      </c>
    </row>
    <row r="709">
      <c r="A709" s="95">
        <f>'review 1 - annotator 1 - eval'!H15</f>
        <v>1</v>
      </c>
      <c r="B709" s="96">
        <f>'review 1 - annotator 2 - eval'!H15</f>
        <v>1</v>
      </c>
    </row>
    <row r="710">
      <c r="A710" s="95">
        <f>'review 1 - annotator 1 - eval'!H16</f>
        <v>1</v>
      </c>
      <c r="B710" s="96">
        <f>'review 1 - annotator 2 - eval'!H16</f>
        <v>1</v>
      </c>
    </row>
    <row r="711">
      <c r="A711" s="95">
        <f>'review 1 - annotator 1 - eval'!H17</f>
        <v>1</v>
      </c>
      <c r="B711" s="96">
        <f>'review 1 - annotator 2 - eval'!H17</f>
        <v>1</v>
      </c>
    </row>
    <row r="712">
      <c r="A712" s="95">
        <f>'review 1 - annotator 1 - eval'!H18</f>
        <v>1</v>
      </c>
      <c r="B712" s="96">
        <f>'review 1 - annotator 2 - eval'!H18</f>
        <v>1</v>
      </c>
    </row>
    <row r="713">
      <c r="A713" s="95">
        <f>'review 1 - annotator 1 - eval'!H19</f>
        <v>1</v>
      </c>
      <c r="B713" s="96">
        <f>'review 1 - annotator 2 - eval'!H19</f>
        <v>1</v>
      </c>
    </row>
    <row r="714">
      <c r="A714" s="95">
        <f>'review 1 - annotator 1 - eval'!H20</f>
        <v>1</v>
      </c>
      <c r="B714" s="96">
        <f>'review 1 - annotator 2 - eval'!H20</f>
        <v>1</v>
      </c>
    </row>
    <row r="715">
      <c r="A715" s="95">
        <f>'review 1 - annotator 1 - eval'!H24</f>
        <v>1</v>
      </c>
      <c r="B715" s="96">
        <f>'review 1 - annotator 2 - eval'!H24</f>
        <v>1</v>
      </c>
    </row>
    <row r="716">
      <c r="A716" s="95">
        <f>'review 1 - annotator 1 - eval'!H25</f>
        <v>1</v>
      </c>
      <c r="B716" s="96">
        <f>'review 1 - annotator 2 - eval'!H25</f>
        <v>1</v>
      </c>
    </row>
    <row r="717">
      <c r="A717" s="95">
        <f>'review 1 - annotator 1 - eval'!H26</f>
        <v>1</v>
      </c>
      <c r="B717" s="96">
        <f>'review 1 - annotator 2 - eval'!H26</f>
        <v>1</v>
      </c>
    </row>
    <row r="718">
      <c r="A718" s="95">
        <f>'review 1 - annotator 1 - eval'!H27</f>
        <v>1</v>
      </c>
      <c r="B718" s="96">
        <f>'review 1 - annotator 2 - eval'!H27</f>
        <v>1</v>
      </c>
    </row>
    <row r="719">
      <c r="A719" s="95">
        <f>'review 1 - annotator 1 - eval'!H28</f>
        <v>1</v>
      </c>
      <c r="B719" s="96">
        <f>'review 1 - annotator 2 - eval'!H28</f>
        <v>0</v>
      </c>
    </row>
    <row r="720">
      <c r="A720" s="95">
        <f>'review 1 - annotator 1 - eval'!H29</f>
        <v>1</v>
      </c>
      <c r="B720" s="96">
        <f>'review 1 - annotator 2 - eval'!H29</f>
        <v>1</v>
      </c>
    </row>
    <row r="721">
      <c r="A721" s="95">
        <f>'review 1 - annotator 1 - eval'!H30</f>
        <v>1</v>
      </c>
      <c r="B721" s="96">
        <f>'review 1 - annotator 2 - eval'!H30</f>
        <v>1</v>
      </c>
    </row>
    <row r="722">
      <c r="A722" s="95">
        <f>'review 1 - annotator 1 - eval'!H34</f>
        <v>1</v>
      </c>
      <c r="B722" s="96">
        <f>'review 1 - annotator 2 - eval'!H34</f>
        <v>1</v>
      </c>
    </row>
    <row r="723">
      <c r="A723" s="95">
        <f>'review 1 - annotator 1 - eval'!H35</f>
        <v>1</v>
      </c>
      <c r="B723" s="96">
        <f>'review 1 - annotator 2 - eval'!H35</f>
        <v>1</v>
      </c>
    </row>
    <row r="724">
      <c r="A724" s="95">
        <f>'review 1 - annotator 1 - eval'!H36</f>
        <v>1</v>
      </c>
      <c r="B724" s="96">
        <f>'review 1 - annotator 2 - eval'!H36</f>
        <v>1</v>
      </c>
    </row>
    <row r="725">
      <c r="A725" s="95">
        <f>'review 1 - annotator 1 - eval'!H37</f>
        <v>1</v>
      </c>
      <c r="B725" s="96">
        <f>'review 1 - annotator 2 - eval'!H37</f>
        <v>1</v>
      </c>
    </row>
    <row r="726">
      <c r="A726" s="95">
        <f>'review 1 - annotator 1 - eval'!H38</f>
        <v>1</v>
      </c>
      <c r="B726" s="96">
        <f>'review 1 - annotator 2 - eval'!H38</f>
        <v>1</v>
      </c>
    </row>
    <row r="727">
      <c r="A727" s="95">
        <f>'review 1 - annotator 1 - eval'!H39</f>
        <v>1</v>
      </c>
      <c r="B727" s="96">
        <f>'review 1 - annotator 2 - eval'!H39</f>
        <v>1</v>
      </c>
    </row>
    <row r="728">
      <c r="A728" s="95">
        <f>'review 1 - annotator 1 - eval'!H40</f>
        <v>1</v>
      </c>
      <c r="B728" s="96">
        <f>'review 1 - annotator 2 - eval'!H40</f>
        <v>1</v>
      </c>
    </row>
    <row r="729">
      <c r="A729" s="95">
        <f>'review 1 - annotator 1 - eval'!H44</f>
        <v>1</v>
      </c>
      <c r="B729" s="96">
        <f>'review 1 - annotator 2 - eval'!H44</f>
        <v>1</v>
      </c>
    </row>
    <row r="730">
      <c r="A730" s="95">
        <f>'review 1 - annotator 1 - eval'!H45</f>
        <v>1</v>
      </c>
      <c r="B730" s="96">
        <f>'review 1 - annotator 2 - eval'!H45</f>
        <v>1</v>
      </c>
    </row>
    <row r="731">
      <c r="A731" s="95">
        <f>'review 1 - annotator 1 - eval'!H46</f>
        <v>1</v>
      </c>
      <c r="B731" s="96">
        <f>'review 1 - annotator 2 - eval'!H46</f>
        <v>1</v>
      </c>
    </row>
    <row r="732">
      <c r="A732" s="95">
        <f>'review 1 - annotator 1 - eval'!H47</f>
        <v>1</v>
      </c>
      <c r="B732" s="96">
        <f>'review 1 - annotator 2 - eval'!H47</f>
        <v>1</v>
      </c>
    </row>
    <row r="733">
      <c r="A733" s="95">
        <f>'review 1 - annotator 1 - eval'!H48</f>
        <v>1</v>
      </c>
      <c r="B733" s="96">
        <f>'review 1 - annotator 2 - eval'!H48</f>
        <v>1</v>
      </c>
    </row>
    <row r="734">
      <c r="A734" s="95">
        <f>'review 1 - annotator 1 - eval'!H49</f>
        <v>1</v>
      </c>
      <c r="B734" s="96">
        <f>'review 1 - annotator 2 - eval'!H49</f>
        <v>1</v>
      </c>
    </row>
    <row r="735">
      <c r="A735" s="95">
        <f>'review 1 - annotator 1 - eval'!H50</f>
        <v>1</v>
      </c>
      <c r="B735" s="96">
        <f>'review 1 - annotator 2 - eval'!H50</f>
        <v>1</v>
      </c>
    </row>
    <row r="736">
      <c r="A736" s="95">
        <f>'review 1 - annotator 1 - eval'!H54</f>
        <v>1</v>
      </c>
      <c r="B736" s="96">
        <f>'review 1 - annotator 2 - eval'!H54</f>
        <v>1</v>
      </c>
    </row>
    <row r="737">
      <c r="A737" s="95">
        <f>'review 1 - annotator 1 - eval'!H55</f>
        <v>1</v>
      </c>
      <c r="B737" s="96">
        <f>'review 1 - annotator 2 - eval'!H55</f>
        <v>1</v>
      </c>
    </row>
    <row r="738">
      <c r="A738" s="95">
        <f>'review 1 - annotator 1 - eval'!H56</f>
        <v>1</v>
      </c>
      <c r="B738" s="96">
        <f>'review 1 - annotator 2 - eval'!H56</f>
        <v>1</v>
      </c>
    </row>
    <row r="739">
      <c r="A739" s="95">
        <f>'review 1 - annotator 1 - eval'!H57</f>
        <v>1</v>
      </c>
      <c r="B739" s="96">
        <f>'review 1 - annotator 2 - eval'!H57</f>
        <v>1</v>
      </c>
    </row>
    <row r="740">
      <c r="A740" s="95">
        <f>'review 1 - annotator 1 - eval'!H58</f>
        <v>1</v>
      </c>
      <c r="B740" s="96">
        <f>'review 1 - annotator 2 - eval'!H58</f>
        <v>1</v>
      </c>
    </row>
    <row r="741">
      <c r="A741" s="95">
        <f>'review 1 - annotator 1 - eval'!H59</f>
        <v>1</v>
      </c>
      <c r="B741" s="96">
        <f>'review 1 - annotator 2 - eval'!H59</f>
        <v>1</v>
      </c>
    </row>
    <row r="742">
      <c r="A742" s="95">
        <f>'review 1 - annotator 1 - eval'!H60</f>
        <v>1</v>
      </c>
      <c r="B742" s="96">
        <f>'review 1 - annotator 2 - eval'!H60</f>
        <v>1</v>
      </c>
    </row>
    <row r="743">
      <c r="A743" s="95">
        <f>'review 1 - annotator 1 - eval'!H64</f>
        <v>1</v>
      </c>
      <c r="B743" s="96">
        <f>'review 1 - annotator 2 - eval'!H64</f>
        <v>1</v>
      </c>
    </row>
    <row r="744">
      <c r="A744" s="95">
        <f>'review 1 - annotator 1 - eval'!H65</f>
        <v>1</v>
      </c>
      <c r="B744" s="96">
        <f>'review 1 - annotator 2 - eval'!H65</f>
        <v>1</v>
      </c>
    </row>
    <row r="745">
      <c r="A745" s="95">
        <f>'review 1 - annotator 1 - eval'!H66</f>
        <v>1</v>
      </c>
      <c r="B745" s="96">
        <f>'review 1 - annotator 2 - eval'!H66</f>
        <v>1</v>
      </c>
    </row>
    <row r="746">
      <c r="A746" s="95">
        <f>'review 1 - annotator 1 - eval'!H67</f>
        <v>1</v>
      </c>
      <c r="B746" s="96">
        <f>'review 1 - annotator 2 - eval'!H67</f>
        <v>1</v>
      </c>
    </row>
    <row r="747">
      <c r="A747" s="95">
        <f>'review 1 - annotator 1 - eval'!H68</f>
        <v>1</v>
      </c>
      <c r="B747" s="96">
        <f>'review 1 - annotator 2 - eval'!H68</f>
        <v>1</v>
      </c>
    </row>
    <row r="748">
      <c r="A748" s="95">
        <f>'review 1 - annotator 1 - eval'!H69</f>
        <v>1</v>
      </c>
      <c r="B748" s="96">
        <f>'review 1 - annotator 2 - eval'!H69</f>
        <v>1</v>
      </c>
    </row>
    <row r="749">
      <c r="A749" s="95">
        <f>'review 1 - annotator 1 - eval'!H70</f>
        <v>1</v>
      </c>
      <c r="B749" s="96">
        <f>'review 1 - annotator 2 - eval'!H70</f>
        <v>1</v>
      </c>
    </row>
    <row r="750">
      <c r="A750" s="95">
        <f>'review 1 - annotator 1 - eval'!H74</f>
        <v>1</v>
      </c>
      <c r="B750" s="96">
        <f>'review 1 - annotator 2 - eval'!H74</f>
        <v>1</v>
      </c>
    </row>
    <row r="751">
      <c r="A751" s="95">
        <f>'review 1 - annotator 1 - eval'!H75</f>
        <v>1</v>
      </c>
      <c r="B751" s="96">
        <f>'review 1 - annotator 2 - eval'!H75</f>
        <v>1</v>
      </c>
    </row>
    <row r="752">
      <c r="A752" s="95">
        <f>'review 1 - annotator 1 - eval'!H76</f>
        <v>1</v>
      </c>
      <c r="B752" s="96">
        <f>'review 1 - annotator 2 - eval'!H76</f>
        <v>1</v>
      </c>
    </row>
    <row r="753">
      <c r="A753" s="95">
        <f>'review 1 - annotator 1 - eval'!H77</f>
        <v>1</v>
      </c>
      <c r="B753" s="96">
        <f>'review 1 - annotator 2 - eval'!H77</f>
        <v>1</v>
      </c>
    </row>
    <row r="754">
      <c r="A754" s="95">
        <f>'review 1 - annotator 1 - eval'!H78</f>
        <v>1</v>
      </c>
      <c r="B754" s="96">
        <f>'review 1 - annotator 2 - eval'!H78</f>
        <v>1</v>
      </c>
    </row>
    <row r="755">
      <c r="A755" s="95">
        <f>'review 1 - annotator 1 - eval'!H79</f>
        <v>1</v>
      </c>
      <c r="B755" s="96">
        <f>'review 1 - annotator 2 - eval'!H79</f>
        <v>1</v>
      </c>
    </row>
    <row r="756">
      <c r="A756" s="95">
        <f>'review 1 - annotator 1 - eval'!H80</f>
        <v>1</v>
      </c>
      <c r="B756" s="96">
        <f>'review 1 - annotator 2 - eval'!H80</f>
        <v>1</v>
      </c>
    </row>
    <row r="757">
      <c r="A757" s="95">
        <f>'review 1 - annotator 1 - eval'!H84</f>
        <v>1</v>
      </c>
      <c r="B757" s="96">
        <f>'review 1 - annotator 2 - eval'!H84</f>
        <v>1</v>
      </c>
    </row>
    <row r="758">
      <c r="A758" s="95">
        <f>'review 1 - annotator 1 - eval'!H85</f>
        <v>1</v>
      </c>
      <c r="B758" s="96">
        <f>'review 1 - annotator 2 - eval'!H85</f>
        <v>1</v>
      </c>
    </row>
    <row r="759">
      <c r="A759" s="95">
        <f>'review 1 - annotator 1 - eval'!H86</f>
        <v>1</v>
      </c>
      <c r="B759" s="96">
        <f>'review 1 - annotator 2 - eval'!H86</f>
        <v>1</v>
      </c>
    </row>
    <row r="760">
      <c r="A760" s="95">
        <f>'review 1 - annotator 1 - eval'!H87</f>
        <v>1</v>
      </c>
      <c r="B760" s="96">
        <f>'review 1 - annotator 2 - eval'!H87</f>
        <v>1</v>
      </c>
    </row>
    <row r="761">
      <c r="A761" s="95">
        <f>'review 1 - annotator 1 - eval'!H88</f>
        <v>1</v>
      </c>
      <c r="B761" s="96">
        <f>'review 1 - annotator 2 - eval'!H88</f>
        <v>1</v>
      </c>
    </row>
    <row r="762">
      <c r="A762" s="95">
        <f>'review 1 - annotator 1 - eval'!H89</f>
        <v>1</v>
      </c>
      <c r="B762" s="96">
        <f>'review 1 - annotator 2 - eval'!H89</f>
        <v>1</v>
      </c>
    </row>
    <row r="763">
      <c r="A763" s="95">
        <f>'review 1 - annotator 1 - eval'!H90</f>
        <v>1</v>
      </c>
      <c r="B763" s="96">
        <f>'review 1 - annotator 2 - eval'!H90</f>
        <v>1</v>
      </c>
    </row>
    <row r="764">
      <c r="A764" s="95">
        <f>'review 1 - annotator 1 - eval'!H94</f>
        <v>1</v>
      </c>
      <c r="B764" s="96">
        <f>'review 1 - annotator 2 - eval'!H94</f>
        <v>1</v>
      </c>
    </row>
    <row r="765">
      <c r="A765" s="95">
        <f>'review 1 - annotator 1 - eval'!H95</f>
        <v>1</v>
      </c>
      <c r="B765" s="96">
        <f>'review 1 - annotator 2 - eval'!H95</f>
        <v>1</v>
      </c>
    </row>
    <row r="766">
      <c r="A766" s="95">
        <f>'review 1 - annotator 1 - eval'!H96</f>
        <v>1</v>
      </c>
      <c r="B766" s="96">
        <f>'review 1 - annotator 2 - eval'!H96</f>
        <v>1</v>
      </c>
    </row>
    <row r="767">
      <c r="A767" s="95">
        <f>'review 1 - annotator 1 - eval'!H97</f>
        <v>1</v>
      </c>
      <c r="B767" s="96">
        <f>'review 1 - annotator 2 - eval'!H97</f>
        <v>1</v>
      </c>
    </row>
    <row r="768">
      <c r="A768" s="95">
        <f>'review 1 - annotator 1 - eval'!H98</f>
        <v>1</v>
      </c>
      <c r="B768" s="96">
        <f>'review 1 - annotator 2 - eval'!H98</f>
        <v>1</v>
      </c>
    </row>
    <row r="769">
      <c r="A769" s="95">
        <f>'review 1 - annotator 1 - eval'!H99</f>
        <v>1</v>
      </c>
      <c r="B769" s="96">
        <f>'review 1 - annotator 2 - eval'!H99</f>
        <v>1</v>
      </c>
    </row>
    <row r="770">
      <c r="A770" s="95">
        <f>'review 1 - annotator 1 - eval'!H100</f>
        <v>1</v>
      </c>
      <c r="B770" s="96">
        <f>'review 1 - annotator 2 - eval'!H100</f>
        <v>1</v>
      </c>
    </row>
    <row r="771">
      <c r="A771" s="95">
        <f>'review 1 - annotator 1 - eval'!H104</f>
        <v>1</v>
      </c>
      <c r="B771" s="96">
        <f>'review 1 - annotator 2 - eval'!H104</f>
        <v>1</v>
      </c>
    </row>
    <row r="772">
      <c r="A772" s="95">
        <f>'review 1 - annotator 1 - eval'!H105</f>
        <v>1</v>
      </c>
      <c r="B772" s="96">
        <f>'review 1 - annotator 2 - eval'!H105</f>
        <v>1</v>
      </c>
    </row>
    <row r="773">
      <c r="A773" s="95">
        <f>'review 1 - annotator 1 - eval'!H106</f>
        <v>1</v>
      </c>
      <c r="B773" s="96">
        <f>'review 1 - annotator 2 - eval'!H106</f>
        <v>1</v>
      </c>
    </row>
    <row r="774">
      <c r="A774" s="95">
        <f>'review 1 - annotator 1 - eval'!H107</f>
        <v>1</v>
      </c>
      <c r="B774" s="96">
        <f>'review 1 - annotator 2 - eval'!H107</f>
        <v>1</v>
      </c>
    </row>
    <row r="775">
      <c r="A775" s="95">
        <f>'review 1 - annotator 1 - eval'!H108</f>
        <v>1</v>
      </c>
      <c r="B775" s="96">
        <f>'review 1 - annotator 2 - eval'!H108</f>
        <v>1</v>
      </c>
    </row>
    <row r="776">
      <c r="A776" s="95">
        <f>'review 1 - annotator 1 - eval'!H109</f>
        <v>1</v>
      </c>
      <c r="B776" s="96">
        <f>'review 1 - annotator 2 - eval'!H109</f>
        <v>1</v>
      </c>
    </row>
    <row r="777">
      <c r="A777" s="95">
        <f>'review 1 - annotator 1 - eval'!H110</f>
        <v>1</v>
      </c>
      <c r="B777" s="96">
        <f>'review 1 - annotator 2 - eval'!H110</f>
        <v>1</v>
      </c>
    </row>
    <row r="778">
      <c r="A778" s="95">
        <f>'review 1 - annotator 1 - eval'!H114</f>
        <v>1</v>
      </c>
      <c r="B778" s="96">
        <f>'review 1 - annotator 2 - eval'!H114</f>
        <v>1</v>
      </c>
    </row>
    <row r="779">
      <c r="A779" s="95">
        <f>'review 1 - annotator 1 - eval'!H115</f>
        <v>1</v>
      </c>
      <c r="B779" s="96">
        <f>'review 1 - annotator 2 - eval'!H115</f>
        <v>1</v>
      </c>
    </row>
    <row r="780">
      <c r="A780" s="95">
        <f>'review 1 - annotator 1 - eval'!H116</f>
        <v>1</v>
      </c>
      <c r="B780" s="96">
        <f>'review 1 - annotator 2 - eval'!H116</f>
        <v>1</v>
      </c>
    </row>
    <row r="781">
      <c r="A781" s="95">
        <f>'review 1 - annotator 1 - eval'!H117</f>
        <v>1</v>
      </c>
      <c r="B781" s="96">
        <f>'review 1 - annotator 2 - eval'!H117</f>
        <v>1</v>
      </c>
    </row>
    <row r="782">
      <c r="A782" s="95">
        <f>'review 1 - annotator 1 - eval'!H118</f>
        <v>1</v>
      </c>
      <c r="B782" s="96">
        <f>'review 1 - annotator 2 - eval'!H118</f>
        <v>1</v>
      </c>
    </row>
    <row r="783">
      <c r="A783" s="95">
        <f>'review 1 - annotator 1 - eval'!H119</f>
        <v>1</v>
      </c>
      <c r="B783" s="96">
        <f>'review 1 - annotator 2 - eval'!H119</f>
        <v>1</v>
      </c>
    </row>
    <row r="784">
      <c r="A784" s="95">
        <f>'review 1 - annotator 1 - eval'!H120</f>
        <v>1</v>
      </c>
      <c r="B784" s="96">
        <f>'review 1 - annotator 2 - eval'!H120</f>
        <v>1</v>
      </c>
    </row>
    <row r="785">
      <c r="A785" s="95">
        <f>'review 1 - annotator 1 - eval'!H124</f>
        <v>1</v>
      </c>
      <c r="B785" s="96">
        <f>'review 1 - annotator 2 - eval'!H124</f>
        <v>1</v>
      </c>
    </row>
    <row r="786">
      <c r="A786" s="95">
        <f>'review 1 - annotator 1 - eval'!H125</f>
        <v>1</v>
      </c>
      <c r="B786" s="96">
        <f>'review 1 - annotator 2 - eval'!H125</f>
        <v>1</v>
      </c>
    </row>
    <row r="787">
      <c r="A787" s="95">
        <f>'review 1 - annotator 1 - eval'!H126</f>
        <v>0</v>
      </c>
      <c r="B787" s="96">
        <f>'review 1 - annotator 2 - eval'!H126</f>
        <v>1</v>
      </c>
    </row>
    <row r="788">
      <c r="A788" s="95">
        <f>'review 1 - annotator 1 - eval'!H127</f>
        <v>1</v>
      </c>
      <c r="B788" s="96">
        <f>'review 1 - annotator 2 - eval'!H127</f>
        <v>1</v>
      </c>
    </row>
    <row r="789">
      <c r="A789" s="95">
        <f>'review 1 - annotator 1 - eval'!H128</f>
        <v>0</v>
      </c>
      <c r="B789" s="96">
        <f>'review 1 - annotator 2 - eval'!H128</f>
        <v>1</v>
      </c>
    </row>
    <row r="790">
      <c r="A790" s="95">
        <f>'review 1 - annotator 1 - eval'!H129</f>
        <v>1</v>
      </c>
      <c r="B790" s="96">
        <f>'review 1 - annotator 2 - eval'!H129</f>
        <v>1</v>
      </c>
    </row>
    <row r="791">
      <c r="A791" s="95">
        <f>'review 1 - annotator 1 - eval'!H130</f>
        <v>1</v>
      </c>
      <c r="B791" s="96">
        <f>'review 1 - annotator 2 - eval'!H130</f>
        <v>1</v>
      </c>
    </row>
    <row r="792">
      <c r="A792" s="95">
        <f>'review 1 - annotator 1 - eval'!H134</f>
        <v>1</v>
      </c>
      <c r="B792" s="96">
        <f>'review 1 - annotator 2 - eval'!H134</f>
        <v>1</v>
      </c>
    </row>
    <row r="793">
      <c r="A793" s="95">
        <f>'review 1 - annotator 1 - eval'!H135</f>
        <v>1</v>
      </c>
      <c r="B793" s="96">
        <f>'review 1 - annotator 2 - eval'!H135</f>
        <v>1</v>
      </c>
    </row>
    <row r="794">
      <c r="A794" s="95">
        <f>'review 1 - annotator 1 - eval'!H136</f>
        <v>1</v>
      </c>
      <c r="B794" s="96">
        <f>'review 1 - annotator 2 - eval'!H136</f>
        <v>1</v>
      </c>
    </row>
    <row r="795">
      <c r="A795" s="95">
        <f>'review 1 - annotator 1 - eval'!H137</f>
        <v>1</v>
      </c>
      <c r="B795" s="96">
        <f>'review 1 - annotator 2 - eval'!H137</f>
        <v>1</v>
      </c>
    </row>
    <row r="796">
      <c r="A796" s="95">
        <f>'review 1 - annotator 1 - eval'!H138</f>
        <v>1</v>
      </c>
      <c r="B796" s="96">
        <f>'review 1 - annotator 2 - eval'!H138</f>
        <v>1</v>
      </c>
    </row>
    <row r="797">
      <c r="A797" s="95">
        <f>'review 1 - annotator 1 - eval'!H139</f>
        <v>1</v>
      </c>
      <c r="B797" s="96">
        <f>'review 1 - annotator 2 - eval'!H139</f>
        <v>1</v>
      </c>
    </row>
    <row r="798">
      <c r="A798" s="95">
        <f>'review 1 - annotator 1 - eval'!H140</f>
        <v>1</v>
      </c>
      <c r="B798" s="96">
        <f>'review 1 - annotator 2 - eval'!H140</f>
        <v>1</v>
      </c>
    </row>
    <row r="799">
      <c r="A799" s="95">
        <f>'review 1 - annotator 1 - eval'!H144</f>
        <v>1</v>
      </c>
      <c r="B799" s="96">
        <f>'review 1 - annotator 2 - eval'!H144</f>
        <v>1</v>
      </c>
    </row>
    <row r="800">
      <c r="A800" s="95">
        <f>'review 1 - annotator 1 - eval'!H145</f>
        <v>1</v>
      </c>
      <c r="B800" s="96">
        <f>'review 1 - annotator 2 - eval'!H145</f>
        <v>1</v>
      </c>
    </row>
    <row r="801">
      <c r="A801" s="95">
        <f>'review 1 - annotator 1 - eval'!H146</f>
        <v>1</v>
      </c>
      <c r="B801" s="96">
        <f>'review 1 - annotator 2 - eval'!H146</f>
        <v>1</v>
      </c>
    </row>
    <row r="802">
      <c r="A802" s="95">
        <f>'review 1 - annotator 1 - eval'!H147</f>
        <v>1</v>
      </c>
      <c r="B802" s="96">
        <f>'review 1 - annotator 2 - eval'!H147</f>
        <v>1</v>
      </c>
    </row>
    <row r="803">
      <c r="A803" s="95">
        <f>'review 1 - annotator 1 - eval'!H148</f>
        <v>1</v>
      </c>
      <c r="B803" s="96">
        <f>'review 1 - annotator 2 - eval'!H148</f>
        <v>1</v>
      </c>
    </row>
    <row r="804">
      <c r="A804" s="95">
        <f>'review 1 - annotator 1 - eval'!H149</f>
        <v>1</v>
      </c>
      <c r="B804" s="96">
        <f>'review 1 - annotator 2 - eval'!H149</f>
        <v>1</v>
      </c>
    </row>
    <row r="805">
      <c r="A805" s="95">
        <f>'review 1 - annotator 1 - eval'!H150</f>
        <v>1</v>
      </c>
      <c r="B805" s="96">
        <f>'review 1 - annotator 2 - eval'!H150</f>
        <v>1</v>
      </c>
    </row>
    <row r="806">
      <c r="A806" s="95">
        <f>'review 1 - annotator 1 - eval'!H154</f>
        <v>1</v>
      </c>
      <c r="B806" s="96">
        <f>'review 1 - annotator 2 - eval'!H154</f>
        <v>1</v>
      </c>
    </row>
    <row r="807">
      <c r="A807" s="95">
        <f>'review 1 - annotator 1 - eval'!H155</f>
        <v>1</v>
      </c>
      <c r="B807" s="96">
        <f>'review 1 - annotator 2 - eval'!H155</f>
        <v>1</v>
      </c>
    </row>
    <row r="808">
      <c r="A808" s="95">
        <f>'review 1 - annotator 1 - eval'!H156</f>
        <v>1</v>
      </c>
      <c r="B808" s="96">
        <f>'review 1 - annotator 2 - eval'!H156</f>
        <v>1</v>
      </c>
    </row>
    <row r="809">
      <c r="A809" s="95">
        <f>'review 1 - annotator 1 - eval'!H157</f>
        <v>1</v>
      </c>
      <c r="B809" s="96">
        <f>'review 1 - annotator 2 - eval'!H157</f>
        <v>1</v>
      </c>
    </row>
    <row r="810">
      <c r="A810" s="95">
        <f>'review 1 - annotator 1 - eval'!H158</f>
        <v>1</v>
      </c>
      <c r="B810" s="96">
        <f>'review 1 - annotator 2 - eval'!H158</f>
        <v>1</v>
      </c>
    </row>
    <row r="811">
      <c r="A811" s="95">
        <f>'review 1 - annotator 1 - eval'!H159</f>
        <v>1</v>
      </c>
      <c r="B811" s="96">
        <f>'review 1 - annotator 2 - eval'!H159</f>
        <v>1</v>
      </c>
    </row>
    <row r="812">
      <c r="A812" s="95">
        <f>'review 1 - annotator 1 - eval'!H160</f>
        <v>1</v>
      </c>
      <c r="B812" s="96">
        <f>'review 1 - annotator 2 - eval'!H160</f>
        <v>1</v>
      </c>
    </row>
    <row r="813">
      <c r="A813" s="95">
        <f>'review 1 - annotator 1 - eval'!H164</f>
        <v>1</v>
      </c>
      <c r="B813" s="96">
        <f>'review 1 - annotator 2 - eval'!H164</f>
        <v>1</v>
      </c>
    </row>
    <row r="814">
      <c r="A814" s="95">
        <f>'review 1 - annotator 1 - eval'!H165</f>
        <v>1</v>
      </c>
      <c r="B814" s="96">
        <f>'review 1 - annotator 2 - eval'!H165</f>
        <v>1</v>
      </c>
    </row>
    <row r="815">
      <c r="A815" s="95">
        <f>'review 1 - annotator 1 - eval'!H166</f>
        <v>1</v>
      </c>
      <c r="B815" s="96">
        <f>'review 1 - annotator 2 - eval'!H166</f>
        <v>1</v>
      </c>
    </row>
    <row r="816">
      <c r="A816" s="95">
        <f>'review 1 - annotator 1 - eval'!H167</f>
        <v>1</v>
      </c>
      <c r="B816" s="96">
        <f>'review 1 - annotator 2 - eval'!H167</f>
        <v>1</v>
      </c>
    </row>
    <row r="817">
      <c r="A817" s="95">
        <f>'review 1 - annotator 1 - eval'!H168</f>
        <v>1</v>
      </c>
      <c r="B817" s="96">
        <f>'review 1 - annotator 2 - eval'!H168</f>
        <v>1</v>
      </c>
    </row>
    <row r="818">
      <c r="A818" s="95">
        <f>'review 1 - annotator 1 - eval'!H169</f>
        <v>1</v>
      </c>
      <c r="B818" s="96">
        <f>'review 1 - annotator 2 - eval'!H169</f>
        <v>1</v>
      </c>
    </row>
    <row r="819">
      <c r="A819" s="95">
        <f>'review 1 - annotator 1 - eval'!H170</f>
        <v>1</v>
      </c>
      <c r="B819" s="96">
        <f>'review 1 - annotator 2 - eval'!H170</f>
        <v>1</v>
      </c>
    </row>
    <row r="820">
      <c r="A820" s="95">
        <f>'review 1 - annotator 1 - eval'!H174</f>
        <v>1</v>
      </c>
      <c r="B820" s="96">
        <f>'review 1 - annotator 2 - eval'!H174</f>
        <v>1</v>
      </c>
    </row>
    <row r="821">
      <c r="A821" s="95">
        <f>'review 1 - annotator 1 - eval'!H175</f>
        <v>1</v>
      </c>
      <c r="B821" s="96">
        <f>'review 1 - annotator 2 - eval'!H175</f>
        <v>1</v>
      </c>
    </row>
    <row r="822">
      <c r="A822" s="95">
        <f>'review 1 - annotator 1 - eval'!H176</f>
        <v>1</v>
      </c>
      <c r="B822" s="96">
        <f>'review 1 - annotator 2 - eval'!H176</f>
        <v>1</v>
      </c>
    </row>
    <row r="823">
      <c r="A823" s="95">
        <f>'review 1 - annotator 1 - eval'!H177</f>
        <v>1</v>
      </c>
      <c r="B823" s="96">
        <f>'review 1 - annotator 2 - eval'!H177</f>
        <v>1</v>
      </c>
    </row>
    <row r="824">
      <c r="A824" s="95">
        <f>'review 1 - annotator 1 - eval'!H178</f>
        <v>1</v>
      </c>
      <c r="B824" s="96">
        <f>'review 1 - annotator 2 - eval'!H178</f>
        <v>1</v>
      </c>
    </row>
    <row r="825">
      <c r="A825" s="95">
        <f>'review 1 - annotator 1 - eval'!H179</f>
        <v>1</v>
      </c>
      <c r="B825" s="96">
        <f>'review 1 - annotator 2 - eval'!H179</f>
        <v>1</v>
      </c>
    </row>
    <row r="826">
      <c r="A826" s="95">
        <f>'review 1 - annotator 1 - eval'!H180</f>
        <v>1</v>
      </c>
      <c r="B826" s="96">
        <f>'review 1 - annotator 2 - eval'!H180</f>
        <v>1</v>
      </c>
    </row>
    <row r="827">
      <c r="A827" s="95">
        <f>'review 1 - annotator 1 - eval'!H184</f>
        <v>1</v>
      </c>
      <c r="B827" s="96">
        <f>'review 1 - annotator 2 - eval'!H184</f>
        <v>1</v>
      </c>
    </row>
    <row r="828">
      <c r="A828" s="95">
        <f>'review 1 - annotator 1 - eval'!H185</f>
        <v>1</v>
      </c>
      <c r="B828" s="96">
        <f>'review 1 - annotator 2 - eval'!H185</f>
        <v>1</v>
      </c>
    </row>
    <row r="829">
      <c r="A829" s="95">
        <f>'review 1 - annotator 1 - eval'!H186</f>
        <v>1</v>
      </c>
      <c r="B829" s="96">
        <f>'review 1 - annotator 2 - eval'!H186</f>
        <v>1</v>
      </c>
    </row>
    <row r="830">
      <c r="A830" s="95">
        <f>'review 1 - annotator 1 - eval'!H187</f>
        <v>1</v>
      </c>
      <c r="B830" s="96">
        <f>'review 1 - annotator 2 - eval'!H187</f>
        <v>1</v>
      </c>
    </row>
    <row r="831">
      <c r="A831" s="95">
        <f>'review 1 - annotator 1 - eval'!H188</f>
        <v>1</v>
      </c>
      <c r="B831" s="96">
        <f>'review 1 - annotator 2 - eval'!H188</f>
        <v>1</v>
      </c>
    </row>
    <row r="832">
      <c r="A832" s="95">
        <f>'review 1 - annotator 1 - eval'!H189</f>
        <v>1</v>
      </c>
      <c r="B832" s="96">
        <f>'review 1 - annotator 2 - eval'!H189</f>
        <v>1</v>
      </c>
    </row>
    <row r="833">
      <c r="A833" s="95">
        <f>'review 1 - annotator 1 - eval'!H190</f>
        <v>1</v>
      </c>
      <c r="B833" s="96">
        <f>'review 1 - annotator 2 - eval'!H190</f>
        <v>1</v>
      </c>
    </row>
    <row r="834">
      <c r="A834" s="95">
        <f>'review 1 - annotator 1 - eval'!H194</f>
        <v>1</v>
      </c>
      <c r="B834" s="96">
        <f>'review 1 - annotator 2 - eval'!H194</f>
        <v>1</v>
      </c>
    </row>
    <row r="835">
      <c r="A835" s="95">
        <f>'review 1 - annotator 1 - eval'!H195</f>
        <v>1</v>
      </c>
      <c r="B835" s="96">
        <f>'review 1 - annotator 2 - eval'!H195</f>
        <v>1</v>
      </c>
    </row>
    <row r="836">
      <c r="A836" s="95">
        <f>'review 1 - annotator 1 - eval'!H196</f>
        <v>1</v>
      </c>
      <c r="B836" s="96">
        <f>'review 1 - annotator 2 - eval'!H196</f>
        <v>1</v>
      </c>
    </row>
    <row r="837">
      <c r="A837" s="95">
        <f>'review 1 - annotator 1 - eval'!H197</f>
        <v>1</v>
      </c>
      <c r="B837" s="96">
        <f>'review 1 - annotator 2 - eval'!H197</f>
        <v>1</v>
      </c>
    </row>
    <row r="838">
      <c r="A838" s="95">
        <f>'review 1 - annotator 1 - eval'!H198</f>
        <v>1</v>
      </c>
      <c r="B838" s="96">
        <f>'review 1 - annotator 2 - eval'!H198</f>
        <v>0</v>
      </c>
    </row>
    <row r="839">
      <c r="A839" s="95">
        <f>'review 1 - annotator 1 - eval'!H199</f>
        <v>1</v>
      </c>
      <c r="B839" s="96">
        <f>'review 1 - annotator 2 - eval'!H199</f>
        <v>1</v>
      </c>
    </row>
    <row r="840">
      <c r="A840" s="95">
        <f>'review 1 - annotator 1 - eval'!H200</f>
        <v>1</v>
      </c>
      <c r="B840" s="96">
        <f>'review 1 - annotator 2 - eval'!H200</f>
        <v>1</v>
      </c>
    </row>
    <row r="841">
      <c r="A841" s="95">
        <f>'review 1 - annotator 1 - eval'!J4</f>
        <v>1</v>
      </c>
      <c r="B841" s="96">
        <f>'review 1 - annotator 2 - eval'!J4</f>
        <v>1</v>
      </c>
    </row>
    <row r="842">
      <c r="A842" s="95">
        <f>'review 1 - annotator 1 - eval'!J5</f>
        <v>1</v>
      </c>
      <c r="B842" s="96">
        <f>'review 1 - annotator 2 - eval'!J5</f>
        <v>1</v>
      </c>
    </row>
    <row r="843">
      <c r="A843" s="95">
        <f>'review 1 - annotator 1 - eval'!J6</f>
        <v>1</v>
      </c>
      <c r="B843" s="96">
        <f>'review 1 - annotator 2 - eval'!J6</f>
        <v>1</v>
      </c>
    </row>
    <row r="844">
      <c r="A844" s="95">
        <f>'review 1 - annotator 1 - eval'!J7</f>
        <v>1</v>
      </c>
      <c r="B844" s="96">
        <f>'review 1 - annotator 2 - eval'!J7</f>
        <v>1</v>
      </c>
    </row>
    <row r="845">
      <c r="A845" s="95">
        <f>'review 1 - annotator 1 - eval'!J8</f>
        <v>1</v>
      </c>
      <c r="B845" s="96">
        <f>'review 1 - annotator 2 - eval'!J8</f>
        <v>1</v>
      </c>
    </row>
    <row r="846">
      <c r="A846" s="95">
        <f>'review 1 - annotator 1 - eval'!J9</f>
        <v>1</v>
      </c>
      <c r="B846" s="96">
        <f>'review 1 - annotator 2 - eval'!J9</f>
        <v>1</v>
      </c>
    </row>
    <row r="847">
      <c r="A847" s="95">
        <f>'review 1 - annotator 1 - eval'!J10</f>
        <v>1</v>
      </c>
      <c r="B847" s="96">
        <f>'review 1 - annotator 2 - eval'!J10</f>
        <v>1</v>
      </c>
    </row>
    <row r="848">
      <c r="A848" s="95">
        <f>'review 1 - annotator 1 - eval'!J14</f>
        <v>1</v>
      </c>
      <c r="B848" s="96">
        <f>'review 1 - annotator 2 - eval'!J14</f>
        <v>1</v>
      </c>
    </row>
    <row r="849">
      <c r="A849" s="95">
        <f>'review 1 - annotator 1 - eval'!J15</f>
        <v>1</v>
      </c>
      <c r="B849" s="96">
        <f>'review 1 - annotator 2 - eval'!J15</f>
        <v>1</v>
      </c>
    </row>
    <row r="850">
      <c r="A850" s="95">
        <f>'review 1 - annotator 1 - eval'!J16</f>
        <v>1</v>
      </c>
      <c r="B850" s="96">
        <f>'review 1 - annotator 2 - eval'!J16</f>
        <v>1</v>
      </c>
    </row>
    <row r="851">
      <c r="A851" s="95">
        <f>'review 1 - annotator 1 - eval'!J17</f>
        <v>1</v>
      </c>
      <c r="B851" s="96">
        <f>'review 1 - annotator 2 - eval'!J17</f>
        <v>1</v>
      </c>
    </row>
    <row r="852">
      <c r="A852" s="95">
        <f>'review 1 - annotator 1 - eval'!J18</f>
        <v>1</v>
      </c>
      <c r="B852" s="96">
        <f>'review 1 - annotator 2 - eval'!J18</f>
        <v>1</v>
      </c>
    </row>
    <row r="853">
      <c r="A853" s="95">
        <f>'review 1 - annotator 1 - eval'!J19</f>
        <v>1</v>
      </c>
      <c r="B853" s="96">
        <f>'review 1 - annotator 2 - eval'!J19</f>
        <v>1</v>
      </c>
    </row>
    <row r="854">
      <c r="A854" s="95">
        <f>'review 1 - annotator 1 - eval'!J20</f>
        <v>1</v>
      </c>
      <c r="B854" s="96">
        <f>'review 1 - annotator 2 - eval'!J20</f>
        <v>1</v>
      </c>
    </row>
    <row r="855">
      <c r="A855" s="95">
        <f>'review 1 - annotator 1 - eval'!J24</f>
        <v>1</v>
      </c>
      <c r="B855" s="96">
        <f>'review 1 - annotator 2 - eval'!J24</f>
        <v>1</v>
      </c>
    </row>
    <row r="856">
      <c r="A856" s="95">
        <f>'review 1 - annotator 1 - eval'!J25</f>
        <v>1</v>
      </c>
      <c r="B856" s="96">
        <f>'review 1 - annotator 2 - eval'!J25</f>
        <v>1</v>
      </c>
    </row>
    <row r="857">
      <c r="A857" s="95">
        <f>'review 1 - annotator 1 - eval'!J26</f>
        <v>0</v>
      </c>
      <c r="B857" s="96">
        <f>'review 1 - annotator 2 - eval'!J26</f>
        <v>0</v>
      </c>
    </row>
    <row r="858">
      <c r="A858" s="95">
        <f>'review 1 - annotator 1 - eval'!J27</f>
        <v>1</v>
      </c>
      <c r="B858" s="96">
        <f>'review 1 - annotator 2 - eval'!J27</f>
        <v>1</v>
      </c>
    </row>
    <row r="859">
      <c r="A859" s="95">
        <f>'review 1 - annotator 1 - eval'!J28</f>
        <v>1</v>
      </c>
      <c r="B859" s="96">
        <f>'review 1 - annotator 2 - eval'!J28</f>
        <v>1</v>
      </c>
    </row>
    <row r="860">
      <c r="A860" s="95">
        <f>'review 1 - annotator 1 - eval'!J29</f>
        <v>1</v>
      </c>
      <c r="B860" s="96">
        <f>'review 1 - annotator 2 - eval'!J29</f>
        <v>1</v>
      </c>
    </row>
    <row r="861">
      <c r="A861" s="95">
        <f>'review 1 - annotator 1 - eval'!J30</f>
        <v>1</v>
      </c>
      <c r="B861" s="96">
        <f>'review 1 - annotator 2 - eval'!J30</f>
        <v>1</v>
      </c>
    </row>
    <row r="862">
      <c r="A862" s="95">
        <f>'review 1 - annotator 1 - eval'!J34</f>
        <v>1</v>
      </c>
      <c r="B862" s="96">
        <f>'review 1 - annotator 2 - eval'!J34</f>
        <v>1</v>
      </c>
    </row>
    <row r="863">
      <c r="A863" s="95">
        <f>'review 1 - annotator 1 - eval'!J35</f>
        <v>1</v>
      </c>
      <c r="B863" s="96">
        <f>'review 1 - annotator 2 - eval'!J35</f>
        <v>1</v>
      </c>
    </row>
    <row r="864">
      <c r="A864" s="95">
        <f>'review 1 - annotator 1 - eval'!J36</f>
        <v>1</v>
      </c>
      <c r="B864" s="96">
        <f>'review 1 - annotator 2 - eval'!J36</f>
        <v>1</v>
      </c>
    </row>
    <row r="865">
      <c r="A865" s="95">
        <f>'review 1 - annotator 1 - eval'!J37</f>
        <v>1</v>
      </c>
      <c r="B865" s="96">
        <f>'review 1 - annotator 2 - eval'!J37</f>
        <v>1</v>
      </c>
    </row>
    <row r="866">
      <c r="A866" s="95">
        <f>'review 1 - annotator 1 - eval'!J38</f>
        <v>1</v>
      </c>
      <c r="B866" s="96">
        <f>'review 1 - annotator 2 - eval'!J38</f>
        <v>1</v>
      </c>
    </row>
    <row r="867">
      <c r="A867" s="95">
        <f>'review 1 - annotator 1 - eval'!J39</f>
        <v>1</v>
      </c>
      <c r="B867" s="96">
        <f>'review 1 - annotator 2 - eval'!J39</f>
        <v>1</v>
      </c>
    </row>
    <row r="868">
      <c r="A868" s="95">
        <f>'review 1 - annotator 1 - eval'!J40</f>
        <v>1</v>
      </c>
      <c r="B868" s="96">
        <f>'review 1 - annotator 2 - eval'!J40</f>
        <v>1</v>
      </c>
    </row>
    <row r="869">
      <c r="A869" s="95">
        <f>'review 1 - annotator 1 - eval'!J44</f>
        <v>1</v>
      </c>
      <c r="B869" s="96">
        <f>'review 1 - annotator 2 - eval'!J44</f>
        <v>1</v>
      </c>
    </row>
    <row r="870">
      <c r="A870" s="95">
        <f>'review 1 - annotator 1 - eval'!J45</f>
        <v>1</v>
      </c>
      <c r="B870" s="96">
        <f>'review 1 - annotator 2 - eval'!J45</f>
        <v>1</v>
      </c>
    </row>
    <row r="871">
      <c r="A871" s="95">
        <f>'review 1 - annotator 1 - eval'!J46</f>
        <v>1</v>
      </c>
      <c r="B871" s="96">
        <f>'review 1 - annotator 2 - eval'!J46</f>
        <v>1</v>
      </c>
    </row>
    <row r="872">
      <c r="A872" s="95">
        <f>'review 1 - annotator 1 - eval'!J47</f>
        <v>1</v>
      </c>
      <c r="B872" s="96">
        <f>'review 1 - annotator 2 - eval'!J47</f>
        <v>1</v>
      </c>
    </row>
    <row r="873">
      <c r="A873" s="95">
        <f>'review 1 - annotator 1 - eval'!J48</f>
        <v>1</v>
      </c>
      <c r="B873" s="96">
        <f>'review 1 - annotator 2 - eval'!J48</f>
        <v>1</v>
      </c>
    </row>
    <row r="874">
      <c r="A874" s="95">
        <f>'review 1 - annotator 1 - eval'!J49</f>
        <v>1</v>
      </c>
      <c r="B874" s="96">
        <f>'review 1 - annotator 2 - eval'!J49</f>
        <v>1</v>
      </c>
    </row>
    <row r="875">
      <c r="A875" s="95">
        <f>'review 1 - annotator 1 - eval'!J50</f>
        <v>1</v>
      </c>
      <c r="B875" s="96">
        <f>'review 1 - annotator 2 - eval'!J50</f>
        <v>1</v>
      </c>
    </row>
    <row r="876">
      <c r="A876" s="95">
        <f>'review 1 - annotator 1 - eval'!J54</f>
        <v>1</v>
      </c>
      <c r="B876" s="96">
        <f>'review 1 - annotator 2 - eval'!J54</f>
        <v>1</v>
      </c>
    </row>
    <row r="877">
      <c r="A877" s="95">
        <f>'review 1 - annotator 1 - eval'!J55</f>
        <v>1</v>
      </c>
      <c r="B877" s="96">
        <f>'review 1 - annotator 2 - eval'!J55</f>
        <v>1</v>
      </c>
    </row>
    <row r="878">
      <c r="A878" s="95">
        <f>'review 1 - annotator 1 - eval'!J56</f>
        <v>1</v>
      </c>
      <c r="B878" s="96">
        <f>'review 1 - annotator 2 - eval'!J56</f>
        <v>1</v>
      </c>
    </row>
    <row r="879">
      <c r="A879" s="95">
        <f>'review 1 - annotator 1 - eval'!J57</f>
        <v>1</v>
      </c>
      <c r="B879" s="96">
        <f>'review 1 - annotator 2 - eval'!J57</f>
        <v>1</v>
      </c>
    </row>
    <row r="880">
      <c r="A880" s="95">
        <f>'review 1 - annotator 1 - eval'!J58</f>
        <v>1</v>
      </c>
      <c r="B880" s="96">
        <f>'review 1 - annotator 2 - eval'!J58</f>
        <v>1</v>
      </c>
    </row>
    <row r="881">
      <c r="A881" s="95">
        <f>'review 1 - annotator 1 - eval'!J59</f>
        <v>1</v>
      </c>
      <c r="B881" s="96">
        <f>'review 1 - annotator 2 - eval'!J59</f>
        <v>1</v>
      </c>
    </row>
    <row r="882">
      <c r="A882" s="95">
        <f>'review 1 - annotator 1 - eval'!J60</f>
        <v>1</v>
      </c>
      <c r="B882" s="96">
        <f>'review 1 - annotator 2 - eval'!J60</f>
        <v>1</v>
      </c>
    </row>
    <row r="883">
      <c r="A883" s="95">
        <f>'review 1 - annotator 1 - eval'!J64</f>
        <v>1</v>
      </c>
      <c r="B883" s="96">
        <f>'review 1 - annotator 2 - eval'!J64</f>
        <v>1</v>
      </c>
    </row>
    <row r="884">
      <c r="A884" s="95">
        <f>'review 1 - annotator 1 - eval'!J65</f>
        <v>1</v>
      </c>
      <c r="B884" s="96">
        <f>'review 1 - annotator 2 - eval'!J65</f>
        <v>1</v>
      </c>
    </row>
    <row r="885">
      <c r="A885" s="95">
        <f>'review 1 - annotator 1 - eval'!J66</f>
        <v>1</v>
      </c>
      <c r="B885" s="96">
        <f>'review 1 - annotator 2 - eval'!J66</f>
        <v>1</v>
      </c>
    </row>
    <row r="886">
      <c r="A886" s="95">
        <f>'review 1 - annotator 1 - eval'!J67</f>
        <v>1</v>
      </c>
      <c r="B886" s="96">
        <f>'review 1 - annotator 2 - eval'!J67</f>
        <v>1</v>
      </c>
    </row>
    <row r="887">
      <c r="A887" s="95">
        <f>'review 1 - annotator 1 - eval'!J68</f>
        <v>1</v>
      </c>
      <c r="B887" s="96">
        <f>'review 1 - annotator 2 - eval'!J68</f>
        <v>1</v>
      </c>
    </row>
    <row r="888">
      <c r="A888" s="95">
        <f>'review 1 - annotator 1 - eval'!J69</f>
        <v>1</v>
      </c>
      <c r="B888" s="96">
        <f>'review 1 - annotator 2 - eval'!J69</f>
        <v>1</v>
      </c>
    </row>
    <row r="889">
      <c r="A889" s="95">
        <f>'review 1 - annotator 1 - eval'!J70</f>
        <v>1</v>
      </c>
      <c r="B889" s="96">
        <f>'review 1 - annotator 2 - eval'!J70</f>
        <v>1</v>
      </c>
    </row>
    <row r="890">
      <c r="A890" s="95">
        <f>'review 1 - annotator 1 - eval'!J74</f>
        <v>1</v>
      </c>
      <c r="B890" s="96">
        <f>'review 1 - annotator 2 - eval'!J74</f>
        <v>0</v>
      </c>
    </row>
    <row r="891">
      <c r="A891" s="95">
        <f>'review 1 - annotator 1 - eval'!J75</f>
        <v>1</v>
      </c>
      <c r="B891" s="96">
        <f>'review 1 - annotator 2 - eval'!J75</f>
        <v>1</v>
      </c>
    </row>
    <row r="892">
      <c r="A892" s="95">
        <f>'review 1 - annotator 1 - eval'!J76</f>
        <v>1</v>
      </c>
      <c r="B892" s="96">
        <f>'review 1 - annotator 2 - eval'!J76</f>
        <v>0</v>
      </c>
    </row>
    <row r="893">
      <c r="A893" s="95">
        <f>'review 1 - annotator 1 - eval'!J77</f>
        <v>1</v>
      </c>
      <c r="B893" s="96">
        <f>'review 1 - annotator 2 - eval'!J77</f>
        <v>1</v>
      </c>
    </row>
    <row r="894">
      <c r="A894" s="95">
        <f>'review 1 - annotator 1 - eval'!J78</f>
        <v>1</v>
      </c>
      <c r="B894" s="96">
        <f>'review 1 - annotator 2 - eval'!J78</f>
        <v>1</v>
      </c>
    </row>
    <row r="895">
      <c r="A895" s="95">
        <f>'review 1 - annotator 1 - eval'!J79</f>
        <v>1</v>
      </c>
      <c r="B895" s="96">
        <f>'review 1 - annotator 2 - eval'!J79</f>
        <v>1</v>
      </c>
    </row>
    <row r="896">
      <c r="A896" s="95">
        <f>'review 1 - annotator 1 - eval'!J80</f>
        <v>1</v>
      </c>
      <c r="B896" s="96">
        <f>'review 1 - annotator 2 - eval'!J80</f>
        <v>1</v>
      </c>
    </row>
    <row r="897">
      <c r="A897" s="95">
        <f>'review 1 - annotator 1 - eval'!J84</f>
        <v>1</v>
      </c>
      <c r="B897" s="96">
        <f>'review 1 - annotator 2 - eval'!J84</f>
        <v>1</v>
      </c>
    </row>
    <row r="898">
      <c r="A898" s="95">
        <f>'review 1 - annotator 1 - eval'!J85</f>
        <v>1</v>
      </c>
      <c r="B898" s="96">
        <f>'review 1 - annotator 2 - eval'!J85</f>
        <v>1</v>
      </c>
    </row>
    <row r="899">
      <c r="A899" s="95">
        <f>'review 1 - annotator 1 - eval'!J86</f>
        <v>1</v>
      </c>
      <c r="B899" s="96">
        <f>'review 1 - annotator 2 - eval'!J86</f>
        <v>1</v>
      </c>
    </row>
    <row r="900">
      <c r="A900" s="95">
        <f>'review 1 - annotator 1 - eval'!J87</f>
        <v>1</v>
      </c>
      <c r="B900" s="96">
        <f>'review 1 - annotator 2 - eval'!J87</f>
        <v>1</v>
      </c>
    </row>
    <row r="901">
      <c r="A901" s="95">
        <f>'review 1 - annotator 1 - eval'!J88</f>
        <v>1</v>
      </c>
      <c r="B901" s="96">
        <f>'review 1 - annotator 2 - eval'!J88</f>
        <v>1</v>
      </c>
    </row>
    <row r="902">
      <c r="A902" s="95">
        <f>'review 1 - annotator 1 - eval'!J89</f>
        <v>1</v>
      </c>
      <c r="B902" s="96">
        <f>'review 1 - annotator 2 - eval'!J89</f>
        <v>1</v>
      </c>
    </row>
    <row r="903">
      <c r="A903" s="95">
        <f>'review 1 - annotator 1 - eval'!J90</f>
        <v>1</v>
      </c>
      <c r="B903" s="96">
        <f>'review 1 - annotator 2 - eval'!J90</f>
        <v>1</v>
      </c>
    </row>
    <row r="904">
      <c r="A904" s="95">
        <f>'review 1 - annotator 1 - eval'!J94</f>
        <v>1</v>
      </c>
      <c r="B904" s="96">
        <f>'review 1 - annotator 2 - eval'!J94</f>
        <v>1</v>
      </c>
    </row>
    <row r="905">
      <c r="A905" s="95">
        <f>'review 1 - annotator 1 - eval'!J95</f>
        <v>1</v>
      </c>
      <c r="B905" s="96">
        <f>'review 1 - annotator 2 - eval'!J95</f>
        <v>1</v>
      </c>
    </row>
    <row r="906">
      <c r="A906" s="95">
        <f>'review 1 - annotator 1 - eval'!J96</f>
        <v>1</v>
      </c>
      <c r="B906" s="96">
        <f>'review 1 - annotator 2 - eval'!J96</f>
        <v>1</v>
      </c>
    </row>
    <row r="907">
      <c r="A907" s="95">
        <f>'review 1 - annotator 1 - eval'!J97</f>
        <v>1</v>
      </c>
      <c r="B907" s="96">
        <f>'review 1 - annotator 2 - eval'!J97</f>
        <v>1</v>
      </c>
    </row>
    <row r="908">
      <c r="A908" s="95">
        <f>'review 1 - annotator 1 - eval'!J98</f>
        <v>1</v>
      </c>
      <c r="B908" s="96">
        <f>'review 1 - annotator 2 - eval'!J98</f>
        <v>1</v>
      </c>
    </row>
    <row r="909">
      <c r="A909" s="95">
        <f>'review 1 - annotator 1 - eval'!J99</f>
        <v>1</v>
      </c>
      <c r="B909" s="96">
        <f>'review 1 - annotator 2 - eval'!J99</f>
        <v>1</v>
      </c>
    </row>
    <row r="910">
      <c r="A910" s="95">
        <f>'review 1 - annotator 1 - eval'!J100</f>
        <v>1</v>
      </c>
      <c r="B910" s="96">
        <f>'review 1 - annotator 2 - eval'!J100</f>
        <v>1</v>
      </c>
    </row>
    <row r="911">
      <c r="A911" s="95">
        <f>'review 1 - annotator 1 - eval'!J104</f>
        <v>1</v>
      </c>
      <c r="B911" s="96">
        <f>'review 1 - annotator 2 - eval'!J104</f>
        <v>1</v>
      </c>
    </row>
    <row r="912">
      <c r="A912" s="95">
        <f>'review 1 - annotator 1 - eval'!J105</f>
        <v>1</v>
      </c>
      <c r="B912" s="96">
        <f>'review 1 - annotator 2 - eval'!J105</f>
        <v>1</v>
      </c>
    </row>
    <row r="913">
      <c r="A913" s="95">
        <f>'review 1 - annotator 1 - eval'!J106</f>
        <v>1</v>
      </c>
      <c r="B913" s="96">
        <f>'review 1 - annotator 2 - eval'!J106</f>
        <v>1</v>
      </c>
    </row>
    <row r="914">
      <c r="A914" s="95">
        <f>'review 1 - annotator 1 - eval'!J107</f>
        <v>1</v>
      </c>
      <c r="B914" s="96">
        <f>'review 1 - annotator 2 - eval'!J107</f>
        <v>1</v>
      </c>
    </row>
    <row r="915">
      <c r="A915" s="95">
        <f>'review 1 - annotator 1 - eval'!J108</f>
        <v>1</v>
      </c>
      <c r="B915" s="96">
        <f>'review 1 - annotator 2 - eval'!J108</f>
        <v>1</v>
      </c>
    </row>
    <row r="916">
      <c r="A916" s="95">
        <f>'review 1 - annotator 1 - eval'!J109</f>
        <v>1</v>
      </c>
      <c r="B916" s="96">
        <f>'review 1 - annotator 2 - eval'!J109</f>
        <v>1</v>
      </c>
    </row>
    <row r="917">
      <c r="A917" s="95">
        <f>'review 1 - annotator 1 - eval'!J110</f>
        <v>1</v>
      </c>
      <c r="B917" s="96">
        <f>'review 1 - annotator 2 - eval'!J110</f>
        <v>1</v>
      </c>
    </row>
    <row r="918">
      <c r="A918" s="95">
        <f>'review 1 - annotator 1 - eval'!J114</f>
        <v>1</v>
      </c>
      <c r="B918" s="96">
        <f>'review 1 - annotator 2 - eval'!J114</f>
        <v>1</v>
      </c>
    </row>
    <row r="919">
      <c r="A919" s="95">
        <f>'review 1 - annotator 1 - eval'!J115</f>
        <v>1</v>
      </c>
      <c r="B919" s="96">
        <f>'review 1 - annotator 2 - eval'!J115</f>
        <v>1</v>
      </c>
    </row>
    <row r="920">
      <c r="A920" s="95">
        <f>'review 1 - annotator 1 - eval'!J116</f>
        <v>1</v>
      </c>
      <c r="B920" s="96">
        <f>'review 1 - annotator 2 - eval'!J116</f>
        <v>1</v>
      </c>
    </row>
    <row r="921">
      <c r="A921" s="95">
        <f>'review 1 - annotator 1 - eval'!J117</f>
        <v>1</v>
      </c>
      <c r="B921" s="96">
        <f>'review 1 - annotator 2 - eval'!J117</f>
        <v>1</v>
      </c>
    </row>
    <row r="922">
      <c r="A922" s="95">
        <f>'review 1 - annotator 1 - eval'!J118</f>
        <v>1</v>
      </c>
      <c r="B922" s="96">
        <f>'review 1 - annotator 2 - eval'!J118</f>
        <v>1</v>
      </c>
    </row>
    <row r="923">
      <c r="A923" s="95">
        <f>'review 1 - annotator 1 - eval'!J119</f>
        <v>1</v>
      </c>
      <c r="B923" s="96">
        <f>'review 1 - annotator 2 - eval'!J119</f>
        <v>1</v>
      </c>
    </row>
    <row r="924">
      <c r="A924" s="95">
        <f>'review 1 - annotator 1 - eval'!J120</f>
        <v>1</v>
      </c>
      <c r="B924" s="96">
        <f>'review 1 - annotator 2 - eval'!J120</f>
        <v>1</v>
      </c>
    </row>
    <row r="925">
      <c r="A925" s="95">
        <f>'review 1 - annotator 1 - eval'!J124</f>
        <v>1</v>
      </c>
      <c r="B925" s="96">
        <f>'review 1 - annotator 2 - eval'!J124</f>
        <v>1</v>
      </c>
    </row>
    <row r="926">
      <c r="A926" s="95">
        <f>'review 1 - annotator 1 - eval'!J125</f>
        <v>1</v>
      </c>
      <c r="B926" s="96">
        <f>'review 1 - annotator 2 - eval'!J125</f>
        <v>1</v>
      </c>
    </row>
    <row r="927">
      <c r="A927" s="95">
        <f>'review 1 - annotator 1 - eval'!J126</f>
        <v>1</v>
      </c>
      <c r="B927" s="96">
        <f>'review 1 - annotator 2 - eval'!J126</f>
        <v>1</v>
      </c>
    </row>
    <row r="928">
      <c r="A928" s="95">
        <f>'review 1 - annotator 1 - eval'!J127</f>
        <v>1</v>
      </c>
      <c r="B928" s="96">
        <f>'review 1 - annotator 2 - eval'!J127</f>
        <v>1</v>
      </c>
    </row>
    <row r="929">
      <c r="A929" s="95">
        <f>'review 1 - annotator 1 - eval'!J128</f>
        <v>1</v>
      </c>
      <c r="B929" s="96">
        <f>'review 1 - annotator 2 - eval'!J128</f>
        <v>1</v>
      </c>
    </row>
    <row r="930">
      <c r="A930" s="95">
        <f>'review 1 - annotator 1 - eval'!J129</f>
        <v>1</v>
      </c>
      <c r="B930" s="96">
        <f>'review 1 - annotator 2 - eval'!J129</f>
        <v>1</v>
      </c>
    </row>
    <row r="931">
      <c r="A931" s="95">
        <f>'review 1 - annotator 1 - eval'!J130</f>
        <v>1</v>
      </c>
      <c r="B931" s="96">
        <f>'review 1 - annotator 2 - eval'!J130</f>
        <v>1</v>
      </c>
    </row>
    <row r="932">
      <c r="A932" s="95">
        <f>'review 1 - annotator 1 - eval'!J134</f>
        <v>1</v>
      </c>
      <c r="B932" s="96">
        <f>'review 1 - annotator 2 - eval'!J134</f>
        <v>1</v>
      </c>
    </row>
    <row r="933">
      <c r="A933" s="95">
        <f>'review 1 - annotator 1 - eval'!J135</f>
        <v>1</v>
      </c>
      <c r="B933" s="96">
        <f>'review 1 - annotator 2 - eval'!J135</f>
        <v>1</v>
      </c>
    </row>
    <row r="934">
      <c r="A934" s="95">
        <f>'review 1 - annotator 1 - eval'!J136</f>
        <v>1</v>
      </c>
      <c r="B934" s="96">
        <f>'review 1 - annotator 2 - eval'!J136</f>
        <v>1</v>
      </c>
    </row>
    <row r="935">
      <c r="A935" s="95">
        <f>'review 1 - annotator 1 - eval'!J137</f>
        <v>1</v>
      </c>
      <c r="B935" s="96">
        <f>'review 1 - annotator 2 - eval'!J137</f>
        <v>1</v>
      </c>
    </row>
    <row r="936">
      <c r="A936" s="95">
        <f>'review 1 - annotator 1 - eval'!J138</f>
        <v>1</v>
      </c>
      <c r="B936" s="96">
        <f>'review 1 - annotator 2 - eval'!J138</f>
        <v>1</v>
      </c>
    </row>
    <row r="937">
      <c r="A937" s="95">
        <f>'review 1 - annotator 1 - eval'!J139</f>
        <v>1</v>
      </c>
      <c r="B937" s="96">
        <f>'review 1 - annotator 2 - eval'!J139</f>
        <v>1</v>
      </c>
    </row>
    <row r="938">
      <c r="A938" s="95">
        <f>'review 1 - annotator 1 - eval'!J140</f>
        <v>1</v>
      </c>
      <c r="B938" s="96">
        <f>'review 1 - annotator 2 - eval'!J140</f>
        <v>1</v>
      </c>
    </row>
    <row r="939">
      <c r="A939" s="95">
        <f>'review 1 - annotator 1 - eval'!J144</f>
        <v>1</v>
      </c>
      <c r="B939" s="96">
        <f>'review 1 - annotator 2 - eval'!J144</f>
        <v>1</v>
      </c>
    </row>
    <row r="940">
      <c r="A940" s="95">
        <f>'review 1 - annotator 1 - eval'!J145</f>
        <v>1</v>
      </c>
      <c r="B940" s="96">
        <f>'review 1 - annotator 2 - eval'!J145</f>
        <v>1</v>
      </c>
    </row>
    <row r="941">
      <c r="A941" s="95">
        <f>'review 1 - annotator 1 - eval'!J146</f>
        <v>1</v>
      </c>
      <c r="B941" s="96">
        <f>'review 1 - annotator 2 - eval'!J146</f>
        <v>1</v>
      </c>
    </row>
    <row r="942">
      <c r="A942" s="95">
        <f>'review 1 - annotator 1 - eval'!J147</f>
        <v>1</v>
      </c>
      <c r="B942" s="96">
        <f>'review 1 - annotator 2 - eval'!J147</f>
        <v>1</v>
      </c>
    </row>
    <row r="943">
      <c r="A943" s="95">
        <f>'review 1 - annotator 1 - eval'!J148</f>
        <v>1</v>
      </c>
      <c r="B943" s="96">
        <f>'review 1 - annotator 2 - eval'!J148</f>
        <v>1</v>
      </c>
    </row>
    <row r="944">
      <c r="A944" s="95">
        <f>'review 1 - annotator 1 - eval'!J149</f>
        <v>1</v>
      </c>
      <c r="B944" s="96">
        <f>'review 1 - annotator 2 - eval'!J149</f>
        <v>1</v>
      </c>
    </row>
    <row r="945">
      <c r="A945" s="95">
        <f>'review 1 - annotator 1 - eval'!J150</f>
        <v>1</v>
      </c>
      <c r="B945" s="96">
        <f>'review 1 - annotator 2 - eval'!J150</f>
        <v>1</v>
      </c>
    </row>
    <row r="946">
      <c r="A946" s="95">
        <f>'review 1 - annotator 1 - eval'!J154</f>
        <v>1</v>
      </c>
      <c r="B946" s="96">
        <f>'review 1 - annotator 2 - eval'!J154</f>
        <v>1</v>
      </c>
    </row>
    <row r="947">
      <c r="A947" s="95">
        <f>'review 1 - annotator 1 - eval'!J155</f>
        <v>1</v>
      </c>
      <c r="B947" s="96">
        <f>'review 1 - annotator 2 - eval'!J155</f>
        <v>1</v>
      </c>
    </row>
    <row r="948">
      <c r="A948" s="95">
        <f>'review 1 - annotator 1 - eval'!J156</f>
        <v>1</v>
      </c>
      <c r="B948" s="96">
        <f>'review 1 - annotator 2 - eval'!J156</f>
        <v>1</v>
      </c>
    </row>
    <row r="949">
      <c r="A949" s="95">
        <f>'review 1 - annotator 1 - eval'!J157</f>
        <v>1</v>
      </c>
      <c r="B949" s="96">
        <f>'review 1 - annotator 2 - eval'!J157</f>
        <v>1</v>
      </c>
    </row>
    <row r="950">
      <c r="A950" s="95">
        <f>'review 1 - annotator 1 - eval'!J158</f>
        <v>1</v>
      </c>
      <c r="B950" s="96">
        <f>'review 1 - annotator 2 - eval'!J158</f>
        <v>1</v>
      </c>
    </row>
    <row r="951">
      <c r="A951" s="95">
        <f>'review 1 - annotator 1 - eval'!J159</f>
        <v>1</v>
      </c>
      <c r="B951" s="96">
        <f>'review 1 - annotator 2 - eval'!J159</f>
        <v>1</v>
      </c>
    </row>
    <row r="952">
      <c r="A952" s="95">
        <f>'review 1 - annotator 1 - eval'!J160</f>
        <v>1</v>
      </c>
      <c r="B952" s="96">
        <f>'review 1 - annotator 2 - eval'!J160</f>
        <v>1</v>
      </c>
    </row>
    <row r="953">
      <c r="A953" s="95">
        <f>'review 1 - annotator 1 - eval'!J164</f>
        <v>1</v>
      </c>
      <c r="B953" s="96">
        <f>'review 1 - annotator 2 - eval'!J164</f>
        <v>1</v>
      </c>
    </row>
    <row r="954">
      <c r="A954" s="95">
        <f>'review 1 - annotator 1 - eval'!J165</f>
        <v>1</v>
      </c>
      <c r="B954" s="96">
        <f>'review 1 - annotator 2 - eval'!J165</f>
        <v>1</v>
      </c>
    </row>
    <row r="955">
      <c r="A955" s="95">
        <f>'review 1 - annotator 1 - eval'!J166</f>
        <v>1</v>
      </c>
      <c r="B955" s="96">
        <f>'review 1 - annotator 2 - eval'!J166</f>
        <v>1</v>
      </c>
    </row>
    <row r="956">
      <c r="A956" s="95">
        <f>'review 1 - annotator 1 - eval'!J167</f>
        <v>1</v>
      </c>
      <c r="B956" s="96">
        <f>'review 1 - annotator 2 - eval'!J167</f>
        <v>1</v>
      </c>
    </row>
    <row r="957">
      <c r="A957" s="95">
        <f>'review 1 - annotator 1 - eval'!J168</f>
        <v>1</v>
      </c>
      <c r="B957" s="96">
        <f>'review 1 - annotator 2 - eval'!J168</f>
        <v>1</v>
      </c>
    </row>
    <row r="958">
      <c r="A958" s="95">
        <f>'review 1 - annotator 1 - eval'!J169</f>
        <v>1</v>
      </c>
      <c r="B958" s="96">
        <f>'review 1 - annotator 2 - eval'!J169</f>
        <v>1</v>
      </c>
    </row>
    <row r="959">
      <c r="A959" s="95">
        <f>'review 1 - annotator 1 - eval'!J170</f>
        <v>1</v>
      </c>
      <c r="B959" s="96">
        <f>'review 1 - annotator 2 - eval'!J170</f>
        <v>1</v>
      </c>
    </row>
    <row r="960">
      <c r="A960" s="95">
        <f>'review 1 - annotator 1 - eval'!J174</f>
        <v>0</v>
      </c>
      <c r="B960" s="96">
        <f>'review 1 - annotator 2 - eval'!J174</f>
        <v>0</v>
      </c>
    </row>
    <row r="961">
      <c r="A961" s="95">
        <f>'review 1 - annotator 1 - eval'!J175</f>
        <v>0</v>
      </c>
      <c r="B961" s="96">
        <f>'review 1 - annotator 2 - eval'!J175</f>
        <v>0</v>
      </c>
    </row>
    <row r="962">
      <c r="A962" s="95">
        <f>'review 1 - annotator 1 - eval'!J176</f>
        <v>0</v>
      </c>
      <c r="B962" s="96">
        <f>'review 1 - annotator 2 - eval'!J176</f>
        <v>0</v>
      </c>
    </row>
    <row r="963">
      <c r="A963" s="95">
        <f>'review 1 - annotator 1 - eval'!J177</f>
        <v>0</v>
      </c>
      <c r="B963" s="96">
        <f>'review 1 - annotator 2 - eval'!J177</f>
        <v>0</v>
      </c>
    </row>
    <row r="964">
      <c r="A964" s="95">
        <f>'review 1 - annotator 1 - eval'!J178</f>
        <v>0</v>
      </c>
      <c r="B964" s="96">
        <f>'review 1 - annotator 2 - eval'!J178</f>
        <v>0</v>
      </c>
    </row>
    <row r="965">
      <c r="A965" s="95">
        <f>'review 1 - annotator 1 - eval'!J179</f>
        <v>0</v>
      </c>
      <c r="B965" s="96">
        <f>'review 1 - annotator 2 - eval'!J179</f>
        <v>0</v>
      </c>
    </row>
    <row r="966">
      <c r="A966" s="95">
        <f>'review 1 - annotator 1 - eval'!J180</f>
        <v>0</v>
      </c>
      <c r="B966" s="96">
        <f>'review 1 - annotator 2 - eval'!J180</f>
        <v>0</v>
      </c>
    </row>
    <row r="967">
      <c r="A967" s="95">
        <f>'review 1 - annotator 1 - eval'!J184</f>
        <v>1</v>
      </c>
      <c r="B967" s="96">
        <f>'review 1 - annotator 2 - eval'!J184</f>
        <v>1</v>
      </c>
    </row>
    <row r="968">
      <c r="A968" s="95">
        <f>'review 1 - annotator 1 - eval'!J185</f>
        <v>1</v>
      </c>
      <c r="B968" s="96">
        <f>'review 1 - annotator 2 - eval'!J185</f>
        <v>1</v>
      </c>
    </row>
    <row r="969">
      <c r="A969" s="95">
        <f>'review 1 - annotator 1 - eval'!J186</f>
        <v>1</v>
      </c>
      <c r="B969" s="96">
        <f>'review 1 - annotator 2 - eval'!J186</f>
        <v>1</v>
      </c>
    </row>
    <row r="970">
      <c r="A970" s="95">
        <f>'review 1 - annotator 1 - eval'!J187</f>
        <v>1</v>
      </c>
      <c r="B970" s="96">
        <f>'review 1 - annotator 2 - eval'!J187</f>
        <v>1</v>
      </c>
    </row>
    <row r="971">
      <c r="A971" s="95">
        <f>'review 1 - annotator 1 - eval'!J188</f>
        <v>1</v>
      </c>
      <c r="B971" s="96">
        <f>'review 1 - annotator 2 - eval'!J188</f>
        <v>1</v>
      </c>
    </row>
    <row r="972">
      <c r="A972" s="95">
        <f>'review 1 - annotator 1 - eval'!J189</f>
        <v>1</v>
      </c>
      <c r="B972" s="96">
        <f>'review 1 - annotator 2 - eval'!J189</f>
        <v>1</v>
      </c>
    </row>
    <row r="973">
      <c r="A973" s="95">
        <f>'review 1 - annotator 1 - eval'!J190</f>
        <v>1</v>
      </c>
      <c r="B973" s="96">
        <f>'review 1 - annotator 2 - eval'!J190</f>
        <v>1</v>
      </c>
    </row>
    <row r="974">
      <c r="A974" s="95">
        <f>'review 1 - annotator 1 - eval'!J194</f>
        <v>0</v>
      </c>
      <c r="B974" s="96">
        <f>'review 1 - annotator 2 - eval'!J194</f>
        <v>0</v>
      </c>
    </row>
    <row r="975">
      <c r="A975" s="95">
        <f>'review 1 - annotator 1 - eval'!J195</f>
        <v>0</v>
      </c>
      <c r="B975" s="96">
        <f>'review 1 - annotator 2 - eval'!J195</f>
        <v>0</v>
      </c>
    </row>
    <row r="976">
      <c r="A976" s="95">
        <f>'review 1 - annotator 1 - eval'!J196</f>
        <v>0</v>
      </c>
      <c r="B976" s="96">
        <f>'review 1 - annotator 2 - eval'!J196</f>
        <v>0</v>
      </c>
    </row>
    <row r="977">
      <c r="A977" s="95">
        <f>'review 1 - annotator 1 - eval'!J197</f>
        <v>1</v>
      </c>
      <c r="B977" s="96">
        <f>'review 1 - annotator 2 - eval'!J197</f>
        <v>1</v>
      </c>
    </row>
    <row r="978">
      <c r="A978" s="95">
        <f>'review 1 - annotator 1 - eval'!J198</f>
        <v>1</v>
      </c>
      <c r="B978" s="96">
        <f>'review 1 - annotator 2 - eval'!J198</f>
        <v>1</v>
      </c>
    </row>
    <row r="979">
      <c r="A979" s="95">
        <f>'review 1 - annotator 1 - eval'!J199</f>
        <v>0</v>
      </c>
      <c r="B979" s="96">
        <f>'review 1 - annotator 2 - eval'!J199</f>
        <v>0</v>
      </c>
    </row>
    <row r="980">
      <c r="A980" s="95">
        <f>'review 1 - annotator 1 - eval'!J200</f>
        <v>0</v>
      </c>
      <c r="B980" s="96">
        <f>'review 1 - annotator 2 - eval'!J200</f>
        <v>0</v>
      </c>
    </row>
    <row r="981">
      <c r="A981" s="95">
        <f>'review 1 - annotator 1 - eval'!K4</f>
        <v>1</v>
      </c>
      <c r="B981" s="96">
        <f>'review 1 - annotator 2 - eval'!K4</f>
        <v>1</v>
      </c>
    </row>
    <row r="982">
      <c r="A982" s="95">
        <f>'review 1 - annotator 1 - eval'!K5</f>
        <v>1</v>
      </c>
      <c r="B982" s="96">
        <f>'review 1 - annotator 2 - eval'!K5</f>
        <v>1</v>
      </c>
    </row>
    <row r="983">
      <c r="A983" s="95">
        <f>'review 1 - annotator 1 - eval'!K6</f>
        <v>1</v>
      </c>
      <c r="B983" s="96">
        <f>'review 1 - annotator 2 - eval'!K6</f>
        <v>1</v>
      </c>
    </row>
    <row r="984">
      <c r="A984" s="95">
        <f>'review 1 - annotator 1 - eval'!K7</f>
        <v>1</v>
      </c>
      <c r="B984" s="96">
        <f>'review 1 - annotator 2 - eval'!K7</f>
        <v>1</v>
      </c>
    </row>
    <row r="985">
      <c r="A985" s="95">
        <f>'review 1 - annotator 1 - eval'!K8</f>
        <v>1</v>
      </c>
      <c r="B985" s="96">
        <f>'review 1 - annotator 2 - eval'!K8</f>
        <v>1</v>
      </c>
    </row>
    <row r="986">
      <c r="A986" s="95">
        <f>'review 1 - annotator 1 - eval'!K9</f>
        <v>1</v>
      </c>
      <c r="B986" s="96">
        <f>'review 1 - annotator 2 - eval'!K9</f>
        <v>1</v>
      </c>
    </row>
    <row r="987">
      <c r="A987" s="95">
        <f>'review 1 - annotator 1 - eval'!K10</f>
        <v>1</v>
      </c>
      <c r="B987" s="96">
        <f>'review 1 - annotator 2 - eval'!K10</f>
        <v>1</v>
      </c>
    </row>
    <row r="988">
      <c r="A988" s="95">
        <f>'review 1 - annotator 1 - eval'!K14</f>
        <v>1</v>
      </c>
      <c r="B988" s="96">
        <f>'review 1 - annotator 2 - eval'!K14</f>
        <v>1</v>
      </c>
    </row>
    <row r="989">
      <c r="A989" s="95">
        <f>'review 1 - annotator 1 - eval'!K15</f>
        <v>1</v>
      </c>
      <c r="B989" s="96">
        <f>'review 1 - annotator 2 - eval'!K15</f>
        <v>1</v>
      </c>
    </row>
    <row r="990">
      <c r="A990" s="95">
        <f>'review 1 - annotator 1 - eval'!K16</f>
        <v>1</v>
      </c>
      <c r="B990" s="96">
        <f>'review 1 - annotator 2 - eval'!K16</f>
        <v>1</v>
      </c>
    </row>
    <row r="991">
      <c r="A991" s="95">
        <f>'review 1 - annotator 1 - eval'!K17</f>
        <v>1</v>
      </c>
      <c r="B991" s="96">
        <f>'review 1 - annotator 2 - eval'!K17</f>
        <v>1</v>
      </c>
    </row>
    <row r="992">
      <c r="A992" s="95">
        <f>'review 1 - annotator 1 - eval'!K18</f>
        <v>1</v>
      </c>
      <c r="B992" s="96">
        <f>'review 1 - annotator 2 - eval'!K18</f>
        <v>1</v>
      </c>
    </row>
    <row r="993">
      <c r="A993" s="95">
        <f>'review 1 - annotator 1 - eval'!K19</f>
        <v>1</v>
      </c>
      <c r="B993" s="96">
        <f>'review 1 - annotator 2 - eval'!K19</f>
        <v>1</v>
      </c>
    </row>
    <row r="994">
      <c r="A994" s="95">
        <f>'review 1 - annotator 1 - eval'!K20</f>
        <v>1</v>
      </c>
      <c r="B994" s="96">
        <f>'review 1 - annotator 2 - eval'!K20</f>
        <v>1</v>
      </c>
    </row>
    <row r="995">
      <c r="A995" s="95">
        <f>'review 1 - annotator 1 - eval'!K24</f>
        <v>1</v>
      </c>
      <c r="B995" s="96">
        <f>'review 1 - annotator 2 - eval'!K24</f>
        <v>1</v>
      </c>
    </row>
    <row r="996">
      <c r="A996" s="95">
        <f>'review 1 - annotator 1 - eval'!K25</f>
        <v>1</v>
      </c>
      <c r="B996" s="96">
        <f>'review 1 - annotator 2 - eval'!K25</f>
        <v>1</v>
      </c>
    </row>
    <row r="997">
      <c r="A997" s="95">
        <f>'review 1 - annotator 1 - eval'!K26</f>
        <v>1</v>
      </c>
      <c r="B997" s="96">
        <f>'review 1 - annotator 2 - eval'!K26</f>
        <v>1</v>
      </c>
    </row>
    <row r="998">
      <c r="A998" s="95">
        <f>'review 1 - annotator 1 - eval'!K27</f>
        <v>1</v>
      </c>
      <c r="B998" s="96">
        <f>'review 1 - annotator 2 - eval'!K27</f>
        <v>1</v>
      </c>
    </row>
    <row r="999">
      <c r="A999" s="95">
        <f>'review 1 - annotator 1 - eval'!K28</f>
        <v>1</v>
      </c>
      <c r="B999" s="96">
        <f>'review 1 - annotator 2 - eval'!K28</f>
        <v>1</v>
      </c>
    </row>
    <row r="1000">
      <c r="A1000" s="95">
        <f>'review 1 - annotator 1 - eval'!K29</f>
        <v>1</v>
      </c>
      <c r="B1000" s="96">
        <f>'review 1 - annotator 2 - eval'!K29</f>
        <v>1</v>
      </c>
    </row>
    <row r="1001">
      <c r="A1001" s="95">
        <f>'review 1 - annotator 1 - eval'!K30</f>
        <v>1</v>
      </c>
      <c r="B1001" s="96">
        <f>'review 1 - annotator 2 - eval'!K30</f>
        <v>1</v>
      </c>
    </row>
    <row r="1002">
      <c r="A1002" s="95">
        <f>'review 1 - annotator 1 - eval'!K34</f>
        <v>1</v>
      </c>
      <c r="B1002" s="96">
        <f>'review 1 - annotator 2 - eval'!K34</f>
        <v>1</v>
      </c>
    </row>
    <row r="1003">
      <c r="A1003" s="95">
        <f>'review 1 - annotator 1 - eval'!K35</f>
        <v>1</v>
      </c>
      <c r="B1003" s="96">
        <f>'review 1 - annotator 2 - eval'!K35</f>
        <v>1</v>
      </c>
    </row>
    <row r="1004">
      <c r="A1004" s="95">
        <f>'review 1 - annotator 1 - eval'!K36</f>
        <v>1</v>
      </c>
      <c r="B1004" s="96">
        <f>'review 1 - annotator 2 - eval'!K36</f>
        <v>1</v>
      </c>
    </row>
    <row r="1005">
      <c r="A1005" s="95">
        <f>'review 1 - annotator 1 - eval'!K37</f>
        <v>1</v>
      </c>
      <c r="B1005" s="96">
        <f>'review 1 - annotator 2 - eval'!K37</f>
        <v>1</v>
      </c>
    </row>
    <row r="1006">
      <c r="A1006" s="95">
        <f>'review 1 - annotator 1 - eval'!K38</f>
        <v>1</v>
      </c>
      <c r="B1006" s="96">
        <f>'review 1 - annotator 2 - eval'!K38</f>
        <v>1</v>
      </c>
    </row>
    <row r="1007">
      <c r="A1007" s="95">
        <f>'review 1 - annotator 1 - eval'!K39</f>
        <v>1</v>
      </c>
      <c r="B1007" s="96">
        <f>'review 1 - annotator 2 - eval'!K39</f>
        <v>1</v>
      </c>
    </row>
    <row r="1008">
      <c r="A1008" s="95">
        <f>'review 1 - annotator 1 - eval'!K40</f>
        <v>1</v>
      </c>
      <c r="B1008" s="96">
        <f>'review 1 - annotator 2 - eval'!K40</f>
        <v>1</v>
      </c>
    </row>
    <row r="1009">
      <c r="A1009" s="95">
        <f>'review 1 - annotator 1 - eval'!K44</f>
        <v>1</v>
      </c>
      <c r="B1009" s="96">
        <f>'review 1 - annotator 2 - eval'!K44</f>
        <v>1</v>
      </c>
    </row>
    <row r="1010">
      <c r="A1010" s="95">
        <f>'review 1 - annotator 1 - eval'!K45</f>
        <v>1</v>
      </c>
      <c r="B1010" s="96">
        <f>'review 1 - annotator 2 - eval'!K45</f>
        <v>1</v>
      </c>
    </row>
    <row r="1011">
      <c r="A1011" s="95">
        <f>'review 1 - annotator 1 - eval'!K46</f>
        <v>1</v>
      </c>
      <c r="B1011" s="96">
        <f>'review 1 - annotator 2 - eval'!K46</f>
        <v>1</v>
      </c>
    </row>
    <row r="1012">
      <c r="A1012" s="95">
        <f>'review 1 - annotator 1 - eval'!K47</f>
        <v>1</v>
      </c>
      <c r="B1012" s="96">
        <f>'review 1 - annotator 2 - eval'!K47</f>
        <v>1</v>
      </c>
    </row>
    <row r="1013">
      <c r="A1013" s="95">
        <f>'review 1 - annotator 1 - eval'!K48</f>
        <v>1</v>
      </c>
      <c r="B1013" s="96">
        <f>'review 1 - annotator 2 - eval'!K48</f>
        <v>1</v>
      </c>
    </row>
    <row r="1014">
      <c r="A1014" s="95">
        <f>'review 1 - annotator 1 - eval'!K49</f>
        <v>1</v>
      </c>
      <c r="B1014" s="96">
        <f>'review 1 - annotator 2 - eval'!K49</f>
        <v>1</v>
      </c>
    </row>
    <row r="1015">
      <c r="A1015" s="95">
        <f>'review 1 - annotator 1 - eval'!K50</f>
        <v>1</v>
      </c>
      <c r="B1015" s="96">
        <f>'review 1 - annotator 2 - eval'!K50</f>
        <v>1</v>
      </c>
    </row>
    <row r="1016">
      <c r="A1016" s="95">
        <f>'review 1 - annotator 1 - eval'!K54</f>
        <v>1</v>
      </c>
      <c r="B1016" s="96">
        <f>'review 1 - annotator 2 - eval'!K54</f>
        <v>1</v>
      </c>
    </row>
    <row r="1017">
      <c r="A1017" s="95">
        <f>'review 1 - annotator 1 - eval'!K55</f>
        <v>1</v>
      </c>
      <c r="B1017" s="96">
        <f>'review 1 - annotator 2 - eval'!K55</f>
        <v>1</v>
      </c>
    </row>
    <row r="1018">
      <c r="A1018" s="95">
        <f>'review 1 - annotator 1 - eval'!K56</f>
        <v>1</v>
      </c>
      <c r="B1018" s="96">
        <f>'review 1 - annotator 2 - eval'!K56</f>
        <v>1</v>
      </c>
    </row>
    <row r="1019">
      <c r="A1019" s="95">
        <f>'review 1 - annotator 1 - eval'!K57</f>
        <v>1</v>
      </c>
      <c r="B1019" s="96">
        <f>'review 1 - annotator 2 - eval'!K57</f>
        <v>1</v>
      </c>
    </row>
    <row r="1020">
      <c r="A1020" s="95">
        <f>'review 1 - annotator 1 - eval'!K58</f>
        <v>1</v>
      </c>
      <c r="B1020" s="96">
        <f>'review 1 - annotator 2 - eval'!K58</f>
        <v>1</v>
      </c>
    </row>
    <row r="1021">
      <c r="A1021" s="95">
        <f>'review 1 - annotator 1 - eval'!K59</f>
        <v>1</v>
      </c>
      <c r="B1021" s="96">
        <f>'review 1 - annotator 2 - eval'!K59</f>
        <v>1</v>
      </c>
    </row>
    <row r="1022">
      <c r="A1022" s="95">
        <f>'review 1 - annotator 1 - eval'!K60</f>
        <v>1</v>
      </c>
      <c r="B1022" s="96">
        <f>'review 1 - annotator 2 - eval'!K60</f>
        <v>1</v>
      </c>
    </row>
    <row r="1023">
      <c r="A1023" s="95">
        <f>'review 1 - annotator 1 - eval'!K64</f>
        <v>1</v>
      </c>
      <c r="B1023" s="96">
        <f>'review 1 - annotator 2 - eval'!K64</f>
        <v>1</v>
      </c>
    </row>
    <row r="1024">
      <c r="A1024" s="95">
        <f>'review 1 - annotator 1 - eval'!K65</f>
        <v>1</v>
      </c>
      <c r="B1024" s="96">
        <f>'review 1 - annotator 2 - eval'!K65</f>
        <v>1</v>
      </c>
    </row>
    <row r="1025">
      <c r="A1025" s="95">
        <f>'review 1 - annotator 1 - eval'!K66</f>
        <v>1</v>
      </c>
      <c r="B1025" s="96">
        <f>'review 1 - annotator 2 - eval'!K66</f>
        <v>1</v>
      </c>
    </row>
    <row r="1026">
      <c r="A1026" s="95">
        <f>'review 1 - annotator 1 - eval'!K67</f>
        <v>1</v>
      </c>
      <c r="B1026" s="96">
        <f>'review 1 - annotator 2 - eval'!K67</f>
        <v>1</v>
      </c>
    </row>
    <row r="1027">
      <c r="A1027" s="95">
        <f>'review 1 - annotator 1 - eval'!K68</f>
        <v>1</v>
      </c>
      <c r="B1027" s="96">
        <f>'review 1 - annotator 2 - eval'!K68</f>
        <v>1</v>
      </c>
    </row>
    <row r="1028">
      <c r="A1028" s="95">
        <f>'review 1 - annotator 1 - eval'!K69</f>
        <v>1</v>
      </c>
      <c r="B1028" s="96">
        <f>'review 1 - annotator 2 - eval'!K69</f>
        <v>1</v>
      </c>
    </row>
    <row r="1029">
      <c r="A1029" s="95">
        <f>'review 1 - annotator 1 - eval'!K70</f>
        <v>1</v>
      </c>
      <c r="B1029" s="96">
        <f>'review 1 - annotator 2 - eval'!K70</f>
        <v>1</v>
      </c>
    </row>
    <row r="1030">
      <c r="A1030" s="95">
        <f>'review 1 - annotator 1 - eval'!K74</f>
        <v>1</v>
      </c>
      <c r="B1030" s="96">
        <f>'review 1 - annotator 2 - eval'!K74</f>
        <v>1</v>
      </c>
    </row>
    <row r="1031">
      <c r="A1031" s="95">
        <f>'review 1 - annotator 1 - eval'!K75</f>
        <v>1</v>
      </c>
      <c r="B1031" s="96">
        <f>'review 1 - annotator 2 - eval'!K75</f>
        <v>1</v>
      </c>
    </row>
    <row r="1032">
      <c r="A1032" s="95">
        <f>'review 1 - annotator 1 - eval'!K76</f>
        <v>1</v>
      </c>
      <c r="B1032" s="96">
        <f>'review 1 - annotator 2 - eval'!K76</f>
        <v>1</v>
      </c>
    </row>
    <row r="1033">
      <c r="A1033" s="95">
        <f>'review 1 - annotator 1 - eval'!K77</f>
        <v>1</v>
      </c>
      <c r="B1033" s="96">
        <f>'review 1 - annotator 2 - eval'!K77</f>
        <v>1</v>
      </c>
    </row>
    <row r="1034">
      <c r="A1034" s="95">
        <f>'review 1 - annotator 1 - eval'!K78</f>
        <v>1</v>
      </c>
      <c r="B1034" s="96">
        <f>'review 1 - annotator 2 - eval'!K78</f>
        <v>1</v>
      </c>
    </row>
    <row r="1035">
      <c r="A1035" s="95">
        <f>'review 1 - annotator 1 - eval'!K79</f>
        <v>1</v>
      </c>
      <c r="B1035" s="96">
        <f>'review 1 - annotator 2 - eval'!K79</f>
        <v>1</v>
      </c>
    </row>
    <row r="1036">
      <c r="A1036" s="95">
        <f>'review 1 - annotator 1 - eval'!K80</f>
        <v>1</v>
      </c>
      <c r="B1036" s="96">
        <f>'review 1 - annotator 2 - eval'!K80</f>
        <v>1</v>
      </c>
    </row>
    <row r="1037">
      <c r="A1037" s="95">
        <f>'review 1 - annotator 1 - eval'!K84</f>
        <v>1</v>
      </c>
      <c r="B1037" s="96">
        <f>'review 1 - annotator 2 - eval'!K84</f>
        <v>1</v>
      </c>
    </row>
    <row r="1038">
      <c r="A1038" s="95">
        <f>'review 1 - annotator 1 - eval'!K85</f>
        <v>1</v>
      </c>
      <c r="B1038" s="96">
        <f>'review 1 - annotator 2 - eval'!K85</f>
        <v>1</v>
      </c>
    </row>
    <row r="1039">
      <c r="A1039" s="95">
        <f>'review 1 - annotator 1 - eval'!K86</f>
        <v>1</v>
      </c>
      <c r="B1039" s="96">
        <f>'review 1 - annotator 2 - eval'!K86</f>
        <v>1</v>
      </c>
    </row>
    <row r="1040">
      <c r="A1040" s="95">
        <f>'review 1 - annotator 1 - eval'!K87</f>
        <v>1</v>
      </c>
      <c r="B1040" s="96">
        <f>'review 1 - annotator 2 - eval'!K87</f>
        <v>1</v>
      </c>
    </row>
    <row r="1041">
      <c r="A1041" s="95">
        <f>'review 1 - annotator 1 - eval'!K88</f>
        <v>1</v>
      </c>
      <c r="B1041" s="96">
        <f>'review 1 - annotator 2 - eval'!K88</f>
        <v>1</v>
      </c>
    </row>
    <row r="1042">
      <c r="A1042" s="95">
        <f>'review 1 - annotator 1 - eval'!K89</f>
        <v>1</v>
      </c>
      <c r="B1042" s="96">
        <f>'review 1 - annotator 2 - eval'!K89</f>
        <v>1</v>
      </c>
    </row>
    <row r="1043">
      <c r="A1043" s="95">
        <f>'review 1 - annotator 1 - eval'!K90</f>
        <v>1</v>
      </c>
      <c r="B1043" s="96">
        <f>'review 1 - annotator 2 - eval'!K90</f>
        <v>1</v>
      </c>
    </row>
    <row r="1044">
      <c r="A1044" s="95">
        <f>'review 1 - annotator 1 - eval'!K94</f>
        <v>1</v>
      </c>
      <c r="B1044" s="96">
        <f>'review 1 - annotator 2 - eval'!K94</f>
        <v>1</v>
      </c>
    </row>
    <row r="1045">
      <c r="A1045" s="95">
        <f>'review 1 - annotator 1 - eval'!K95</f>
        <v>1</v>
      </c>
      <c r="B1045" s="96">
        <f>'review 1 - annotator 2 - eval'!K95</f>
        <v>1</v>
      </c>
    </row>
    <row r="1046">
      <c r="A1046" s="95">
        <f>'review 1 - annotator 1 - eval'!K96</f>
        <v>1</v>
      </c>
      <c r="B1046" s="96">
        <f>'review 1 - annotator 2 - eval'!K96</f>
        <v>1</v>
      </c>
    </row>
    <row r="1047">
      <c r="A1047" s="95">
        <f>'review 1 - annotator 1 - eval'!K97</f>
        <v>1</v>
      </c>
      <c r="B1047" s="96">
        <f>'review 1 - annotator 2 - eval'!K97</f>
        <v>1</v>
      </c>
    </row>
    <row r="1048">
      <c r="A1048" s="95">
        <f>'review 1 - annotator 1 - eval'!K98</f>
        <v>1</v>
      </c>
      <c r="B1048" s="96">
        <f>'review 1 - annotator 2 - eval'!K98</f>
        <v>1</v>
      </c>
    </row>
    <row r="1049">
      <c r="A1049" s="95">
        <f>'review 1 - annotator 1 - eval'!K99</f>
        <v>1</v>
      </c>
      <c r="B1049" s="96">
        <f>'review 1 - annotator 2 - eval'!K99</f>
        <v>1</v>
      </c>
    </row>
    <row r="1050">
      <c r="A1050" s="95">
        <f>'review 1 - annotator 1 - eval'!K100</f>
        <v>1</v>
      </c>
      <c r="B1050" s="96">
        <f>'review 1 - annotator 2 - eval'!K100</f>
        <v>1</v>
      </c>
    </row>
    <row r="1051">
      <c r="A1051" s="95">
        <f>'review 1 - annotator 1 - eval'!K104</f>
        <v>1</v>
      </c>
      <c r="B1051" s="96">
        <f>'review 1 - annotator 2 - eval'!K104</f>
        <v>1</v>
      </c>
    </row>
    <row r="1052">
      <c r="A1052" s="95">
        <f>'review 1 - annotator 1 - eval'!K105</f>
        <v>1</v>
      </c>
      <c r="B1052" s="96">
        <f>'review 1 - annotator 2 - eval'!K105</f>
        <v>1</v>
      </c>
    </row>
    <row r="1053">
      <c r="A1053" s="95">
        <f>'review 1 - annotator 1 - eval'!K106</f>
        <v>1</v>
      </c>
      <c r="B1053" s="96">
        <f>'review 1 - annotator 2 - eval'!K106</f>
        <v>1</v>
      </c>
    </row>
    <row r="1054">
      <c r="A1054" s="95">
        <f>'review 1 - annotator 1 - eval'!K107</f>
        <v>1</v>
      </c>
      <c r="B1054" s="96">
        <f>'review 1 - annotator 2 - eval'!K107</f>
        <v>1</v>
      </c>
    </row>
    <row r="1055">
      <c r="A1055" s="95">
        <f>'review 1 - annotator 1 - eval'!K108</f>
        <v>1</v>
      </c>
      <c r="B1055" s="96">
        <f>'review 1 - annotator 2 - eval'!K108</f>
        <v>1</v>
      </c>
    </row>
    <row r="1056">
      <c r="A1056" s="95">
        <f>'review 1 - annotator 1 - eval'!K109</f>
        <v>1</v>
      </c>
      <c r="B1056" s="96">
        <f>'review 1 - annotator 2 - eval'!K109</f>
        <v>1</v>
      </c>
    </row>
    <row r="1057">
      <c r="A1057" s="95">
        <f>'review 1 - annotator 1 - eval'!K110</f>
        <v>1</v>
      </c>
      <c r="B1057" s="96">
        <f>'review 1 - annotator 2 - eval'!K110</f>
        <v>1</v>
      </c>
    </row>
    <row r="1058">
      <c r="A1058" s="95">
        <f>'review 1 - annotator 1 - eval'!K114</f>
        <v>1</v>
      </c>
      <c r="B1058" s="96">
        <f>'review 1 - annotator 2 - eval'!K114</f>
        <v>1</v>
      </c>
    </row>
    <row r="1059">
      <c r="A1059" s="95">
        <f>'review 1 - annotator 1 - eval'!K115</f>
        <v>1</v>
      </c>
      <c r="B1059" s="96">
        <f>'review 1 - annotator 2 - eval'!K115</f>
        <v>1</v>
      </c>
    </row>
    <row r="1060">
      <c r="A1060" s="95">
        <f>'review 1 - annotator 1 - eval'!K116</f>
        <v>1</v>
      </c>
      <c r="B1060" s="96">
        <f>'review 1 - annotator 2 - eval'!K116</f>
        <v>1</v>
      </c>
    </row>
    <row r="1061">
      <c r="A1061" s="95">
        <f>'review 1 - annotator 1 - eval'!K117</f>
        <v>1</v>
      </c>
      <c r="B1061" s="96">
        <f>'review 1 - annotator 2 - eval'!K117</f>
        <v>1</v>
      </c>
    </row>
    <row r="1062">
      <c r="A1062" s="95">
        <f>'review 1 - annotator 1 - eval'!K118</f>
        <v>1</v>
      </c>
      <c r="B1062" s="96">
        <f>'review 1 - annotator 2 - eval'!K118</f>
        <v>1</v>
      </c>
    </row>
    <row r="1063">
      <c r="A1063" s="95">
        <f>'review 1 - annotator 1 - eval'!K119</f>
        <v>1</v>
      </c>
      <c r="B1063" s="96">
        <f>'review 1 - annotator 2 - eval'!K119</f>
        <v>1</v>
      </c>
    </row>
    <row r="1064">
      <c r="A1064" s="95">
        <f>'review 1 - annotator 1 - eval'!K120</f>
        <v>1</v>
      </c>
      <c r="B1064" s="96">
        <f>'review 1 - annotator 2 - eval'!K120</f>
        <v>1</v>
      </c>
    </row>
    <row r="1065">
      <c r="A1065" s="95">
        <f>'review 1 - annotator 1 - eval'!K124</f>
        <v>1</v>
      </c>
      <c r="B1065" s="96">
        <f>'review 1 - annotator 2 - eval'!K124</f>
        <v>1</v>
      </c>
    </row>
    <row r="1066">
      <c r="A1066" s="95">
        <f>'review 1 - annotator 1 - eval'!K125</f>
        <v>1</v>
      </c>
      <c r="B1066" s="96">
        <f>'review 1 - annotator 2 - eval'!K125</f>
        <v>1</v>
      </c>
    </row>
    <row r="1067">
      <c r="A1067" s="95">
        <f>'review 1 - annotator 1 - eval'!K126</f>
        <v>1</v>
      </c>
      <c r="B1067" s="96">
        <f>'review 1 - annotator 2 - eval'!K126</f>
        <v>1</v>
      </c>
    </row>
    <row r="1068">
      <c r="A1068" s="95">
        <f>'review 1 - annotator 1 - eval'!K127</f>
        <v>1</v>
      </c>
      <c r="B1068" s="96">
        <f>'review 1 - annotator 2 - eval'!K127</f>
        <v>1</v>
      </c>
    </row>
    <row r="1069">
      <c r="A1069" s="95">
        <f>'review 1 - annotator 1 - eval'!K128</f>
        <v>1</v>
      </c>
      <c r="B1069" s="96">
        <f>'review 1 - annotator 2 - eval'!K128</f>
        <v>1</v>
      </c>
    </row>
    <row r="1070">
      <c r="A1070" s="95">
        <f>'review 1 - annotator 1 - eval'!K129</f>
        <v>1</v>
      </c>
      <c r="B1070" s="96">
        <f>'review 1 - annotator 2 - eval'!K129</f>
        <v>1</v>
      </c>
    </row>
    <row r="1071">
      <c r="A1071" s="95">
        <f>'review 1 - annotator 1 - eval'!K130</f>
        <v>1</v>
      </c>
      <c r="B1071" s="96">
        <f>'review 1 - annotator 2 - eval'!K130</f>
        <v>1</v>
      </c>
    </row>
    <row r="1072">
      <c r="A1072" s="95">
        <f>'review 1 - annotator 1 - eval'!K134</f>
        <v>1</v>
      </c>
      <c r="B1072" s="96">
        <f>'review 1 - annotator 2 - eval'!K134</f>
        <v>1</v>
      </c>
    </row>
    <row r="1073">
      <c r="A1073" s="95">
        <f>'review 1 - annotator 1 - eval'!K135</f>
        <v>1</v>
      </c>
      <c r="B1073" s="96">
        <f>'review 1 - annotator 2 - eval'!K135</f>
        <v>1</v>
      </c>
    </row>
    <row r="1074">
      <c r="A1074" s="95">
        <f>'review 1 - annotator 1 - eval'!K136</f>
        <v>1</v>
      </c>
      <c r="B1074" s="96">
        <f>'review 1 - annotator 2 - eval'!K136</f>
        <v>1</v>
      </c>
    </row>
    <row r="1075">
      <c r="A1075" s="95">
        <f>'review 1 - annotator 1 - eval'!K137</f>
        <v>1</v>
      </c>
      <c r="B1075" s="96">
        <f>'review 1 - annotator 2 - eval'!K137</f>
        <v>1</v>
      </c>
    </row>
    <row r="1076">
      <c r="A1076" s="95">
        <f>'review 1 - annotator 1 - eval'!K138</f>
        <v>1</v>
      </c>
      <c r="B1076" s="96">
        <f>'review 1 - annotator 2 - eval'!K138</f>
        <v>1</v>
      </c>
    </row>
    <row r="1077">
      <c r="A1077" s="95">
        <f>'review 1 - annotator 1 - eval'!K139</f>
        <v>1</v>
      </c>
      <c r="B1077" s="96">
        <f>'review 1 - annotator 2 - eval'!K139</f>
        <v>1</v>
      </c>
    </row>
    <row r="1078">
      <c r="A1078" s="95">
        <f>'review 1 - annotator 1 - eval'!K140</f>
        <v>1</v>
      </c>
      <c r="B1078" s="96">
        <f>'review 1 - annotator 2 - eval'!K140</f>
        <v>1</v>
      </c>
    </row>
    <row r="1079">
      <c r="A1079" s="95">
        <f>'review 1 - annotator 1 - eval'!K144</f>
        <v>1</v>
      </c>
      <c r="B1079" s="96">
        <f>'review 1 - annotator 2 - eval'!K144</f>
        <v>1</v>
      </c>
    </row>
    <row r="1080">
      <c r="A1080" s="95">
        <f>'review 1 - annotator 1 - eval'!K145</f>
        <v>1</v>
      </c>
      <c r="B1080" s="96">
        <f>'review 1 - annotator 2 - eval'!K145</f>
        <v>1</v>
      </c>
    </row>
    <row r="1081">
      <c r="A1081" s="95">
        <f>'review 1 - annotator 1 - eval'!K146</f>
        <v>1</v>
      </c>
      <c r="B1081" s="96">
        <f>'review 1 - annotator 2 - eval'!K146</f>
        <v>1</v>
      </c>
    </row>
    <row r="1082">
      <c r="A1082" s="95">
        <f>'review 1 - annotator 1 - eval'!K147</f>
        <v>1</v>
      </c>
      <c r="B1082" s="96">
        <f>'review 1 - annotator 2 - eval'!K147</f>
        <v>1</v>
      </c>
    </row>
    <row r="1083">
      <c r="A1083" s="95">
        <f>'review 1 - annotator 1 - eval'!K148</f>
        <v>1</v>
      </c>
      <c r="B1083" s="96">
        <f>'review 1 - annotator 2 - eval'!K148</f>
        <v>1</v>
      </c>
    </row>
    <row r="1084">
      <c r="A1084" s="95">
        <f>'review 1 - annotator 1 - eval'!K149</f>
        <v>1</v>
      </c>
      <c r="B1084" s="96">
        <f>'review 1 - annotator 2 - eval'!K149</f>
        <v>1</v>
      </c>
    </row>
    <row r="1085">
      <c r="A1085" s="95">
        <f>'review 1 - annotator 1 - eval'!K150</f>
        <v>1</v>
      </c>
      <c r="B1085" s="96">
        <f>'review 1 - annotator 2 - eval'!K150</f>
        <v>1</v>
      </c>
    </row>
    <row r="1086">
      <c r="A1086" s="95">
        <f>'review 1 - annotator 1 - eval'!K154</f>
        <v>1</v>
      </c>
      <c r="B1086" s="96">
        <f>'review 1 - annotator 2 - eval'!K154</f>
        <v>1</v>
      </c>
    </row>
    <row r="1087">
      <c r="A1087" s="95">
        <f>'review 1 - annotator 1 - eval'!K155</f>
        <v>1</v>
      </c>
      <c r="B1087" s="96">
        <f>'review 1 - annotator 2 - eval'!K155</f>
        <v>1</v>
      </c>
    </row>
    <row r="1088">
      <c r="A1088" s="95">
        <f>'review 1 - annotator 1 - eval'!K156</f>
        <v>1</v>
      </c>
      <c r="B1088" s="96">
        <f>'review 1 - annotator 2 - eval'!K156</f>
        <v>1</v>
      </c>
    </row>
    <row r="1089">
      <c r="A1089" s="95">
        <f>'review 1 - annotator 1 - eval'!K157</f>
        <v>1</v>
      </c>
      <c r="B1089" s="96">
        <f>'review 1 - annotator 2 - eval'!K157</f>
        <v>1</v>
      </c>
    </row>
    <row r="1090">
      <c r="A1090" s="95">
        <f>'review 1 - annotator 1 - eval'!K158</f>
        <v>1</v>
      </c>
      <c r="B1090" s="96">
        <f>'review 1 - annotator 2 - eval'!K158</f>
        <v>1</v>
      </c>
    </row>
    <row r="1091">
      <c r="A1091" s="95">
        <f>'review 1 - annotator 1 - eval'!K159</f>
        <v>1</v>
      </c>
      <c r="B1091" s="96">
        <f>'review 1 - annotator 2 - eval'!K159</f>
        <v>1</v>
      </c>
    </row>
    <row r="1092">
      <c r="A1092" s="95">
        <f>'review 1 - annotator 1 - eval'!K160</f>
        <v>1</v>
      </c>
      <c r="B1092" s="96">
        <f>'review 1 - annotator 2 - eval'!K160</f>
        <v>1</v>
      </c>
    </row>
    <row r="1093">
      <c r="A1093" s="95">
        <f>'review 1 - annotator 1 - eval'!K164</f>
        <v>1</v>
      </c>
      <c r="B1093" s="96">
        <f>'review 1 - annotator 2 - eval'!K164</f>
        <v>1</v>
      </c>
    </row>
    <row r="1094">
      <c r="A1094" s="95">
        <f>'review 1 - annotator 1 - eval'!K165</f>
        <v>1</v>
      </c>
      <c r="B1094" s="96">
        <f>'review 1 - annotator 2 - eval'!K165</f>
        <v>1</v>
      </c>
    </row>
    <row r="1095">
      <c r="A1095" s="95">
        <f>'review 1 - annotator 1 - eval'!K166</f>
        <v>1</v>
      </c>
      <c r="B1095" s="96">
        <f>'review 1 - annotator 2 - eval'!K166</f>
        <v>1</v>
      </c>
    </row>
    <row r="1096">
      <c r="A1096" s="95">
        <f>'review 1 - annotator 1 - eval'!K167</f>
        <v>1</v>
      </c>
      <c r="B1096" s="96">
        <f>'review 1 - annotator 2 - eval'!K167</f>
        <v>1</v>
      </c>
    </row>
    <row r="1097">
      <c r="A1097" s="95">
        <f>'review 1 - annotator 1 - eval'!K168</f>
        <v>1</v>
      </c>
      <c r="B1097" s="96">
        <f>'review 1 - annotator 2 - eval'!K168</f>
        <v>1</v>
      </c>
    </row>
    <row r="1098">
      <c r="A1098" s="95">
        <f>'review 1 - annotator 1 - eval'!K169</f>
        <v>1</v>
      </c>
      <c r="B1098" s="96">
        <f>'review 1 - annotator 2 - eval'!K169</f>
        <v>1</v>
      </c>
    </row>
    <row r="1099">
      <c r="A1099" s="95">
        <f>'review 1 - annotator 1 - eval'!K170</f>
        <v>1</v>
      </c>
      <c r="B1099" s="96">
        <f>'review 1 - annotator 2 - eval'!K170</f>
        <v>1</v>
      </c>
    </row>
    <row r="1100">
      <c r="A1100" s="95">
        <f>'review 1 - annotator 1 - eval'!K174</f>
        <v>1</v>
      </c>
      <c r="B1100" s="96">
        <f>'review 1 - annotator 2 - eval'!K174</f>
        <v>1</v>
      </c>
    </row>
    <row r="1101">
      <c r="A1101" s="95">
        <f>'review 1 - annotator 1 - eval'!K175</f>
        <v>1</v>
      </c>
      <c r="B1101" s="96">
        <f>'review 1 - annotator 2 - eval'!K175</f>
        <v>1</v>
      </c>
    </row>
    <row r="1102">
      <c r="A1102" s="95">
        <f>'review 1 - annotator 1 - eval'!K176</f>
        <v>1</v>
      </c>
      <c r="B1102" s="96">
        <f>'review 1 - annotator 2 - eval'!K176</f>
        <v>1</v>
      </c>
    </row>
    <row r="1103">
      <c r="A1103" s="95">
        <f>'review 1 - annotator 1 - eval'!K177</f>
        <v>1</v>
      </c>
      <c r="B1103" s="96">
        <f>'review 1 - annotator 2 - eval'!K177</f>
        <v>1</v>
      </c>
    </row>
    <row r="1104">
      <c r="A1104" s="95">
        <f>'review 1 - annotator 1 - eval'!K178</f>
        <v>1</v>
      </c>
      <c r="B1104" s="96">
        <f>'review 1 - annotator 2 - eval'!K178</f>
        <v>1</v>
      </c>
    </row>
    <row r="1105">
      <c r="A1105" s="95">
        <f>'review 1 - annotator 1 - eval'!K179</f>
        <v>1</v>
      </c>
      <c r="B1105" s="96">
        <f>'review 1 - annotator 2 - eval'!K179</f>
        <v>1</v>
      </c>
    </row>
    <row r="1106">
      <c r="A1106" s="95">
        <f>'review 1 - annotator 1 - eval'!K180</f>
        <v>1</v>
      </c>
      <c r="B1106" s="96">
        <f>'review 1 - annotator 2 - eval'!K180</f>
        <v>1</v>
      </c>
    </row>
    <row r="1107">
      <c r="A1107" s="95">
        <f>'review 1 - annotator 1 - eval'!K184</f>
        <v>1</v>
      </c>
      <c r="B1107" s="96">
        <f>'review 1 - annotator 2 - eval'!K184</f>
        <v>1</v>
      </c>
    </row>
    <row r="1108">
      <c r="A1108" s="95">
        <f>'review 1 - annotator 1 - eval'!K185</f>
        <v>1</v>
      </c>
      <c r="B1108" s="96">
        <f>'review 1 - annotator 2 - eval'!K185</f>
        <v>1</v>
      </c>
    </row>
    <row r="1109">
      <c r="A1109" s="95">
        <f>'review 1 - annotator 1 - eval'!K186</f>
        <v>1</v>
      </c>
      <c r="B1109" s="96">
        <f>'review 1 - annotator 2 - eval'!K186</f>
        <v>1</v>
      </c>
    </row>
    <row r="1110">
      <c r="A1110" s="95">
        <f>'review 1 - annotator 1 - eval'!K187</f>
        <v>1</v>
      </c>
      <c r="B1110" s="96">
        <f>'review 1 - annotator 2 - eval'!K187</f>
        <v>1</v>
      </c>
    </row>
    <row r="1111">
      <c r="A1111" s="95">
        <f>'review 1 - annotator 1 - eval'!K188</f>
        <v>1</v>
      </c>
      <c r="B1111" s="96">
        <f>'review 1 - annotator 2 - eval'!K188</f>
        <v>1</v>
      </c>
    </row>
    <row r="1112">
      <c r="A1112" s="95">
        <f>'review 1 - annotator 1 - eval'!K189</f>
        <v>1</v>
      </c>
      <c r="B1112" s="96">
        <f>'review 1 - annotator 2 - eval'!K189</f>
        <v>1</v>
      </c>
    </row>
    <row r="1113">
      <c r="A1113" s="95">
        <f>'review 1 - annotator 1 - eval'!K190</f>
        <v>1</v>
      </c>
      <c r="B1113" s="96">
        <f>'review 1 - annotator 2 - eval'!K190</f>
        <v>1</v>
      </c>
    </row>
    <row r="1114">
      <c r="A1114" s="95">
        <f>'review 1 - annotator 1 - eval'!K194</f>
        <v>1</v>
      </c>
      <c r="B1114" s="96">
        <f>'review 1 - annotator 2 - eval'!K194</f>
        <v>1</v>
      </c>
    </row>
    <row r="1115">
      <c r="A1115" s="95">
        <f>'review 1 - annotator 1 - eval'!K195</f>
        <v>1</v>
      </c>
      <c r="B1115" s="96">
        <f>'review 1 - annotator 2 - eval'!K195</f>
        <v>1</v>
      </c>
    </row>
    <row r="1116">
      <c r="A1116" s="95">
        <f>'review 1 - annotator 1 - eval'!K196</f>
        <v>1</v>
      </c>
      <c r="B1116" s="96">
        <f>'review 1 - annotator 2 - eval'!K196</f>
        <v>1</v>
      </c>
    </row>
    <row r="1117">
      <c r="A1117" s="95">
        <f>'review 1 - annotator 1 - eval'!K197</f>
        <v>1</v>
      </c>
      <c r="B1117" s="96">
        <f>'review 1 - annotator 2 - eval'!K197</f>
        <v>1</v>
      </c>
    </row>
    <row r="1118">
      <c r="A1118" s="95">
        <f>'review 1 - annotator 1 - eval'!K198</f>
        <v>1</v>
      </c>
      <c r="B1118" s="96">
        <f>'review 1 - annotator 2 - eval'!K198</f>
        <v>1</v>
      </c>
    </row>
    <row r="1119">
      <c r="A1119" s="95">
        <f>'review 1 - annotator 1 - eval'!K199</f>
        <v>1</v>
      </c>
      <c r="B1119" s="96">
        <f>'review 1 - annotator 2 - eval'!K199</f>
        <v>1</v>
      </c>
    </row>
    <row r="1120">
      <c r="A1120" s="95">
        <f>'review 1 - annotator 1 - eval'!K200</f>
        <v>1</v>
      </c>
      <c r="B1120" s="96">
        <f>'review 1 - annotator 2 - eval'!K200</f>
        <v>1</v>
      </c>
    </row>
    <row r="1121">
      <c r="A1121" s="95">
        <f>'review 1 - annotator 1 - eval'!L4</f>
        <v>1</v>
      </c>
      <c r="B1121" s="96">
        <f>'review 1 - annotator 2 - eval'!L4</f>
        <v>1</v>
      </c>
    </row>
    <row r="1122">
      <c r="A1122" s="95">
        <f>'review 1 - annotator 1 - eval'!L5</f>
        <v>1</v>
      </c>
      <c r="B1122" s="96">
        <f>'review 1 - annotator 2 - eval'!L5</f>
        <v>1</v>
      </c>
    </row>
    <row r="1123">
      <c r="A1123" s="95">
        <f>'review 1 - annotator 1 - eval'!L6</f>
        <v>1</v>
      </c>
      <c r="B1123" s="96">
        <f>'review 1 - annotator 2 - eval'!L6</f>
        <v>1</v>
      </c>
    </row>
    <row r="1124">
      <c r="A1124" s="95">
        <f>'review 1 - annotator 1 - eval'!L7</f>
        <v>1</v>
      </c>
      <c r="B1124" s="96">
        <f>'review 1 - annotator 2 - eval'!L7</f>
        <v>1</v>
      </c>
    </row>
    <row r="1125">
      <c r="A1125" s="95">
        <f>'review 1 - annotator 1 - eval'!L8</f>
        <v>1</v>
      </c>
      <c r="B1125" s="96">
        <f>'review 1 - annotator 2 - eval'!L8</f>
        <v>1</v>
      </c>
    </row>
    <row r="1126">
      <c r="A1126" s="95">
        <f>'review 1 - annotator 1 - eval'!L9</f>
        <v>1</v>
      </c>
      <c r="B1126" s="96">
        <f>'review 1 - annotator 2 - eval'!L9</f>
        <v>1</v>
      </c>
    </row>
    <row r="1127">
      <c r="A1127" s="95">
        <f>'review 1 - annotator 1 - eval'!L10</f>
        <v>1</v>
      </c>
      <c r="B1127" s="96">
        <f>'review 1 - annotator 2 - eval'!L10</f>
        <v>1</v>
      </c>
    </row>
    <row r="1128">
      <c r="A1128" s="95">
        <f>'review 1 - annotator 1 - eval'!L14</f>
        <v>1</v>
      </c>
      <c r="B1128" s="96">
        <f>'review 1 - annotator 2 - eval'!L14</f>
        <v>1</v>
      </c>
    </row>
    <row r="1129">
      <c r="A1129" s="95">
        <f>'review 1 - annotator 1 - eval'!L15</f>
        <v>1</v>
      </c>
      <c r="B1129" s="96">
        <f>'review 1 - annotator 2 - eval'!L15</f>
        <v>1</v>
      </c>
    </row>
    <row r="1130">
      <c r="A1130" s="95">
        <f>'review 1 - annotator 1 - eval'!L16</f>
        <v>1</v>
      </c>
      <c r="B1130" s="96">
        <f>'review 1 - annotator 2 - eval'!L16</f>
        <v>1</v>
      </c>
    </row>
    <row r="1131">
      <c r="A1131" s="95">
        <f>'review 1 - annotator 1 - eval'!L17</f>
        <v>1</v>
      </c>
      <c r="B1131" s="96">
        <f>'review 1 - annotator 2 - eval'!L17</f>
        <v>1</v>
      </c>
    </row>
    <row r="1132">
      <c r="A1132" s="95">
        <f>'review 1 - annotator 1 - eval'!L18</f>
        <v>1</v>
      </c>
      <c r="B1132" s="96">
        <f>'review 1 - annotator 2 - eval'!L18</f>
        <v>1</v>
      </c>
    </row>
    <row r="1133">
      <c r="A1133" s="95">
        <f>'review 1 - annotator 1 - eval'!L19</f>
        <v>1</v>
      </c>
      <c r="B1133" s="96">
        <f>'review 1 - annotator 2 - eval'!L19</f>
        <v>1</v>
      </c>
    </row>
    <row r="1134">
      <c r="A1134" s="95">
        <f>'review 1 - annotator 1 - eval'!L20</f>
        <v>1</v>
      </c>
      <c r="B1134" s="96">
        <f>'review 1 - annotator 2 - eval'!L20</f>
        <v>1</v>
      </c>
    </row>
    <row r="1135">
      <c r="A1135" s="95">
        <f>'review 1 - annotator 1 - eval'!L24</f>
        <v>0</v>
      </c>
      <c r="B1135" s="96">
        <f>'review 1 - annotator 2 - eval'!L24</f>
        <v>0</v>
      </c>
    </row>
    <row r="1136">
      <c r="A1136" s="95">
        <f>'review 1 - annotator 1 - eval'!L25</f>
        <v>0</v>
      </c>
      <c r="B1136" s="96">
        <f>'review 1 - annotator 2 - eval'!L25</f>
        <v>0</v>
      </c>
    </row>
    <row r="1137">
      <c r="A1137" s="95">
        <f>'review 1 - annotator 1 - eval'!L26</f>
        <v>0</v>
      </c>
      <c r="B1137" s="96">
        <f>'review 1 - annotator 2 - eval'!L26</f>
        <v>0</v>
      </c>
    </row>
    <row r="1138">
      <c r="A1138" s="95">
        <f>'review 1 - annotator 1 - eval'!L27</f>
        <v>1</v>
      </c>
      <c r="B1138" s="96">
        <f>'review 1 - annotator 2 - eval'!L27</f>
        <v>1</v>
      </c>
    </row>
    <row r="1139">
      <c r="A1139" s="95">
        <f>'review 1 - annotator 1 - eval'!L28</f>
        <v>1</v>
      </c>
      <c r="B1139" s="96">
        <f>'review 1 - annotator 2 - eval'!L28</f>
        <v>1</v>
      </c>
    </row>
    <row r="1140">
      <c r="A1140" s="95">
        <f>'review 1 - annotator 1 - eval'!L29</f>
        <v>0</v>
      </c>
      <c r="B1140" s="96">
        <f>'review 1 - annotator 2 - eval'!L29</f>
        <v>0</v>
      </c>
    </row>
    <row r="1141">
      <c r="A1141" s="95">
        <f>'review 1 - annotator 1 - eval'!L30</f>
        <v>1</v>
      </c>
      <c r="B1141" s="96">
        <f>'review 1 - annotator 2 - eval'!L30</f>
        <v>1</v>
      </c>
    </row>
    <row r="1142">
      <c r="A1142" s="95">
        <f>'review 1 - annotator 1 - eval'!L34</f>
        <v>1</v>
      </c>
      <c r="B1142" s="96">
        <f>'review 1 - annotator 2 - eval'!L34</f>
        <v>1</v>
      </c>
    </row>
    <row r="1143">
      <c r="A1143" s="95">
        <f>'review 1 - annotator 1 - eval'!L35</f>
        <v>1</v>
      </c>
      <c r="B1143" s="96">
        <f>'review 1 - annotator 2 - eval'!L35</f>
        <v>1</v>
      </c>
    </row>
    <row r="1144">
      <c r="A1144" s="95">
        <f>'review 1 - annotator 1 - eval'!L36</f>
        <v>1</v>
      </c>
      <c r="B1144" s="96">
        <f>'review 1 - annotator 2 - eval'!L36</f>
        <v>1</v>
      </c>
    </row>
    <row r="1145">
      <c r="A1145" s="95">
        <f>'review 1 - annotator 1 - eval'!L37</f>
        <v>1</v>
      </c>
      <c r="B1145" s="96">
        <f>'review 1 - annotator 2 - eval'!L37</f>
        <v>1</v>
      </c>
    </row>
    <row r="1146">
      <c r="A1146" s="95">
        <f>'review 1 - annotator 1 - eval'!L38</f>
        <v>1</v>
      </c>
      <c r="B1146" s="96">
        <f>'review 1 - annotator 2 - eval'!L38</f>
        <v>1</v>
      </c>
    </row>
    <row r="1147">
      <c r="A1147" s="95">
        <f>'review 1 - annotator 1 - eval'!L39</f>
        <v>1</v>
      </c>
      <c r="B1147" s="96">
        <f>'review 1 - annotator 2 - eval'!L39</f>
        <v>1</v>
      </c>
    </row>
    <row r="1148">
      <c r="A1148" s="95">
        <f>'review 1 - annotator 1 - eval'!L40</f>
        <v>1</v>
      </c>
      <c r="B1148" s="96">
        <f>'review 1 - annotator 2 - eval'!L40</f>
        <v>1</v>
      </c>
    </row>
    <row r="1149">
      <c r="A1149" s="95">
        <f>'review 1 - annotator 1 - eval'!L44</f>
        <v>1</v>
      </c>
      <c r="B1149" s="96">
        <f>'review 1 - annotator 2 - eval'!L44</f>
        <v>1</v>
      </c>
    </row>
    <row r="1150">
      <c r="A1150" s="95">
        <f>'review 1 - annotator 1 - eval'!L45</f>
        <v>1</v>
      </c>
      <c r="B1150" s="96">
        <f>'review 1 - annotator 2 - eval'!L45</f>
        <v>1</v>
      </c>
    </row>
    <row r="1151">
      <c r="A1151" s="95">
        <f>'review 1 - annotator 1 - eval'!L46</f>
        <v>1</v>
      </c>
      <c r="B1151" s="96">
        <f>'review 1 - annotator 2 - eval'!L46</f>
        <v>1</v>
      </c>
    </row>
    <row r="1152">
      <c r="A1152" s="95">
        <f>'review 1 - annotator 1 - eval'!L47</f>
        <v>1</v>
      </c>
      <c r="B1152" s="96">
        <f>'review 1 - annotator 2 - eval'!L47</f>
        <v>1</v>
      </c>
    </row>
    <row r="1153">
      <c r="A1153" s="95">
        <f>'review 1 - annotator 1 - eval'!L48</f>
        <v>1</v>
      </c>
      <c r="B1153" s="96">
        <f>'review 1 - annotator 2 - eval'!L48</f>
        <v>1</v>
      </c>
    </row>
    <row r="1154">
      <c r="A1154" s="95">
        <f>'review 1 - annotator 1 - eval'!L49</f>
        <v>1</v>
      </c>
      <c r="B1154" s="96">
        <f>'review 1 - annotator 2 - eval'!L49</f>
        <v>1</v>
      </c>
    </row>
    <row r="1155">
      <c r="A1155" s="95">
        <f>'review 1 - annotator 1 - eval'!L50</f>
        <v>1</v>
      </c>
      <c r="B1155" s="96">
        <f>'review 1 - annotator 2 - eval'!L50</f>
        <v>1</v>
      </c>
    </row>
    <row r="1156">
      <c r="A1156" s="95">
        <f>'review 1 - annotator 1 - eval'!L54</f>
        <v>1</v>
      </c>
      <c r="B1156" s="96">
        <f>'review 1 - annotator 2 - eval'!L54</f>
        <v>1</v>
      </c>
    </row>
    <row r="1157">
      <c r="A1157" s="95">
        <f>'review 1 - annotator 1 - eval'!L55</f>
        <v>1</v>
      </c>
      <c r="B1157" s="96">
        <f>'review 1 - annotator 2 - eval'!L55</f>
        <v>1</v>
      </c>
    </row>
    <row r="1158">
      <c r="A1158" s="95">
        <f>'review 1 - annotator 1 - eval'!L56</f>
        <v>1</v>
      </c>
      <c r="B1158" s="96">
        <f>'review 1 - annotator 2 - eval'!L56</f>
        <v>1</v>
      </c>
    </row>
    <row r="1159">
      <c r="A1159" s="95">
        <f>'review 1 - annotator 1 - eval'!L57</f>
        <v>1</v>
      </c>
      <c r="B1159" s="96">
        <f>'review 1 - annotator 2 - eval'!L57</f>
        <v>1</v>
      </c>
    </row>
    <row r="1160">
      <c r="A1160" s="95">
        <f>'review 1 - annotator 1 - eval'!L58</f>
        <v>1</v>
      </c>
      <c r="B1160" s="96">
        <f>'review 1 - annotator 2 - eval'!L58</f>
        <v>1</v>
      </c>
    </row>
    <row r="1161">
      <c r="A1161" s="95">
        <f>'review 1 - annotator 1 - eval'!L59</f>
        <v>1</v>
      </c>
      <c r="B1161" s="96">
        <f>'review 1 - annotator 2 - eval'!L59</f>
        <v>1</v>
      </c>
    </row>
    <row r="1162">
      <c r="A1162" s="95">
        <f>'review 1 - annotator 1 - eval'!L60</f>
        <v>1</v>
      </c>
      <c r="B1162" s="96">
        <f>'review 1 - annotator 2 - eval'!L60</f>
        <v>1</v>
      </c>
    </row>
    <row r="1163">
      <c r="A1163" s="95">
        <f>'review 1 - annotator 1 - eval'!L64</f>
        <v>1</v>
      </c>
      <c r="B1163" s="96">
        <f>'review 1 - annotator 2 - eval'!L64</f>
        <v>1</v>
      </c>
    </row>
    <row r="1164">
      <c r="A1164" s="95">
        <f>'review 1 - annotator 1 - eval'!L65</f>
        <v>1</v>
      </c>
      <c r="B1164" s="96">
        <f>'review 1 - annotator 2 - eval'!L65</f>
        <v>1</v>
      </c>
    </row>
    <row r="1165">
      <c r="A1165" s="95">
        <f>'review 1 - annotator 1 - eval'!L66</f>
        <v>1</v>
      </c>
      <c r="B1165" s="96">
        <f>'review 1 - annotator 2 - eval'!L66</f>
        <v>1</v>
      </c>
    </row>
    <row r="1166">
      <c r="A1166" s="95">
        <f>'review 1 - annotator 1 - eval'!L67</f>
        <v>1</v>
      </c>
      <c r="B1166" s="96">
        <f>'review 1 - annotator 2 - eval'!L67</f>
        <v>1</v>
      </c>
    </row>
    <row r="1167">
      <c r="A1167" s="95">
        <f>'review 1 - annotator 1 - eval'!L68</f>
        <v>1</v>
      </c>
      <c r="B1167" s="96">
        <f>'review 1 - annotator 2 - eval'!L68</f>
        <v>1</v>
      </c>
    </row>
    <row r="1168">
      <c r="A1168" s="95">
        <f>'review 1 - annotator 1 - eval'!L69</f>
        <v>1</v>
      </c>
      <c r="B1168" s="96">
        <f>'review 1 - annotator 2 - eval'!L69</f>
        <v>1</v>
      </c>
    </row>
    <row r="1169">
      <c r="A1169" s="95">
        <f>'review 1 - annotator 1 - eval'!L70</f>
        <v>1</v>
      </c>
      <c r="B1169" s="96">
        <f>'review 1 - annotator 2 - eval'!L70</f>
        <v>1</v>
      </c>
    </row>
    <row r="1170">
      <c r="A1170" s="95">
        <f>'review 1 - annotator 1 - eval'!L74</f>
        <v>1</v>
      </c>
      <c r="B1170" s="96">
        <f>'review 1 - annotator 2 - eval'!L74</f>
        <v>1</v>
      </c>
    </row>
    <row r="1171">
      <c r="A1171" s="95">
        <f>'review 1 - annotator 1 - eval'!L75</f>
        <v>1</v>
      </c>
      <c r="B1171" s="96">
        <f>'review 1 - annotator 2 - eval'!L75</f>
        <v>1</v>
      </c>
    </row>
    <row r="1172">
      <c r="A1172" s="95">
        <f>'review 1 - annotator 1 - eval'!L76</f>
        <v>1</v>
      </c>
      <c r="B1172" s="96">
        <f>'review 1 - annotator 2 - eval'!L76</f>
        <v>1</v>
      </c>
    </row>
    <row r="1173">
      <c r="A1173" s="95">
        <f>'review 1 - annotator 1 - eval'!L77</f>
        <v>1</v>
      </c>
      <c r="B1173" s="96">
        <f>'review 1 - annotator 2 - eval'!L77</f>
        <v>1</v>
      </c>
    </row>
    <row r="1174">
      <c r="A1174" s="95">
        <f>'review 1 - annotator 1 - eval'!L78</f>
        <v>1</v>
      </c>
      <c r="B1174" s="96">
        <f>'review 1 - annotator 2 - eval'!L78</f>
        <v>1</v>
      </c>
    </row>
    <row r="1175">
      <c r="A1175" s="95">
        <f>'review 1 - annotator 1 - eval'!L79</f>
        <v>1</v>
      </c>
      <c r="B1175" s="96">
        <f>'review 1 - annotator 2 - eval'!L79</f>
        <v>1</v>
      </c>
    </row>
    <row r="1176">
      <c r="A1176" s="95">
        <f>'review 1 - annotator 1 - eval'!L80</f>
        <v>1</v>
      </c>
      <c r="B1176" s="96">
        <f>'review 1 - annotator 2 - eval'!L80</f>
        <v>1</v>
      </c>
    </row>
    <row r="1177">
      <c r="A1177" s="95">
        <f>'review 1 - annotator 1 - eval'!L84</f>
        <v>1</v>
      </c>
      <c r="B1177" s="96">
        <f>'review 1 - annotator 2 - eval'!L84</f>
        <v>1</v>
      </c>
    </row>
    <row r="1178">
      <c r="A1178" s="95">
        <f>'review 1 - annotator 1 - eval'!L85</f>
        <v>1</v>
      </c>
      <c r="B1178" s="96">
        <f>'review 1 - annotator 2 - eval'!L85</f>
        <v>1</v>
      </c>
    </row>
    <row r="1179">
      <c r="A1179" s="95">
        <f>'review 1 - annotator 1 - eval'!L86</f>
        <v>1</v>
      </c>
      <c r="B1179" s="96">
        <f>'review 1 - annotator 2 - eval'!L86</f>
        <v>1</v>
      </c>
    </row>
    <row r="1180">
      <c r="A1180" s="95">
        <f>'review 1 - annotator 1 - eval'!L87</f>
        <v>1</v>
      </c>
      <c r="B1180" s="96">
        <f>'review 1 - annotator 2 - eval'!L87</f>
        <v>1</v>
      </c>
    </row>
    <row r="1181">
      <c r="A1181" s="95">
        <f>'review 1 - annotator 1 - eval'!L88</f>
        <v>1</v>
      </c>
      <c r="B1181" s="96">
        <f>'review 1 - annotator 2 - eval'!L88</f>
        <v>1</v>
      </c>
    </row>
    <row r="1182">
      <c r="A1182" s="95">
        <f>'review 1 - annotator 1 - eval'!L89</f>
        <v>1</v>
      </c>
      <c r="B1182" s="96">
        <f>'review 1 - annotator 2 - eval'!L89</f>
        <v>1</v>
      </c>
    </row>
    <row r="1183">
      <c r="A1183" s="95">
        <f>'review 1 - annotator 1 - eval'!L90</f>
        <v>1</v>
      </c>
      <c r="B1183" s="96">
        <f>'review 1 - annotator 2 - eval'!L90</f>
        <v>1</v>
      </c>
    </row>
    <row r="1184">
      <c r="A1184" s="95">
        <f>'review 1 - annotator 1 - eval'!L94</f>
        <v>1</v>
      </c>
      <c r="B1184" s="96">
        <f>'review 1 - annotator 2 - eval'!L94</f>
        <v>1</v>
      </c>
    </row>
    <row r="1185">
      <c r="A1185" s="95">
        <f>'review 1 - annotator 1 - eval'!L95</f>
        <v>1</v>
      </c>
      <c r="B1185" s="96">
        <f>'review 1 - annotator 2 - eval'!L95</f>
        <v>1</v>
      </c>
    </row>
    <row r="1186">
      <c r="A1186" s="95">
        <f>'review 1 - annotator 1 - eval'!L96</f>
        <v>1</v>
      </c>
      <c r="B1186" s="96">
        <f>'review 1 - annotator 2 - eval'!L96</f>
        <v>1</v>
      </c>
    </row>
    <row r="1187">
      <c r="A1187" s="95">
        <f>'review 1 - annotator 1 - eval'!L97</f>
        <v>1</v>
      </c>
      <c r="B1187" s="96">
        <f>'review 1 - annotator 2 - eval'!L97</f>
        <v>1</v>
      </c>
    </row>
    <row r="1188">
      <c r="A1188" s="95">
        <f>'review 1 - annotator 1 - eval'!L98</f>
        <v>1</v>
      </c>
      <c r="B1188" s="96">
        <f>'review 1 - annotator 2 - eval'!L98</f>
        <v>1</v>
      </c>
    </row>
    <row r="1189">
      <c r="A1189" s="95">
        <f>'review 1 - annotator 1 - eval'!L99</f>
        <v>1</v>
      </c>
      <c r="B1189" s="96">
        <f>'review 1 - annotator 2 - eval'!L99</f>
        <v>1</v>
      </c>
    </row>
    <row r="1190">
      <c r="A1190" s="95">
        <f>'review 1 - annotator 1 - eval'!L100</f>
        <v>1</v>
      </c>
      <c r="B1190" s="96">
        <f>'review 1 - annotator 2 - eval'!L100</f>
        <v>1</v>
      </c>
    </row>
    <row r="1191">
      <c r="A1191" s="95">
        <f>'review 1 - annotator 1 - eval'!L104</f>
        <v>1</v>
      </c>
      <c r="B1191" s="96">
        <f>'review 1 - annotator 2 - eval'!L104</f>
        <v>1</v>
      </c>
    </row>
    <row r="1192">
      <c r="A1192" s="95">
        <f>'review 1 - annotator 1 - eval'!L105</f>
        <v>1</v>
      </c>
      <c r="B1192" s="96">
        <f>'review 1 - annotator 2 - eval'!L105</f>
        <v>1</v>
      </c>
    </row>
    <row r="1193">
      <c r="A1193" s="95">
        <f>'review 1 - annotator 1 - eval'!L106</f>
        <v>1</v>
      </c>
      <c r="B1193" s="96">
        <f>'review 1 - annotator 2 - eval'!L106</f>
        <v>1</v>
      </c>
    </row>
    <row r="1194">
      <c r="A1194" s="95">
        <f>'review 1 - annotator 1 - eval'!L107</f>
        <v>1</v>
      </c>
      <c r="B1194" s="96">
        <f>'review 1 - annotator 2 - eval'!L107</f>
        <v>1</v>
      </c>
    </row>
    <row r="1195">
      <c r="A1195" s="95">
        <f>'review 1 - annotator 1 - eval'!L108</f>
        <v>1</v>
      </c>
      <c r="B1195" s="96">
        <f>'review 1 - annotator 2 - eval'!L108</f>
        <v>1</v>
      </c>
    </row>
    <row r="1196">
      <c r="A1196" s="95">
        <f>'review 1 - annotator 1 - eval'!L109</f>
        <v>1</v>
      </c>
      <c r="B1196" s="96">
        <f>'review 1 - annotator 2 - eval'!L109</f>
        <v>1</v>
      </c>
    </row>
    <row r="1197">
      <c r="A1197" s="95">
        <f>'review 1 - annotator 1 - eval'!L110</f>
        <v>1</v>
      </c>
      <c r="B1197" s="96">
        <f>'review 1 - annotator 2 - eval'!L110</f>
        <v>1</v>
      </c>
    </row>
    <row r="1198">
      <c r="A1198" s="95">
        <f>'review 1 - annotator 1 - eval'!L114</f>
        <v>1</v>
      </c>
      <c r="B1198" s="96">
        <f>'review 1 - annotator 2 - eval'!L114</f>
        <v>1</v>
      </c>
    </row>
    <row r="1199">
      <c r="A1199" s="95">
        <f>'review 1 - annotator 1 - eval'!L115</f>
        <v>1</v>
      </c>
      <c r="B1199" s="96">
        <f>'review 1 - annotator 2 - eval'!L115</f>
        <v>1</v>
      </c>
    </row>
    <row r="1200">
      <c r="A1200" s="95">
        <f>'review 1 - annotator 1 - eval'!L116</f>
        <v>1</v>
      </c>
      <c r="B1200" s="96">
        <f>'review 1 - annotator 2 - eval'!L116</f>
        <v>1</v>
      </c>
    </row>
    <row r="1201">
      <c r="A1201" s="95">
        <f>'review 1 - annotator 1 - eval'!L117</f>
        <v>1</v>
      </c>
      <c r="B1201" s="96">
        <f>'review 1 - annotator 2 - eval'!L117</f>
        <v>1</v>
      </c>
    </row>
    <row r="1202">
      <c r="A1202" s="95">
        <f>'review 1 - annotator 1 - eval'!L118</f>
        <v>1</v>
      </c>
      <c r="B1202" s="96">
        <f>'review 1 - annotator 2 - eval'!L118</f>
        <v>1</v>
      </c>
    </row>
    <row r="1203">
      <c r="A1203" s="95">
        <f>'review 1 - annotator 1 - eval'!L119</f>
        <v>1</v>
      </c>
      <c r="B1203" s="96">
        <f>'review 1 - annotator 2 - eval'!L119</f>
        <v>1</v>
      </c>
    </row>
    <row r="1204">
      <c r="A1204" s="95">
        <f>'review 1 - annotator 1 - eval'!L120</f>
        <v>1</v>
      </c>
      <c r="B1204" s="96">
        <f>'review 1 - annotator 2 - eval'!L120</f>
        <v>1</v>
      </c>
    </row>
    <row r="1205">
      <c r="A1205" s="95">
        <f>'review 1 - annotator 1 - eval'!L124</f>
        <v>1</v>
      </c>
      <c r="B1205" s="96">
        <f>'review 1 - annotator 2 - eval'!L124</f>
        <v>1</v>
      </c>
    </row>
    <row r="1206">
      <c r="A1206" s="95">
        <f>'review 1 - annotator 1 - eval'!L125</f>
        <v>1</v>
      </c>
      <c r="B1206" s="96">
        <f>'review 1 - annotator 2 - eval'!L125</f>
        <v>1</v>
      </c>
    </row>
    <row r="1207">
      <c r="A1207" s="95">
        <f>'review 1 - annotator 1 - eval'!L126</f>
        <v>1</v>
      </c>
      <c r="B1207" s="96">
        <f>'review 1 - annotator 2 - eval'!L126</f>
        <v>1</v>
      </c>
    </row>
    <row r="1208">
      <c r="A1208" s="95">
        <f>'review 1 - annotator 1 - eval'!L127</f>
        <v>1</v>
      </c>
      <c r="B1208" s="96">
        <f>'review 1 - annotator 2 - eval'!L127</f>
        <v>1</v>
      </c>
    </row>
    <row r="1209">
      <c r="A1209" s="95">
        <f>'review 1 - annotator 1 - eval'!L128</f>
        <v>1</v>
      </c>
      <c r="B1209" s="96">
        <f>'review 1 - annotator 2 - eval'!L128</f>
        <v>1</v>
      </c>
    </row>
    <row r="1210">
      <c r="A1210" s="95">
        <f>'review 1 - annotator 1 - eval'!L129</f>
        <v>1</v>
      </c>
      <c r="B1210" s="96">
        <f>'review 1 - annotator 2 - eval'!L129</f>
        <v>1</v>
      </c>
    </row>
    <row r="1211">
      <c r="A1211" s="95">
        <f>'review 1 - annotator 1 - eval'!L130</f>
        <v>1</v>
      </c>
      <c r="B1211" s="96">
        <f>'review 1 - annotator 2 - eval'!L130</f>
        <v>1</v>
      </c>
    </row>
    <row r="1212">
      <c r="A1212" s="95">
        <f>'review 1 - annotator 1 - eval'!L134</f>
        <v>1</v>
      </c>
      <c r="B1212" s="96">
        <f>'review 1 - annotator 2 - eval'!L134</f>
        <v>1</v>
      </c>
    </row>
    <row r="1213">
      <c r="A1213" s="95">
        <f>'review 1 - annotator 1 - eval'!L135</f>
        <v>1</v>
      </c>
      <c r="B1213" s="96">
        <f>'review 1 - annotator 2 - eval'!L135</f>
        <v>1</v>
      </c>
    </row>
    <row r="1214">
      <c r="A1214" s="95">
        <f>'review 1 - annotator 1 - eval'!L136</f>
        <v>1</v>
      </c>
      <c r="B1214" s="96">
        <f>'review 1 - annotator 2 - eval'!L136</f>
        <v>1</v>
      </c>
    </row>
    <row r="1215">
      <c r="A1215" s="95">
        <f>'review 1 - annotator 1 - eval'!L137</f>
        <v>1</v>
      </c>
      <c r="B1215" s="96">
        <f>'review 1 - annotator 2 - eval'!L137</f>
        <v>1</v>
      </c>
    </row>
    <row r="1216">
      <c r="A1216" s="95">
        <f>'review 1 - annotator 1 - eval'!L138</f>
        <v>1</v>
      </c>
      <c r="B1216" s="96">
        <f>'review 1 - annotator 2 - eval'!L138</f>
        <v>1</v>
      </c>
    </row>
    <row r="1217">
      <c r="A1217" s="95">
        <f>'review 1 - annotator 1 - eval'!L139</f>
        <v>1</v>
      </c>
      <c r="B1217" s="96">
        <f>'review 1 - annotator 2 - eval'!L139</f>
        <v>1</v>
      </c>
    </row>
    <row r="1218">
      <c r="A1218" s="95">
        <f>'review 1 - annotator 1 - eval'!L140</f>
        <v>1</v>
      </c>
      <c r="B1218" s="96">
        <f>'review 1 - annotator 2 - eval'!L140</f>
        <v>1</v>
      </c>
    </row>
    <row r="1219">
      <c r="A1219" s="95">
        <f>'review 1 - annotator 1 - eval'!L144</f>
        <v>1</v>
      </c>
      <c r="B1219" s="96">
        <f>'review 1 - annotator 2 - eval'!L144</f>
        <v>1</v>
      </c>
    </row>
    <row r="1220">
      <c r="A1220" s="95">
        <f>'review 1 - annotator 1 - eval'!L145</f>
        <v>1</v>
      </c>
      <c r="B1220" s="96">
        <f>'review 1 - annotator 2 - eval'!L145</f>
        <v>1</v>
      </c>
    </row>
    <row r="1221">
      <c r="A1221" s="95">
        <f>'review 1 - annotator 1 - eval'!L146</f>
        <v>1</v>
      </c>
      <c r="B1221" s="96">
        <f>'review 1 - annotator 2 - eval'!L146</f>
        <v>1</v>
      </c>
    </row>
    <row r="1222">
      <c r="A1222" s="95">
        <f>'review 1 - annotator 1 - eval'!L147</f>
        <v>1</v>
      </c>
      <c r="B1222" s="96">
        <f>'review 1 - annotator 2 - eval'!L147</f>
        <v>1</v>
      </c>
    </row>
    <row r="1223">
      <c r="A1223" s="95">
        <f>'review 1 - annotator 1 - eval'!L148</f>
        <v>1</v>
      </c>
      <c r="B1223" s="96">
        <f>'review 1 - annotator 2 - eval'!L148</f>
        <v>1</v>
      </c>
    </row>
    <row r="1224">
      <c r="A1224" s="95">
        <f>'review 1 - annotator 1 - eval'!L149</f>
        <v>1</v>
      </c>
      <c r="B1224" s="96">
        <f>'review 1 - annotator 2 - eval'!L149</f>
        <v>1</v>
      </c>
    </row>
    <row r="1225">
      <c r="A1225" s="95">
        <f>'review 1 - annotator 1 - eval'!L150</f>
        <v>1</v>
      </c>
      <c r="B1225" s="96">
        <f>'review 1 - annotator 2 - eval'!L150</f>
        <v>1</v>
      </c>
    </row>
    <row r="1226">
      <c r="A1226" s="95">
        <f>'review 1 - annotator 1 - eval'!L154</f>
        <v>1</v>
      </c>
      <c r="B1226" s="96">
        <f>'review 1 - annotator 2 - eval'!L154</f>
        <v>1</v>
      </c>
    </row>
    <row r="1227">
      <c r="A1227" s="95">
        <f>'review 1 - annotator 1 - eval'!L155</f>
        <v>1</v>
      </c>
      <c r="B1227" s="96">
        <f>'review 1 - annotator 2 - eval'!L155</f>
        <v>1</v>
      </c>
    </row>
    <row r="1228">
      <c r="A1228" s="95">
        <f>'review 1 - annotator 1 - eval'!L156</f>
        <v>1</v>
      </c>
      <c r="B1228" s="96">
        <f>'review 1 - annotator 2 - eval'!L156</f>
        <v>1</v>
      </c>
    </row>
    <row r="1229">
      <c r="A1229" s="95">
        <f>'review 1 - annotator 1 - eval'!L157</f>
        <v>1</v>
      </c>
      <c r="B1229" s="96">
        <f>'review 1 - annotator 2 - eval'!L157</f>
        <v>1</v>
      </c>
    </row>
    <row r="1230">
      <c r="A1230" s="95">
        <f>'review 1 - annotator 1 - eval'!L158</f>
        <v>1</v>
      </c>
      <c r="B1230" s="96">
        <f>'review 1 - annotator 2 - eval'!L158</f>
        <v>1</v>
      </c>
    </row>
    <row r="1231">
      <c r="A1231" s="95">
        <f>'review 1 - annotator 1 - eval'!L159</f>
        <v>1</v>
      </c>
      <c r="B1231" s="96">
        <f>'review 1 - annotator 2 - eval'!L159</f>
        <v>1</v>
      </c>
    </row>
    <row r="1232">
      <c r="A1232" s="95">
        <f>'review 1 - annotator 1 - eval'!L160</f>
        <v>1</v>
      </c>
      <c r="B1232" s="96">
        <f>'review 1 - annotator 2 - eval'!L160</f>
        <v>1</v>
      </c>
    </row>
    <row r="1233">
      <c r="A1233" s="95">
        <f>'review 1 - annotator 1 - eval'!L164</f>
        <v>1</v>
      </c>
      <c r="B1233" s="96">
        <f>'review 1 - annotator 2 - eval'!L164</f>
        <v>1</v>
      </c>
    </row>
    <row r="1234">
      <c r="A1234" s="95">
        <f>'review 1 - annotator 1 - eval'!L165</f>
        <v>1</v>
      </c>
      <c r="B1234" s="96">
        <f>'review 1 - annotator 2 - eval'!L165</f>
        <v>1</v>
      </c>
    </row>
    <row r="1235">
      <c r="A1235" s="95">
        <f>'review 1 - annotator 1 - eval'!L166</f>
        <v>1</v>
      </c>
      <c r="B1235" s="96">
        <f>'review 1 - annotator 2 - eval'!L166</f>
        <v>1</v>
      </c>
    </row>
    <row r="1236">
      <c r="A1236" s="95">
        <f>'review 1 - annotator 1 - eval'!L167</f>
        <v>1</v>
      </c>
      <c r="B1236" s="96">
        <f>'review 1 - annotator 2 - eval'!L167</f>
        <v>1</v>
      </c>
    </row>
    <row r="1237">
      <c r="A1237" s="95">
        <f>'review 1 - annotator 1 - eval'!L168</f>
        <v>1</v>
      </c>
      <c r="B1237" s="96">
        <f>'review 1 - annotator 2 - eval'!L168</f>
        <v>1</v>
      </c>
    </row>
    <row r="1238">
      <c r="A1238" s="95">
        <f>'review 1 - annotator 1 - eval'!L169</f>
        <v>1</v>
      </c>
      <c r="B1238" s="96">
        <f>'review 1 - annotator 2 - eval'!L169</f>
        <v>1</v>
      </c>
    </row>
    <row r="1239">
      <c r="A1239" s="95">
        <f>'review 1 - annotator 1 - eval'!L170</f>
        <v>1</v>
      </c>
      <c r="B1239" s="96">
        <f>'review 1 - annotator 2 - eval'!L170</f>
        <v>1</v>
      </c>
    </row>
    <row r="1240">
      <c r="A1240" s="95">
        <f>'review 1 - annotator 1 - eval'!L174</f>
        <v>1</v>
      </c>
      <c r="B1240" s="96">
        <f>'review 1 - annotator 2 - eval'!L174</f>
        <v>1</v>
      </c>
    </row>
    <row r="1241">
      <c r="A1241" s="95">
        <f>'review 1 - annotator 1 - eval'!L175</f>
        <v>1</v>
      </c>
      <c r="B1241" s="96">
        <f>'review 1 - annotator 2 - eval'!L175</f>
        <v>1</v>
      </c>
    </row>
    <row r="1242">
      <c r="A1242" s="95">
        <f>'review 1 - annotator 1 - eval'!L176</f>
        <v>1</v>
      </c>
      <c r="B1242" s="96">
        <f>'review 1 - annotator 2 - eval'!L176</f>
        <v>1</v>
      </c>
    </row>
    <row r="1243">
      <c r="A1243" s="95">
        <f>'review 1 - annotator 1 - eval'!L177</f>
        <v>1</v>
      </c>
      <c r="B1243" s="96">
        <f>'review 1 - annotator 2 - eval'!L177</f>
        <v>1</v>
      </c>
    </row>
    <row r="1244">
      <c r="A1244" s="95">
        <f>'review 1 - annotator 1 - eval'!L178</f>
        <v>1</v>
      </c>
      <c r="B1244" s="96">
        <f>'review 1 - annotator 2 - eval'!L178</f>
        <v>1</v>
      </c>
    </row>
    <row r="1245">
      <c r="A1245" s="95">
        <f>'review 1 - annotator 1 - eval'!L179</f>
        <v>1</v>
      </c>
      <c r="B1245" s="96">
        <f>'review 1 - annotator 2 - eval'!L179</f>
        <v>1</v>
      </c>
    </row>
    <row r="1246">
      <c r="A1246" s="95">
        <f>'review 1 - annotator 1 - eval'!L180</f>
        <v>1</v>
      </c>
      <c r="B1246" s="96">
        <f>'review 1 - annotator 2 - eval'!L180</f>
        <v>1</v>
      </c>
    </row>
    <row r="1247">
      <c r="A1247" s="95">
        <f>'review 1 - annotator 1 - eval'!L184</f>
        <v>1</v>
      </c>
      <c r="B1247" s="96">
        <f>'review 1 - annotator 2 - eval'!L184</f>
        <v>1</v>
      </c>
    </row>
    <row r="1248">
      <c r="A1248" s="95">
        <f>'review 1 - annotator 1 - eval'!L185</f>
        <v>1</v>
      </c>
      <c r="B1248" s="96">
        <f>'review 1 - annotator 2 - eval'!L185</f>
        <v>1</v>
      </c>
    </row>
    <row r="1249">
      <c r="A1249" s="95">
        <f>'review 1 - annotator 1 - eval'!L186</f>
        <v>1</v>
      </c>
      <c r="B1249" s="96">
        <f>'review 1 - annotator 2 - eval'!L186</f>
        <v>1</v>
      </c>
    </row>
    <row r="1250">
      <c r="A1250" s="95">
        <f>'review 1 - annotator 1 - eval'!L187</f>
        <v>1</v>
      </c>
      <c r="B1250" s="96">
        <f>'review 1 - annotator 2 - eval'!L187</f>
        <v>1</v>
      </c>
    </row>
    <row r="1251">
      <c r="A1251" s="95">
        <f>'review 1 - annotator 1 - eval'!L188</f>
        <v>1</v>
      </c>
      <c r="B1251" s="96">
        <f>'review 1 - annotator 2 - eval'!L188</f>
        <v>1</v>
      </c>
    </row>
    <row r="1252">
      <c r="A1252" s="95">
        <f>'review 1 - annotator 1 - eval'!L189</f>
        <v>1</v>
      </c>
      <c r="B1252" s="96">
        <f>'review 1 - annotator 2 - eval'!L189</f>
        <v>1</v>
      </c>
    </row>
    <row r="1253">
      <c r="A1253" s="95">
        <f>'review 1 - annotator 1 - eval'!L190</f>
        <v>1</v>
      </c>
      <c r="B1253" s="96">
        <f>'review 1 - annotator 2 - eval'!L190</f>
        <v>1</v>
      </c>
    </row>
    <row r="1254">
      <c r="A1254" s="95">
        <f>'review 1 - annotator 1 - eval'!L194</f>
        <v>1</v>
      </c>
      <c r="B1254" s="96">
        <f>'review 1 - annotator 2 - eval'!L194</f>
        <v>1</v>
      </c>
    </row>
    <row r="1255">
      <c r="A1255" s="95">
        <f>'review 1 - annotator 1 - eval'!L195</f>
        <v>1</v>
      </c>
      <c r="B1255" s="96">
        <f>'review 1 - annotator 2 - eval'!L195</f>
        <v>1</v>
      </c>
    </row>
    <row r="1256">
      <c r="A1256" s="95">
        <f>'review 1 - annotator 1 - eval'!L196</f>
        <v>1</v>
      </c>
      <c r="B1256" s="96">
        <f>'review 1 - annotator 2 - eval'!L196</f>
        <v>1</v>
      </c>
    </row>
    <row r="1257">
      <c r="A1257" s="95">
        <f>'review 1 - annotator 1 - eval'!L197</f>
        <v>1</v>
      </c>
      <c r="B1257" s="96">
        <f>'review 1 - annotator 2 - eval'!L197</f>
        <v>1</v>
      </c>
    </row>
    <row r="1258">
      <c r="A1258" s="95">
        <f>'review 1 - annotator 1 - eval'!L198</f>
        <v>1</v>
      </c>
      <c r="B1258" s="96">
        <f>'review 1 - annotator 2 - eval'!L198</f>
        <v>1</v>
      </c>
    </row>
    <row r="1259">
      <c r="A1259" s="95">
        <f>'review 1 - annotator 1 - eval'!L199</f>
        <v>1</v>
      </c>
      <c r="B1259" s="96">
        <f>'review 1 - annotator 2 - eval'!L199</f>
        <v>1</v>
      </c>
    </row>
    <row r="1260">
      <c r="A1260" s="95">
        <f>'review 1 - annotator 1 - eval'!L200</f>
        <v>1</v>
      </c>
      <c r="B1260" s="96">
        <f>'review 1 - annotator 2 - eval'!L200</f>
        <v>1</v>
      </c>
    </row>
    <row r="1261">
      <c r="A1261" s="95">
        <f>'review 1 - annotator 1 - eval'!N4</f>
        <v>1</v>
      </c>
      <c r="B1261" s="96">
        <f>'review 1 - annotator 2 - eval'!N4</f>
        <v>1</v>
      </c>
    </row>
    <row r="1262">
      <c r="A1262" s="95">
        <f>'review 1 - annotator 1 - eval'!N5</f>
        <v>1</v>
      </c>
      <c r="B1262" s="96">
        <f>'review 1 - annotator 2 - eval'!N5</f>
        <v>1</v>
      </c>
    </row>
    <row r="1263">
      <c r="A1263" s="95">
        <f>'review 1 - annotator 1 - eval'!N6</f>
        <v>0</v>
      </c>
      <c r="B1263" s="96">
        <f>'review 1 - annotator 2 - eval'!N6</f>
        <v>0</v>
      </c>
    </row>
    <row r="1264">
      <c r="A1264" s="95">
        <f>'review 1 - annotator 1 - eval'!N7</f>
        <v>1</v>
      </c>
      <c r="B1264" s="96">
        <f>'review 1 - annotator 2 - eval'!N7</f>
        <v>1</v>
      </c>
    </row>
    <row r="1265">
      <c r="A1265" s="95">
        <f>'review 1 - annotator 1 - eval'!N8</f>
        <v>1</v>
      </c>
      <c r="B1265" s="96">
        <f>'review 1 - annotator 2 - eval'!N8</f>
        <v>1</v>
      </c>
    </row>
    <row r="1266">
      <c r="A1266" s="95">
        <f>'review 1 - annotator 1 - eval'!N9</f>
        <v>1</v>
      </c>
      <c r="B1266" s="96">
        <f>'review 1 - annotator 2 - eval'!N9</f>
        <v>1</v>
      </c>
    </row>
    <row r="1267">
      <c r="A1267" s="95">
        <f>'review 1 - annotator 1 - eval'!N10</f>
        <v>1</v>
      </c>
      <c r="B1267" s="96">
        <f>'review 1 - annotator 2 - eval'!N10</f>
        <v>1</v>
      </c>
    </row>
    <row r="1268">
      <c r="A1268" s="95">
        <f>'review 1 - annotator 1 - eval'!N14</f>
        <v>1</v>
      </c>
      <c r="B1268" s="96">
        <f>'review 1 - annotator 2 - eval'!N14</f>
        <v>1</v>
      </c>
    </row>
    <row r="1269">
      <c r="A1269" s="95">
        <f>'review 1 - annotator 1 - eval'!N15</f>
        <v>1</v>
      </c>
      <c r="B1269" s="96">
        <f>'review 1 - annotator 2 - eval'!N15</f>
        <v>1</v>
      </c>
    </row>
    <row r="1270">
      <c r="A1270" s="95">
        <f>'review 1 - annotator 1 - eval'!N16</f>
        <v>1</v>
      </c>
      <c r="B1270" s="96">
        <f>'review 1 - annotator 2 - eval'!N16</f>
        <v>1</v>
      </c>
    </row>
    <row r="1271">
      <c r="A1271" s="95">
        <f>'review 1 - annotator 1 - eval'!N17</f>
        <v>1</v>
      </c>
      <c r="B1271" s="96">
        <f>'review 1 - annotator 2 - eval'!N17</f>
        <v>1</v>
      </c>
    </row>
    <row r="1272">
      <c r="A1272" s="95">
        <f>'review 1 - annotator 1 - eval'!N18</f>
        <v>1</v>
      </c>
      <c r="B1272" s="96">
        <f>'review 1 - annotator 2 - eval'!N18</f>
        <v>1</v>
      </c>
    </row>
    <row r="1273">
      <c r="A1273" s="95">
        <f>'review 1 - annotator 1 - eval'!N19</f>
        <v>1</v>
      </c>
      <c r="B1273" s="96">
        <f>'review 1 - annotator 2 - eval'!N19</f>
        <v>1</v>
      </c>
    </row>
    <row r="1274">
      <c r="A1274" s="95">
        <f>'review 1 - annotator 1 - eval'!N20</f>
        <v>1</v>
      </c>
      <c r="B1274" s="96">
        <f>'review 1 - annotator 2 - eval'!N20</f>
        <v>1</v>
      </c>
    </row>
    <row r="1275">
      <c r="A1275" s="95">
        <f>'review 1 - annotator 1 - eval'!N24</f>
        <v>1</v>
      </c>
      <c r="B1275" s="96">
        <f>'review 1 - annotator 2 - eval'!N24</f>
        <v>1</v>
      </c>
    </row>
    <row r="1276">
      <c r="A1276" s="95">
        <f>'review 1 - annotator 1 - eval'!N25</f>
        <v>1</v>
      </c>
      <c r="B1276" s="96">
        <f>'review 1 - annotator 2 - eval'!N25</f>
        <v>1</v>
      </c>
    </row>
    <row r="1277">
      <c r="A1277" s="95">
        <f>'review 1 - annotator 1 - eval'!N26</f>
        <v>0</v>
      </c>
      <c r="B1277" s="96">
        <f>'review 1 - annotator 2 - eval'!N26</f>
        <v>0</v>
      </c>
    </row>
    <row r="1278">
      <c r="A1278" s="95">
        <f>'review 1 - annotator 1 - eval'!N27</f>
        <v>1</v>
      </c>
      <c r="B1278" s="96">
        <f>'review 1 - annotator 2 - eval'!N27</f>
        <v>1</v>
      </c>
    </row>
    <row r="1279">
      <c r="A1279" s="95">
        <f>'review 1 - annotator 1 - eval'!N28</f>
        <v>1</v>
      </c>
      <c r="B1279" s="96">
        <f>'review 1 - annotator 2 - eval'!N28</f>
        <v>1</v>
      </c>
    </row>
    <row r="1280">
      <c r="A1280" s="95">
        <f>'review 1 - annotator 1 - eval'!N29</f>
        <v>1</v>
      </c>
      <c r="B1280" s="96">
        <f>'review 1 - annotator 2 - eval'!N29</f>
        <v>1</v>
      </c>
    </row>
    <row r="1281">
      <c r="A1281" s="95">
        <f>'review 1 - annotator 1 - eval'!N30</f>
        <v>1</v>
      </c>
      <c r="B1281" s="96">
        <f>'review 1 - annotator 2 - eval'!N30</f>
        <v>1</v>
      </c>
    </row>
    <row r="1282">
      <c r="A1282" s="95">
        <f>'review 1 - annotator 1 - eval'!N34</f>
        <v>1</v>
      </c>
      <c r="B1282" s="96">
        <f>'review 1 - annotator 2 - eval'!N34</f>
        <v>1</v>
      </c>
    </row>
    <row r="1283">
      <c r="A1283" s="95">
        <f>'review 1 - annotator 1 - eval'!N35</f>
        <v>1</v>
      </c>
      <c r="B1283" s="96">
        <f>'review 1 - annotator 2 - eval'!N35</f>
        <v>1</v>
      </c>
    </row>
    <row r="1284">
      <c r="A1284" s="95">
        <f>'review 1 - annotator 1 - eval'!N36</f>
        <v>1</v>
      </c>
      <c r="B1284" s="96">
        <f>'review 1 - annotator 2 - eval'!N36</f>
        <v>1</v>
      </c>
    </row>
    <row r="1285">
      <c r="A1285" s="95">
        <f>'review 1 - annotator 1 - eval'!N37</f>
        <v>1</v>
      </c>
      <c r="B1285" s="96">
        <f>'review 1 - annotator 2 - eval'!N37</f>
        <v>1</v>
      </c>
    </row>
    <row r="1286">
      <c r="A1286" s="95">
        <f>'review 1 - annotator 1 - eval'!N38</f>
        <v>0</v>
      </c>
      <c r="B1286" s="96">
        <f>'review 1 - annotator 2 - eval'!N38</f>
        <v>1</v>
      </c>
    </row>
    <row r="1287">
      <c r="A1287" s="95">
        <f>'review 1 - annotator 1 - eval'!N39</f>
        <v>1</v>
      </c>
      <c r="B1287" s="96">
        <f>'review 1 - annotator 2 - eval'!N39</f>
        <v>1</v>
      </c>
    </row>
    <row r="1288">
      <c r="A1288" s="95">
        <f>'review 1 - annotator 1 - eval'!N40</f>
        <v>1</v>
      </c>
      <c r="B1288" s="96">
        <f>'review 1 - annotator 2 - eval'!N40</f>
        <v>1</v>
      </c>
    </row>
    <row r="1289">
      <c r="A1289" s="95">
        <f>'review 1 - annotator 1 - eval'!N44</f>
        <v>1</v>
      </c>
      <c r="B1289" s="96">
        <f>'review 1 - annotator 2 - eval'!N44</f>
        <v>0</v>
      </c>
    </row>
    <row r="1290">
      <c r="A1290" s="95">
        <f>'review 1 - annotator 1 - eval'!N45</f>
        <v>1</v>
      </c>
      <c r="B1290" s="96">
        <f>'review 1 - annotator 2 - eval'!N45</f>
        <v>1</v>
      </c>
    </row>
    <row r="1291">
      <c r="A1291" s="95">
        <f>'review 1 - annotator 1 - eval'!N46</f>
        <v>0</v>
      </c>
      <c r="B1291" s="96">
        <f>'review 1 - annotator 2 - eval'!N46</f>
        <v>0</v>
      </c>
    </row>
    <row r="1292">
      <c r="A1292" s="95">
        <f>'review 1 - annotator 1 - eval'!N47</f>
        <v>1</v>
      </c>
      <c r="B1292" s="96">
        <f>'review 1 - annotator 2 - eval'!N47</f>
        <v>1</v>
      </c>
    </row>
    <row r="1293">
      <c r="A1293" s="95">
        <f>'review 1 - annotator 1 - eval'!N48</f>
        <v>1</v>
      </c>
      <c r="B1293" s="96">
        <f>'review 1 - annotator 2 - eval'!N48</f>
        <v>1</v>
      </c>
    </row>
    <row r="1294">
      <c r="A1294" s="95">
        <f>'review 1 - annotator 1 - eval'!N49</f>
        <v>1</v>
      </c>
      <c r="B1294" s="96">
        <f>'review 1 - annotator 2 - eval'!N49</f>
        <v>1</v>
      </c>
    </row>
    <row r="1295">
      <c r="A1295" s="95">
        <f>'review 1 - annotator 1 - eval'!N50</f>
        <v>1</v>
      </c>
      <c r="B1295" s="96">
        <f>'review 1 - annotator 2 - eval'!N50</f>
        <v>1</v>
      </c>
    </row>
    <row r="1296">
      <c r="A1296" s="95">
        <f>'review 1 - annotator 1 - eval'!N54</f>
        <v>1</v>
      </c>
      <c r="B1296" s="96">
        <f>'review 1 - annotator 2 - eval'!N54</f>
        <v>1</v>
      </c>
    </row>
    <row r="1297">
      <c r="A1297" s="95">
        <f>'review 1 - annotator 1 - eval'!N55</f>
        <v>1</v>
      </c>
      <c r="B1297" s="96">
        <f>'review 1 - annotator 2 - eval'!N55</f>
        <v>1</v>
      </c>
    </row>
    <row r="1298">
      <c r="A1298" s="95">
        <f>'review 1 - annotator 1 - eval'!N56</f>
        <v>1</v>
      </c>
      <c r="B1298" s="96">
        <f>'review 1 - annotator 2 - eval'!N56</f>
        <v>1</v>
      </c>
    </row>
    <row r="1299">
      <c r="A1299" s="95">
        <f>'review 1 - annotator 1 - eval'!N57</f>
        <v>1</v>
      </c>
      <c r="B1299" s="96">
        <f>'review 1 - annotator 2 - eval'!N57</f>
        <v>1</v>
      </c>
    </row>
    <row r="1300">
      <c r="A1300" s="95">
        <f>'review 1 - annotator 1 - eval'!N58</f>
        <v>1</v>
      </c>
      <c r="B1300" s="96">
        <f>'review 1 - annotator 2 - eval'!N58</f>
        <v>1</v>
      </c>
    </row>
    <row r="1301">
      <c r="A1301" s="95">
        <f>'review 1 - annotator 1 - eval'!N59</f>
        <v>1</v>
      </c>
      <c r="B1301" s="96">
        <f>'review 1 - annotator 2 - eval'!N59</f>
        <v>1</v>
      </c>
    </row>
    <row r="1302">
      <c r="A1302" s="95">
        <f>'review 1 - annotator 1 - eval'!N60</f>
        <v>1</v>
      </c>
      <c r="B1302" s="96">
        <f>'review 1 - annotator 2 - eval'!N60</f>
        <v>1</v>
      </c>
    </row>
    <row r="1303">
      <c r="A1303" s="95">
        <f>'review 1 - annotator 1 - eval'!N64</f>
        <v>0</v>
      </c>
      <c r="B1303" s="96">
        <f>'review 1 - annotator 2 - eval'!N64</f>
        <v>0</v>
      </c>
    </row>
    <row r="1304">
      <c r="A1304" s="95">
        <f>'review 1 - annotator 1 - eval'!N65</f>
        <v>0</v>
      </c>
      <c r="B1304" s="96">
        <f>'review 1 - annotator 2 - eval'!N65</f>
        <v>0</v>
      </c>
    </row>
    <row r="1305">
      <c r="A1305" s="95">
        <f>'review 1 - annotator 1 - eval'!N66</f>
        <v>0</v>
      </c>
      <c r="B1305" s="96">
        <f>'review 1 - annotator 2 - eval'!N66</f>
        <v>0</v>
      </c>
    </row>
    <row r="1306">
      <c r="A1306" s="95">
        <f>'review 1 - annotator 1 - eval'!N67</f>
        <v>0</v>
      </c>
      <c r="B1306" s="96">
        <f>'review 1 - annotator 2 - eval'!N67</f>
        <v>0</v>
      </c>
    </row>
    <row r="1307">
      <c r="A1307" s="95">
        <f>'review 1 - annotator 1 - eval'!N68</f>
        <v>0</v>
      </c>
      <c r="B1307" s="96">
        <f>'review 1 - annotator 2 - eval'!N68</f>
        <v>0</v>
      </c>
    </row>
    <row r="1308">
      <c r="A1308" s="95">
        <f>'review 1 - annotator 1 - eval'!N69</f>
        <v>0</v>
      </c>
      <c r="B1308" s="96">
        <f>'review 1 - annotator 2 - eval'!N69</f>
        <v>0</v>
      </c>
    </row>
    <row r="1309">
      <c r="A1309" s="95">
        <f>'review 1 - annotator 1 - eval'!N70</f>
        <v>0</v>
      </c>
      <c r="B1309" s="96">
        <f>'review 1 - annotator 2 - eval'!N70</f>
        <v>0</v>
      </c>
    </row>
    <row r="1310">
      <c r="A1310" s="95">
        <f>'review 1 - annotator 1 - eval'!N74</f>
        <v>1</v>
      </c>
      <c r="B1310" s="96">
        <f>'review 1 - annotator 2 - eval'!N74</f>
        <v>1</v>
      </c>
    </row>
    <row r="1311">
      <c r="A1311" s="95">
        <f>'review 1 - annotator 1 - eval'!N75</f>
        <v>1</v>
      </c>
      <c r="B1311" s="96">
        <f>'review 1 - annotator 2 - eval'!N75</f>
        <v>1</v>
      </c>
    </row>
    <row r="1312">
      <c r="A1312" s="95">
        <f>'review 1 - annotator 1 - eval'!N76</f>
        <v>1</v>
      </c>
      <c r="B1312" s="96">
        <f>'review 1 - annotator 2 - eval'!N76</f>
        <v>1</v>
      </c>
    </row>
    <row r="1313">
      <c r="A1313" s="95">
        <f>'review 1 - annotator 1 - eval'!N77</f>
        <v>1</v>
      </c>
      <c r="B1313" s="96">
        <f>'review 1 - annotator 2 - eval'!N77</f>
        <v>1</v>
      </c>
    </row>
    <row r="1314">
      <c r="A1314" s="95">
        <f>'review 1 - annotator 1 - eval'!N78</f>
        <v>1</v>
      </c>
      <c r="B1314" s="96">
        <f>'review 1 - annotator 2 - eval'!N78</f>
        <v>1</v>
      </c>
    </row>
    <row r="1315">
      <c r="A1315" s="95">
        <f>'review 1 - annotator 1 - eval'!N79</f>
        <v>1</v>
      </c>
      <c r="B1315" s="96">
        <f>'review 1 - annotator 2 - eval'!N79</f>
        <v>1</v>
      </c>
    </row>
    <row r="1316">
      <c r="A1316" s="95">
        <f>'review 1 - annotator 1 - eval'!N80</f>
        <v>1</v>
      </c>
      <c r="B1316" s="96">
        <f>'review 1 - annotator 2 - eval'!N80</f>
        <v>1</v>
      </c>
    </row>
    <row r="1317">
      <c r="A1317" s="95">
        <f>'review 1 - annotator 1 - eval'!N84</f>
        <v>1</v>
      </c>
      <c r="B1317" s="96">
        <f>'review 1 - annotator 2 - eval'!N84</f>
        <v>1</v>
      </c>
    </row>
    <row r="1318">
      <c r="A1318" s="95">
        <f>'review 1 - annotator 1 - eval'!N85</f>
        <v>1</v>
      </c>
      <c r="B1318" s="96">
        <f>'review 1 - annotator 2 - eval'!N85</f>
        <v>1</v>
      </c>
    </row>
    <row r="1319">
      <c r="A1319" s="95">
        <f>'review 1 - annotator 1 - eval'!N86</f>
        <v>0</v>
      </c>
      <c r="B1319" s="96">
        <f>'review 1 - annotator 2 - eval'!N86</f>
        <v>0</v>
      </c>
    </row>
    <row r="1320">
      <c r="A1320" s="95">
        <f>'review 1 - annotator 1 - eval'!N87</f>
        <v>1</v>
      </c>
      <c r="B1320" s="96">
        <f>'review 1 - annotator 2 - eval'!N87</f>
        <v>1</v>
      </c>
    </row>
    <row r="1321">
      <c r="A1321" s="95">
        <f>'review 1 - annotator 1 - eval'!N88</f>
        <v>1</v>
      </c>
      <c r="B1321" s="96">
        <f>'review 1 - annotator 2 - eval'!N88</f>
        <v>1</v>
      </c>
    </row>
    <row r="1322">
      <c r="A1322" s="95">
        <f>'review 1 - annotator 1 - eval'!N89</f>
        <v>1</v>
      </c>
      <c r="B1322" s="96">
        <f>'review 1 - annotator 2 - eval'!N89</f>
        <v>1</v>
      </c>
    </row>
    <row r="1323">
      <c r="A1323" s="95">
        <f>'review 1 - annotator 1 - eval'!N90</f>
        <v>1</v>
      </c>
      <c r="B1323" s="96">
        <f>'review 1 - annotator 2 - eval'!N90</f>
        <v>1</v>
      </c>
    </row>
    <row r="1324">
      <c r="A1324" s="95">
        <f>'review 1 - annotator 1 - eval'!N94</f>
        <v>1</v>
      </c>
      <c r="B1324" s="96">
        <f>'review 1 - annotator 2 - eval'!N94</f>
        <v>1</v>
      </c>
    </row>
    <row r="1325">
      <c r="A1325" s="95">
        <f>'review 1 - annotator 1 - eval'!N95</f>
        <v>1</v>
      </c>
      <c r="B1325" s="96">
        <f>'review 1 - annotator 2 - eval'!N95</f>
        <v>1</v>
      </c>
    </row>
    <row r="1326">
      <c r="A1326" s="95">
        <f>'review 1 - annotator 1 - eval'!N96</f>
        <v>1</v>
      </c>
      <c r="B1326" s="96">
        <f>'review 1 - annotator 2 - eval'!N96</f>
        <v>1</v>
      </c>
    </row>
    <row r="1327">
      <c r="A1327" s="95">
        <f>'review 1 - annotator 1 - eval'!N97</f>
        <v>1</v>
      </c>
      <c r="B1327" s="96">
        <f>'review 1 - annotator 2 - eval'!N97</f>
        <v>1</v>
      </c>
    </row>
    <row r="1328">
      <c r="A1328" s="95">
        <f>'review 1 - annotator 1 - eval'!N98</f>
        <v>1</v>
      </c>
      <c r="B1328" s="96">
        <f>'review 1 - annotator 2 - eval'!N98</f>
        <v>1</v>
      </c>
    </row>
    <row r="1329">
      <c r="A1329" s="95">
        <f>'review 1 - annotator 1 - eval'!N99</f>
        <v>1</v>
      </c>
      <c r="B1329" s="96">
        <f>'review 1 - annotator 2 - eval'!N99</f>
        <v>1</v>
      </c>
    </row>
    <row r="1330">
      <c r="A1330" s="95">
        <f>'review 1 - annotator 1 - eval'!N100</f>
        <v>1</v>
      </c>
      <c r="B1330" s="96">
        <f>'review 1 - annotator 2 - eval'!N100</f>
        <v>1</v>
      </c>
    </row>
    <row r="1331">
      <c r="A1331" s="95">
        <f>'review 1 - annotator 1 - eval'!N104</f>
        <v>0</v>
      </c>
      <c r="B1331" s="96">
        <f>'review 1 - annotator 2 - eval'!N104</f>
        <v>0</v>
      </c>
    </row>
    <row r="1332">
      <c r="A1332" s="95">
        <f>'review 1 - annotator 1 - eval'!N105</f>
        <v>0</v>
      </c>
      <c r="B1332" s="96">
        <f>'review 1 - annotator 2 - eval'!N105</f>
        <v>0</v>
      </c>
    </row>
    <row r="1333">
      <c r="A1333" s="95">
        <f>'review 1 - annotator 1 - eval'!N106</f>
        <v>0</v>
      </c>
      <c r="B1333" s="96">
        <f>'review 1 - annotator 2 - eval'!N106</f>
        <v>0</v>
      </c>
    </row>
    <row r="1334">
      <c r="A1334" s="95">
        <f>'review 1 - annotator 1 - eval'!N107</f>
        <v>0</v>
      </c>
      <c r="B1334" s="96">
        <f>'review 1 - annotator 2 - eval'!N107</f>
        <v>0</v>
      </c>
    </row>
    <row r="1335">
      <c r="A1335" s="95">
        <f>'review 1 - annotator 1 - eval'!N108</f>
        <v>0</v>
      </c>
      <c r="B1335" s="96">
        <f>'review 1 - annotator 2 - eval'!N108</f>
        <v>0</v>
      </c>
    </row>
    <row r="1336">
      <c r="A1336" s="95">
        <f>'review 1 - annotator 1 - eval'!N109</f>
        <v>0</v>
      </c>
      <c r="B1336" s="96">
        <f>'review 1 - annotator 2 - eval'!N109</f>
        <v>0</v>
      </c>
    </row>
    <row r="1337">
      <c r="A1337" s="95">
        <f>'review 1 - annotator 1 - eval'!N110</f>
        <v>0</v>
      </c>
      <c r="B1337" s="96">
        <f>'review 1 - annotator 2 - eval'!N110</f>
        <v>0</v>
      </c>
    </row>
    <row r="1338">
      <c r="A1338" s="95">
        <f>'review 1 - annotator 1 - eval'!N114</f>
        <v>0</v>
      </c>
      <c r="B1338" s="96">
        <f>'review 1 - annotator 2 - eval'!N114</f>
        <v>1</v>
      </c>
    </row>
    <row r="1339">
      <c r="A1339" s="95">
        <f>'review 1 - annotator 1 - eval'!N115</f>
        <v>1</v>
      </c>
      <c r="B1339" s="96">
        <f>'review 1 - annotator 2 - eval'!N115</f>
        <v>1</v>
      </c>
    </row>
    <row r="1340">
      <c r="A1340" s="95">
        <f>'review 1 - annotator 1 - eval'!N116</f>
        <v>0</v>
      </c>
      <c r="B1340" s="96">
        <f>'review 1 - annotator 2 - eval'!N116</f>
        <v>1</v>
      </c>
    </row>
    <row r="1341">
      <c r="A1341" s="95">
        <f>'review 1 - annotator 1 - eval'!N117</f>
        <v>1</v>
      </c>
      <c r="B1341" s="96">
        <f>'review 1 - annotator 2 - eval'!N117</f>
        <v>1</v>
      </c>
    </row>
    <row r="1342">
      <c r="A1342" s="95">
        <f>'review 1 - annotator 1 - eval'!N118</f>
        <v>1</v>
      </c>
      <c r="B1342" s="96">
        <f>'review 1 - annotator 2 - eval'!N118</f>
        <v>1</v>
      </c>
    </row>
    <row r="1343">
      <c r="A1343" s="95">
        <f>'review 1 - annotator 1 - eval'!N119</f>
        <v>1</v>
      </c>
      <c r="B1343" s="96">
        <f>'review 1 - annotator 2 - eval'!N119</f>
        <v>1</v>
      </c>
    </row>
    <row r="1344">
      <c r="A1344" s="95">
        <f>'review 1 - annotator 1 - eval'!N120</f>
        <v>1</v>
      </c>
      <c r="B1344" s="96">
        <f>'review 1 - annotator 2 - eval'!N120</f>
        <v>1</v>
      </c>
    </row>
    <row r="1345">
      <c r="A1345" s="95">
        <f>'review 1 - annotator 1 - eval'!N124</f>
        <v>1</v>
      </c>
      <c r="B1345" s="96">
        <f>'review 1 - annotator 2 - eval'!N124</f>
        <v>1</v>
      </c>
    </row>
    <row r="1346">
      <c r="A1346" s="95">
        <f>'review 1 - annotator 1 - eval'!N125</f>
        <v>1</v>
      </c>
      <c r="B1346" s="96">
        <f>'review 1 - annotator 2 - eval'!N125</f>
        <v>1</v>
      </c>
    </row>
    <row r="1347">
      <c r="A1347" s="95">
        <f>'review 1 - annotator 1 - eval'!N126</f>
        <v>1</v>
      </c>
      <c r="B1347" s="96">
        <f>'review 1 - annotator 2 - eval'!N126</f>
        <v>1</v>
      </c>
    </row>
    <row r="1348">
      <c r="A1348" s="95">
        <f>'review 1 - annotator 1 - eval'!N127</f>
        <v>1</v>
      </c>
      <c r="B1348" s="96">
        <f>'review 1 - annotator 2 - eval'!N127</f>
        <v>1</v>
      </c>
    </row>
    <row r="1349">
      <c r="A1349" s="95">
        <f>'review 1 - annotator 1 - eval'!N128</f>
        <v>1</v>
      </c>
      <c r="B1349" s="96">
        <f>'review 1 - annotator 2 - eval'!N128</f>
        <v>1</v>
      </c>
    </row>
    <row r="1350">
      <c r="A1350" s="95">
        <f>'review 1 - annotator 1 - eval'!N129</f>
        <v>1</v>
      </c>
      <c r="B1350" s="96">
        <f>'review 1 - annotator 2 - eval'!N129</f>
        <v>1</v>
      </c>
    </row>
    <row r="1351">
      <c r="A1351" s="95">
        <f>'review 1 - annotator 1 - eval'!N130</f>
        <v>1</v>
      </c>
      <c r="B1351" s="96">
        <f>'review 1 - annotator 2 - eval'!N130</f>
        <v>1</v>
      </c>
    </row>
    <row r="1352">
      <c r="A1352" s="95">
        <f>'review 1 - annotator 1 - eval'!N134</f>
        <v>1</v>
      </c>
      <c r="B1352" s="96">
        <f>'review 1 - annotator 2 - eval'!N134</f>
        <v>1</v>
      </c>
    </row>
    <row r="1353">
      <c r="A1353" s="95">
        <f>'review 1 - annotator 1 - eval'!N135</f>
        <v>1</v>
      </c>
      <c r="B1353" s="96">
        <f>'review 1 - annotator 2 - eval'!N135</f>
        <v>1</v>
      </c>
    </row>
    <row r="1354">
      <c r="A1354" s="95">
        <f>'review 1 - annotator 1 - eval'!N136</f>
        <v>1</v>
      </c>
      <c r="B1354" s="96">
        <f>'review 1 - annotator 2 - eval'!N136</f>
        <v>1</v>
      </c>
    </row>
    <row r="1355">
      <c r="A1355" s="95">
        <f>'review 1 - annotator 1 - eval'!N137</f>
        <v>1</v>
      </c>
      <c r="B1355" s="96">
        <f>'review 1 - annotator 2 - eval'!N137</f>
        <v>1</v>
      </c>
    </row>
    <row r="1356">
      <c r="A1356" s="95">
        <f>'review 1 - annotator 1 - eval'!N138</f>
        <v>1</v>
      </c>
      <c r="B1356" s="96">
        <f>'review 1 - annotator 2 - eval'!N138</f>
        <v>1</v>
      </c>
    </row>
    <row r="1357">
      <c r="A1357" s="95">
        <f>'review 1 - annotator 1 - eval'!N139</f>
        <v>1</v>
      </c>
      <c r="B1357" s="96">
        <f>'review 1 - annotator 2 - eval'!N139</f>
        <v>1</v>
      </c>
    </row>
    <row r="1358">
      <c r="A1358" s="95">
        <f>'review 1 - annotator 1 - eval'!N140</f>
        <v>1</v>
      </c>
      <c r="B1358" s="96">
        <f>'review 1 - annotator 2 - eval'!N140</f>
        <v>1</v>
      </c>
    </row>
    <row r="1359">
      <c r="A1359" s="95">
        <f>'review 1 - annotator 1 - eval'!N144</f>
        <v>1</v>
      </c>
      <c r="B1359" s="96">
        <f>'review 1 - annotator 2 - eval'!N144</f>
        <v>0</v>
      </c>
    </row>
    <row r="1360">
      <c r="A1360" s="95">
        <f>'review 1 - annotator 1 - eval'!N145</f>
        <v>1</v>
      </c>
      <c r="B1360" s="96">
        <f>'review 1 - annotator 2 - eval'!N145</f>
        <v>1</v>
      </c>
    </row>
    <row r="1361">
      <c r="A1361" s="95">
        <f>'review 1 - annotator 1 - eval'!N146</f>
        <v>1</v>
      </c>
      <c r="B1361" s="96">
        <f>'review 1 - annotator 2 - eval'!N146</f>
        <v>0</v>
      </c>
    </row>
    <row r="1362">
      <c r="A1362" s="95">
        <f>'review 1 - annotator 1 - eval'!N147</f>
        <v>1</v>
      </c>
      <c r="B1362" s="96">
        <f>'review 1 - annotator 2 - eval'!N147</f>
        <v>1</v>
      </c>
    </row>
    <row r="1363">
      <c r="A1363" s="95">
        <f>'review 1 - annotator 1 - eval'!N148</f>
        <v>0</v>
      </c>
      <c r="B1363" s="96">
        <f>'review 1 - annotator 2 - eval'!N148</f>
        <v>1</v>
      </c>
    </row>
    <row r="1364">
      <c r="A1364" s="95">
        <f>'review 1 - annotator 1 - eval'!N149</f>
        <v>1</v>
      </c>
      <c r="B1364" s="96">
        <f>'review 1 - annotator 2 - eval'!N149</f>
        <v>1</v>
      </c>
    </row>
    <row r="1365">
      <c r="A1365" s="95">
        <f>'review 1 - annotator 1 - eval'!N150</f>
        <v>1</v>
      </c>
      <c r="B1365" s="96">
        <f>'review 1 - annotator 2 - eval'!N150</f>
        <v>1</v>
      </c>
    </row>
    <row r="1366">
      <c r="A1366" s="95">
        <f>'review 1 - annotator 1 - eval'!N154</f>
        <v>1</v>
      </c>
      <c r="B1366" s="96">
        <f>'review 1 - annotator 2 - eval'!N154</f>
        <v>1</v>
      </c>
    </row>
    <row r="1367">
      <c r="A1367" s="95">
        <f>'review 1 - annotator 1 - eval'!N155</f>
        <v>1</v>
      </c>
      <c r="B1367" s="96">
        <f>'review 1 - annotator 2 - eval'!N155</f>
        <v>1</v>
      </c>
    </row>
    <row r="1368">
      <c r="A1368" s="95">
        <f>'review 1 - annotator 1 - eval'!N156</f>
        <v>1</v>
      </c>
      <c r="B1368" s="96">
        <f>'review 1 - annotator 2 - eval'!N156</f>
        <v>1</v>
      </c>
    </row>
    <row r="1369">
      <c r="A1369" s="95">
        <f>'review 1 - annotator 1 - eval'!N157</f>
        <v>1</v>
      </c>
      <c r="B1369" s="96">
        <f>'review 1 - annotator 2 - eval'!N157</f>
        <v>1</v>
      </c>
    </row>
    <row r="1370">
      <c r="A1370" s="95">
        <f>'review 1 - annotator 1 - eval'!N158</f>
        <v>1</v>
      </c>
      <c r="B1370" s="96">
        <f>'review 1 - annotator 2 - eval'!N158</f>
        <v>1</v>
      </c>
    </row>
    <row r="1371">
      <c r="A1371" s="95">
        <f>'review 1 - annotator 1 - eval'!N159</f>
        <v>1</v>
      </c>
      <c r="B1371" s="96">
        <f>'review 1 - annotator 2 - eval'!N159</f>
        <v>1</v>
      </c>
    </row>
    <row r="1372">
      <c r="A1372" s="95">
        <f>'review 1 - annotator 1 - eval'!N160</f>
        <v>1</v>
      </c>
      <c r="B1372" s="96">
        <f>'review 1 - annotator 2 - eval'!N160</f>
        <v>1</v>
      </c>
    </row>
    <row r="1373">
      <c r="A1373" s="95">
        <f>'review 1 - annotator 1 - eval'!N164</f>
        <v>0</v>
      </c>
      <c r="B1373" s="96">
        <f>'review 1 - annotator 2 - eval'!N164</f>
        <v>0</v>
      </c>
    </row>
    <row r="1374">
      <c r="A1374" s="95">
        <f>'review 1 - annotator 1 - eval'!N165</f>
        <v>0</v>
      </c>
      <c r="B1374" s="96">
        <f>'review 1 - annotator 2 - eval'!N165</f>
        <v>1</v>
      </c>
    </row>
    <row r="1375">
      <c r="A1375" s="95">
        <f>'review 1 - annotator 1 - eval'!N166</f>
        <v>0</v>
      </c>
      <c r="B1375" s="96">
        <f>'review 1 - annotator 2 - eval'!N166</f>
        <v>0</v>
      </c>
    </row>
    <row r="1376">
      <c r="A1376" s="95">
        <f>'review 1 - annotator 1 - eval'!N167</f>
        <v>0</v>
      </c>
      <c r="B1376" s="96">
        <f>'review 1 - annotator 2 - eval'!N167</f>
        <v>1</v>
      </c>
    </row>
    <row r="1377">
      <c r="A1377" s="95">
        <f>'review 1 - annotator 1 - eval'!N168</f>
        <v>0</v>
      </c>
      <c r="B1377" s="96">
        <f>'review 1 - annotator 2 - eval'!N168</f>
        <v>1</v>
      </c>
    </row>
    <row r="1378">
      <c r="A1378" s="95">
        <f>'review 1 - annotator 1 - eval'!N169</f>
        <v>0</v>
      </c>
      <c r="B1378" s="96">
        <f>'review 1 - annotator 2 - eval'!N169</f>
        <v>1</v>
      </c>
    </row>
    <row r="1379">
      <c r="A1379" s="95">
        <f>'review 1 - annotator 1 - eval'!N170</f>
        <v>0</v>
      </c>
      <c r="B1379" s="96">
        <f>'review 1 - annotator 2 - eval'!N170</f>
        <v>1</v>
      </c>
    </row>
    <row r="1380">
      <c r="A1380" s="95">
        <f>'review 1 - annotator 1 - eval'!N174</f>
        <v>0</v>
      </c>
      <c r="B1380" s="96">
        <f>'review 1 - annotator 2 - eval'!N174</f>
        <v>0</v>
      </c>
    </row>
    <row r="1381">
      <c r="A1381" s="95">
        <f>'review 1 - annotator 1 - eval'!N175</f>
        <v>1</v>
      </c>
      <c r="B1381" s="96">
        <f>'review 1 - annotator 2 - eval'!N175</f>
        <v>1</v>
      </c>
    </row>
    <row r="1382">
      <c r="A1382" s="95">
        <f>'review 1 - annotator 1 - eval'!N176</f>
        <v>0</v>
      </c>
      <c r="B1382" s="96">
        <f>'review 1 - annotator 2 - eval'!N176</f>
        <v>0</v>
      </c>
    </row>
    <row r="1383">
      <c r="A1383" s="95">
        <f>'review 1 - annotator 1 - eval'!N177</f>
        <v>0</v>
      </c>
      <c r="B1383" s="96">
        <f>'review 1 - annotator 2 - eval'!N177</f>
        <v>0</v>
      </c>
    </row>
    <row r="1384">
      <c r="A1384" s="95">
        <f>'review 1 - annotator 1 - eval'!N178</f>
        <v>0</v>
      </c>
      <c r="B1384" s="96">
        <f>'review 1 - annotator 2 - eval'!N178</f>
        <v>0</v>
      </c>
    </row>
    <row r="1385">
      <c r="A1385" s="95">
        <f>'review 1 - annotator 1 - eval'!N179</f>
        <v>0</v>
      </c>
      <c r="B1385" s="96">
        <f>'review 1 - annotator 2 - eval'!N179</f>
        <v>0</v>
      </c>
    </row>
    <row r="1386">
      <c r="A1386" s="95">
        <f>'review 1 - annotator 1 - eval'!N180</f>
        <v>0</v>
      </c>
      <c r="B1386" s="96">
        <f>'review 1 - annotator 2 - eval'!N180</f>
        <v>0</v>
      </c>
    </row>
    <row r="1387">
      <c r="A1387" s="95">
        <f>'review 1 - annotator 1 - eval'!N184</f>
        <v>1</v>
      </c>
      <c r="B1387" s="96">
        <f>'review 1 - annotator 2 - eval'!N184</f>
        <v>1</v>
      </c>
    </row>
    <row r="1388">
      <c r="A1388" s="95">
        <f>'review 1 - annotator 1 - eval'!N185</f>
        <v>1</v>
      </c>
      <c r="B1388" s="96">
        <f>'review 1 - annotator 2 - eval'!N185</f>
        <v>1</v>
      </c>
    </row>
    <row r="1389">
      <c r="A1389" s="95">
        <f>'review 1 - annotator 1 - eval'!N186</f>
        <v>1</v>
      </c>
      <c r="B1389" s="96">
        <f>'review 1 - annotator 2 - eval'!N186</f>
        <v>1</v>
      </c>
    </row>
    <row r="1390">
      <c r="A1390" s="95">
        <f>'review 1 - annotator 1 - eval'!N187</f>
        <v>1</v>
      </c>
      <c r="B1390" s="96">
        <f>'review 1 - annotator 2 - eval'!N187</f>
        <v>1</v>
      </c>
    </row>
    <row r="1391">
      <c r="A1391" s="95">
        <f>'review 1 - annotator 1 - eval'!N188</f>
        <v>1</v>
      </c>
      <c r="B1391" s="96">
        <f>'review 1 - annotator 2 - eval'!N188</f>
        <v>1</v>
      </c>
    </row>
    <row r="1392">
      <c r="A1392" s="95">
        <f>'review 1 - annotator 1 - eval'!N189</f>
        <v>1</v>
      </c>
      <c r="B1392" s="96">
        <f>'review 1 - annotator 2 - eval'!N189</f>
        <v>1</v>
      </c>
    </row>
    <row r="1393">
      <c r="A1393" s="95">
        <f>'review 1 - annotator 1 - eval'!N190</f>
        <v>1</v>
      </c>
      <c r="B1393" s="96">
        <f>'review 1 - annotator 2 - eval'!N190</f>
        <v>1</v>
      </c>
    </row>
    <row r="1394">
      <c r="A1394" s="95">
        <f>'review 1 - annotator 1 - eval'!N194</f>
        <v>1</v>
      </c>
      <c r="B1394" s="96">
        <f>'review 1 - annotator 2 - eval'!N194</f>
        <v>1</v>
      </c>
    </row>
    <row r="1395">
      <c r="A1395" s="95">
        <f>'review 1 - annotator 1 - eval'!N195</f>
        <v>1</v>
      </c>
      <c r="B1395" s="96">
        <f>'review 1 - annotator 2 - eval'!N195</f>
        <v>1</v>
      </c>
    </row>
    <row r="1396">
      <c r="A1396" s="95">
        <f>'review 1 - annotator 1 - eval'!N196</f>
        <v>1</v>
      </c>
      <c r="B1396" s="96">
        <f>'review 1 - annotator 2 - eval'!N196</f>
        <v>1</v>
      </c>
    </row>
    <row r="1397">
      <c r="A1397" s="95">
        <f>'review 1 - annotator 1 - eval'!N197</f>
        <v>1</v>
      </c>
      <c r="B1397" s="96">
        <f>'review 1 - annotator 2 - eval'!N197</f>
        <v>1</v>
      </c>
    </row>
    <row r="1398">
      <c r="A1398" s="95">
        <f>'review 1 - annotator 1 - eval'!N198</f>
        <v>1</v>
      </c>
      <c r="B1398" s="96">
        <f>'review 1 - annotator 2 - eval'!N198</f>
        <v>1</v>
      </c>
    </row>
    <row r="1399">
      <c r="A1399" s="95">
        <f>'review 1 - annotator 1 - eval'!N199</f>
        <v>1</v>
      </c>
      <c r="B1399" s="96">
        <f>'review 1 - annotator 2 - eval'!N199</f>
        <v>1</v>
      </c>
    </row>
    <row r="1400">
      <c r="A1400" s="95">
        <f>'review 1 - annotator 1 - eval'!N200</f>
        <v>1</v>
      </c>
      <c r="B1400" s="96">
        <f>'review 1 - annotator 2 - eval'!N200</f>
        <v>1</v>
      </c>
    </row>
    <row r="1401">
      <c r="A1401" s="95">
        <f>'review 1 - annotator 1 - eval'!O4</f>
        <v>0</v>
      </c>
      <c r="B1401" s="96">
        <f>'review 1 - annotator 2 - eval'!O4</f>
        <v>1</v>
      </c>
    </row>
    <row r="1402">
      <c r="A1402" s="95">
        <f>'review 1 - annotator 1 - eval'!O5</f>
        <v>0</v>
      </c>
      <c r="B1402" s="96">
        <f>'review 1 - annotator 2 - eval'!O5</f>
        <v>1</v>
      </c>
    </row>
    <row r="1403">
      <c r="A1403" s="95">
        <f>'review 1 - annotator 1 - eval'!O6</f>
        <v>0</v>
      </c>
      <c r="B1403" s="96">
        <f>'review 1 - annotator 2 - eval'!O6</f>
        <v>0</v>
      </c>
    </row>
    <row r="1404">
      <c r="A1404" s="95">
        <f>'review 1 - annotator 1 - eval'!O7</f>
        <v>0</v>
      </c>
      <c r="B1404" s="96">
        <f>'review 1 - annotator 2 - eval'!O7</f>
        <v>1</v>
      </c>
    </row>
    <row r="1405">
      <c r="A1405" s="95">
        <f>'review 1 - annotator 1 - eval'!O8</f>
        <v>0</v>
      </c>
      <c r="B1405" s="96">
        <f>'review 1 - annotator 2 - eval'!O8</f>
        <v>1</v>
      </c>
    </row>
    <row r="1406">
      <c r="A1406" s="95">
        <f>'review 1 - annotator 1 - eval'!O9</f>
        <v>0</v>
      </c>
      <c r="B1406" s="96">
        <f>'review 1 - annotator 2 - eval'!O9</f>
        <v>1</v>
      </c>
    </row>
    <row r="1407">
      <c r="A1407" s="95">
        <f>'review 1 - annotator 1 - eval'!O10</f>
        <v>0</v>
      </c>
      <c r="B1407" s="96">
        <f>'review 1 - annotator 2 - eval'!O10</f>
        <v>1</v>
      </c>
    </row>
    <row r="1408">
      <c r="A1408" s="95">
        <f>'review 1 - annotator 1 - eval'!O14</f>
        <v>0</v>
      </c>
      <c r="B1408" s="96">
        <f>'review 1 - annotator 2 - eval'!O14</f>
        <v>0</v>
      </c>
    </row>
    <row r="1409">
      <c r="A1409" s="95">
        <f>'review 1 - annotator 1 - eval'!O15</f>
        <v>0</v>
      </c>
      <c r="B1409" s="96">
        <f>'review 1 - annotator 2 - eval'!O15</f>
        <v>1</v>
      </c>
    </row>
    <row r="1410">
      <c r="A1410" s="95">
        <f>'review 1 - annotator 1 - eval'!O16</f>
        <v>0</v>
      </c>
      <c r="B1410" s="96">
        <f>'review 1 - annotator 2 - eval'!O16</f>
        <v>0</v>
      </c>
    </row>
    <row r="1411">
      <c r="A1411" s="95">
        <f>'review 1 - annotator 1 - eval'!O17</f>
        <v>0</v>
      </c>
      <c r="B1411" s="96">
        <f>'review 1 - annotator 2 - eval'!O17</f>
        <v>1</v>
      </c>
    </row>
    <row r="1412">
      <c r="A1412" s="95">
        <f>'review 1 - annotator 1 - eval'!O18</f>
        <v>0</v>
      </c>
      <c r="B1412" s="96">
        <f>'review 1 - annotator 2 - eval'!O18</f>
        <v>1</v>
      </c>
    </row>
    <row r="1413">
      <c r="A1413" s="95">
        <f>'review 1 - annotator 1 - eval'!O19</f>
        <v>0</v>
      </c>
      <c r="B1413" s="96">
        <f>'review 1 - annotator 2 - eval'!O19</f>
        <v>1</v>
      </c>
    </row>
    <row r="1414">
      <c r="A1414" s="95">
        <f>'review 1 - annotator 1 - eval'!O20</f>
        <v>0</v>
      </c>
      <c r="B1414" s="96">
        <f>'review 1 - annotator 2 - eval'!O20</f>
        <v>1</v>
      </c>
    </row>
    <row r="1415">
      <c r="A1415" s="95">
        <f>'review 1 - annotator 1 - eval'!O24</f>
        <v>1</v>
      </c>
      <c r="B1415" s="96">
        <f>'review 1 - annotator 2 - eval'!O24</f>
        <v>1</v>
      </c>
    </row>
    <row r="1416">
      <c r="A1416" s="95">
        <f>'review 1 - annotator 1 - eval'!O25</f>
        <v>1</v>
      </c>
      <c r="B1416" s="96">
        <f>'review 1 - annotator 2 - eval'!O25</f>
        <v>1</v>
      </c>
    </row>
    <row r="1417">
      <c r="A1417" s="95">
        <f>'review 1 - annotator 1 - eval'!O26</f>
        <v>1</v>
      </c>
      <c r="B1417" s="96">
        <f>'review 1 - annotator 2 - eval'!O26</f>
        <v>0</v>
      </c>
    </row>
    <row r="1418">
      <c r="A1418" s="95">
        <f>'review 1 - annotator 1 - eval'!O27</f>
        <v>1</v>
      </c>
      <c r="B1418" s="96">
        <f>'review 1 - annotator 2 - eval'!O27</f>
        <v>1</v>
      </c>
    </row>
    <row r="1419">
      <c r="A1419" s="95">
        <f>'review 1 - annotator 1 - eval'!O28</f>
        <v>0</v>
      </c>
      <c r="B1419" s="96">
        <f>'review 1 - annotator 2 - eval'!O28</f>
        <v>1</v>
      </c>
    </row>
    <row r="1420">
      <c r="A1420" s="95">
        <f>'review 1 - annotator 1 - eval'!O29</f>
        <v>1</v>
      </c>
      <c r="B1420" s="96">
        <f>'review 1 - annotator 2 - eval'!O29</f>
        <v>1</v>
      </c>
    </row>
    <row r="1421">
      <c r="A1421" s="95">
        <f>'review 1 - annotator 1 - eval'!O30</f>
        <v>1</v>
      </c>
      <c r="B1421" s="96">
        <f>'review 1 - annotator 2 - eval'!O30</f>
        <v>1</v>
      </c>
    </row>
    <row r="1422">
      <c r="A1422" s="95">
        <f>'review 1 - annotator 1 - eval'!O34</f>
        <v>1</v>
      </c>
      <c r="B1422" s="96">
        <f>'review 1 - annotator 2 - eval'!O34</f>
        <v>0</v>
      </c>
    </row>
    <row r="1423">
      <c r="A1423" s="95">
        <f>'review 1 - annotator 1 - eval'!O35</f>
        <v>1</v>
      </c>
      <c r="B1423" s="96">
        <f>'review 1 - annotator 2 - eval'!O35</f>
        <v>1</v>
      </c>
    </row>
    <row r="1424">
      <c r="A1424" s="95">
        <f>'review 1 - annotator 1 - eval'!O36</f>
        <v>1</v>
      </c>
      <c r="B1424" s="96">
        <f>'review 1 - annotator 2 - eval'!O36</f>
        <v>0</v>
      </c>
    </row>
    <row r="1425">
      <c r="A1425" s="95">
        <f>'review 1 - annotator 1 - eval'!O37</f>
        <v>1</v>
      </c>
      <c r="B1425" s="96">
        <f>'review 1 - annotator 2 - eval'!O37</f>
        <v>1</v>
      </c>
    </row>
    <row r="1426">
      <c r="A1426" s="95">
        <f>'review 1 - annotator 1 - eval'!O38</f>
        <v>0</v>
      </c>
      <c r="B1426" s="96">
        <f>'review 1 - annotator 2 - eval'!O38</f>
        <v>1</v>
      </c>
    </row>
    <row r="1427">
      <c r="A1427" s="95">
        <f>'review 1 - annotator 1 - eval'!O39</f>
        <v>1</v>
      </c>
      <c r="B1427" s="96">
        <f>'review 1 - annotator 2 - eval'!O39</f>
        <v>1</v>
      </c>
    </row>
    <row r="1428">
      <c r="A1428" s="95">
        <f>'review 1 - annotator 1 - eval'!O40</f>
        <v>1</v>
      </c>
      <c r="B1428" s="96">
        <f>'review 1 - annotator 2 - eval'!O40</f>
        <v>1</v>
      </c>
    </row>
    <row r="1429">
      <c r="A1429" s="95">
        <f>'review 1 - annotator 1 - eval'!O44</f>
        <v>1</v>
      </c>
      <c r="B1429" s="96">
        <f>'review 1 - annotator 2 - eval'!O44</f>
        <v>1</v>
      </c>
    </row>
    <row r="1430">
      <c r="A1430" s="95">
        <f>'review 1 - annotator 1 - eval'!O45</f>
        <v>1</v>
      </c>
      <c r="B1430" s="96">
        <f>'review 1 - annotator 2 - eval'!O45</f>
        <v>1</v>
      </c>
    </row>
    <row r="1431">
      <c r="A1431" s="95">
        <f>'review 1 - annotator 1 - eval'!O46</f>
        <v>1</v>
      </c>
      <c r="B1431" s="96">
        <f>'review 1 - annotator 2 - eval'!O46</f>
        <v>1</v>
      </c>
    </row>
    <row r="1432">
      <c r="A1432" s="95">
        <f>'review 1 - annotator 1 - eval'!O47</f>
        <v>1</v>
      </c>
      <c r="B1432" s="96">
        <f>'review 1 - annotator 2 - eval'!O47</f>
        <v>1</v>
      </c>
    </row>
    <row r="1433">
      <c r="A1433" s="95">
        <f>'review 1 - annotator 1 - eval'!O48</f>
        <v>1</v>
      </c>
      <c r="B1433" s="96">
        <f>'review 1 - annotator 2 - eval'!O48</f>
        <v>1</v>
      </c>
    </row>
    <row r="1434">
      <c r="A1434" s="95">
        <f>'review 1 - annotator 1 - eval'!O49</f>
        <v>1</v>
      </c>
      <c r="B1434" s="96">
        <f>'review 1 - annotator 2 - eval'!O49</f>
        <v>1</v>
      </c>
    </row>
    <row r="1435">
      <c r="A1435" s="95">
        <f>'review 1 - annotator 1 - eval'!O50</f>
        <v>1</v>
      </c>
      <c r="B1435" s="96">
        <f>'review 1 - annotator 2 - eval'!O50</f>
        <v>1</v>
      </c>
    </row>
    <row r="1436">
      <c r="A1436" s="95">
        <f>'review 1 - annotator 1 - eval'!O54</f>
        <v>1</v>
      </c>
      <c r="B1436" s="96">
        <f>'review 1 - annotator 2 - eval'!O54</f>
        <v>1</v>
      </c>
    </row>
    <row r="1437">
      <c r="A1437" s="95">
        <f>'review 1 - annotator 1 - eval'!O55</f>
        <v>1</v>
      </c>
      <c r="B1437" s="96">
        <f>'review 1 - annotator 2 - eval'!O55</f>
        <v>1</v>
      </c>
    </row>
    <row r="1438">
      <c r="A1438" s="95">
        <f>'review 1 - annotator 1 - eval'!O56</f>
        <v>1</v>
      </c>
      <c r="B1438" s="96">
        <f>'review 1 - annotator 2 - eval'!O56</f>
        <v>1</v>
      </c>
    </row>
    <row r="1439">
      <c r="A1439" s="95">
        <f>'review 1 - annotator 1 - eval'!O57</f>
        <v>1</v>
      </c>
      <c r="B1439" s="96">
        <f>'review 1 - annotator 2 - eval'!O57</f>
        <v>1</v>
      </c>
    </row>
    <row r="1440">
      <c r="A1440" s="95">
        <f>'review 1 - annotator 1 - eval'!O58</f>
        <v>1</v>
      </c>
      <c r="B1440" s="96">
        <f>'review 1 - annotator 2 - eval'!O58</f>
        <v>1</v>
      </c>
    </row>
    <row r="1441">
      <c r="A1441" s="95">
        <f>'review 1 - annotator 1 - eval'!O59</f>
        <v>1</v>
      </c>
      <c r="B1441" s="96">
        <f>'review 1 - annotator 2 - eval'!O59</f>
        <v>1</v>
      </c>
    </row>
    <row r="1442">
      <c r="A1442" s="95">
        <f>'review 1 - annotator 1 - eval'!O60</f>
        <v>1</v>
      </c>
      <c r="B1442" s="96">
        <f>'review 1 - annotator 2 - eval'!O60</f>
        <v>1</v>
      </c>
    </row>
    <row r="1443">
      <c r="A1443" s="95">
        <f>'review 1 - annotator 1 - eval'!O64</f>
        <v>0</v>
      </c>
      <c r="B1443" s="96">
        <f>'review 1 - annotator 2 - eval'!O64</f>
        <v>0</v>
      </c>
    </row>
    <row r="1444">
      <c r="A1444" s="95">
        <f>'review 1 - annotator 1 - eval'!O65</f>
        <v>0</v>
      </c>
      <c r="B1444" s="96">
        <f>'review 1 - annotator 2 - eval'!O65</f>
        <v>0</v>
      </c>
    </row>
    <row r="1445">
      <c r="A1445" s="95">
        <f>'review 1 - annotator 1 - eval'!O66</f>
        <v>0</v>
      </c>
      <c r="B1445" s="96">
        <f>'review 1 - annotator 2 - eval'!O66</f>
        <v>0</v>
      </c>
    </row>
    <row r="1446">
      <c r="A1446" s="95">
        <f>'review 1 - annotator 1 - eval'!O67</f>
        <v>0</v>
      </c>
      <c r="B1446" s="96">
        <f>'review 1 - annotator 2 - eval'!O67</f>
        <v>0</v>
      </c>
    </row>
    <row r="1447">
      <c r="A1447" s="95">
        <f>'review 1 - annotator 1 - eval'!O68</f>
        <v>0</v>
      </c>
      <c r="B1447" s="96">
        <f>'review 1 - annotator 2 - eval'!O68</f>
        <v>0</v>
      </c>
    </row>
    <row r="1448">
      <c r="A1448" s="95">
        <f>'review 1 - annotator 1 - eval'!O69</f>
        <v>0</v>
      </c>
      <c r="B1448" s="96">
        <f>'review 1 - annotator 2 - eval'!O69</f>
        <v>0</v>
      </c>
    </row>
    <row r="1449">
      <c r="A1449" s="95">
        <f>'review 1 - annotator 1 - eval'!O70</f>
        <v>0</v>
      </c>
      <c r="B1449" s="96">
        <f>'review 1 - annotator 2 - eval'!O70</f>
        <v>0</v>
      </c>
    </row>
    <row r="1450">
      <c r="A1450" s="95">
        <f>'review 1 - annotator 1 - eval'!O74</f>
        <v>1</v>
      </c>
      <c r="B1450" s="96">
        <f>'review 1 - annotator 2 - eval'!O74</f>
        <v>1</v>
      </c>
    </row>
    <row r="1451">
      <c r="A1451" s="95">
        <f>'review 1 - annotator 1 - eval'!O75</f>
        <v>1</v>
      </c>
      <c r="B1451" s="96">
        <f>'review 1 - annotator 2 - eval'!O75</f>
        <v>1</v>
      </c>
    </row>
    <row r="1452">
      <c r="A1452" s="95">
        <f>'review 1 - annotator 1 - eval'!O76</f>
        <v>1</v>
      </c>
      <c r="B1452" s="96">
        <f>'review 1 - annotator 2 - eval'!O76</f>
        <v>1</v>
      </c>
    </row>
    <row r="1453">
      <c r="A1453" s="95">
        <f>'review 1 - annotator 1 - eval'!O77</f>
        <v>1</v>
      </c>
      <c r="B1453" s="96">
        <f>'review 1 - annotator 2 - eval'!O77</f>
        <v>1</v>
      </c>
    </row>
    <row r="1454">
      <c r="A1454" s="95">
        <f>'review 1 - annotator 1 - eval'!O78</f>
        <v>1</v>
      </c>
      <c r="B1454" s="96">
        <f>'review 1 - annotator 2 - eval'!O78</f>
        <v>1</v>
      </c>
    </row>
    <row r="1455">
      <c r="A1455" s="95">
        <f>'review 1 - annotator 1 - eval'!O79</f>
        <v>1</v>
      </c>
      <c r="B1455" s="96">
        <f>'review 1 - annotator 2 - eval'!O79</f>
        <v>1</v>
      </c>
    </row>
    <row r="1456">
      <c r="A1456" s="95">
        <f>'review 1 - annotator 1 - eval'!O80</f>
        <v>1</v>
      </c>
      <c r="B1456" s="96">
        <f>'review 1 - annotator 2 - eval'!O80</f>
        <v>1</v>
      </c>
    </row>
    <row r="1457">
      <c r="A1457" s="95">
        <f>'review 1 - annotator 1 - eval'!O84</f>
        <v>1</v>
      </c>
      <c r="B1457" s="96">
        <f>'review 1 - annotator 2 - eval'!O84</f>
        <v>1</v>
      </c>
    </row>
    <row r="1458">
      <c r="A1458" s="95">
        <f>'review 1 - annotator 1 - eval'!O85</f>
        <v>1</v>
      </c>
      <c r="B1458" s="96">
        <f>'review 1 - annotator 2 - eval'!O85</f>
        <v>1</v>
      </c>
    </row>
    <row r="1459">
      <c r="A1459" s="95">
        <f>'review 1 - annotator 1 - eval'!O86</f>
        <v>0</v>
      </c>
      <c r="B1459" s="96">
        <f>'review 1 - annotator 2 - eval'!O86</f>
        <v>0</v>
      </c>
    </row>
    <row r="1460">
      <c r="A1460" s="95">
        <f>'review 1 - annotator 1 - eval'!O87</f>
        <v>1</v>
      </c>
      <c r="B1460" s="96">
        <f>'review 1 - annotator 2 - eval'!O87</f>
        <v>1</v>
      </c>
    </row>
    <row r="1461">
      <c r="A1461" s="95">
        <f>'review 1 - annotator 1 - eval'!O88</f>
        <v>1</v>
      </c>
      <c r="B1461" s="96">
        <f>'review 1 - annotator 2 - eval'!O88</f>
        <v>1</v>
      </c>
    </row>
    <row r="1462">
      <c r="A1462" s="95">
        <f>'review 1 - annotator 1 - eval'!O89</f>
        <v>1</v>
      </c>
      <c r="B1462" s="96">
        <f>'review 1 - annotator 2 - eval'!O89</f>
        <v>1</v>
      </c>
    </row>
    <row r="1463">
      <c r="A1463" s="95">
        <f>'review 1 - annotator 1 - eval'!O90</f>
        <v>1</v>
      </c>
      <c r="B1463" s="96">
        <f>'review 1 - annotator 2 - eval'!O90</f>
        <v>1</v>
      </c>
    </row>
    <row r="1464">
      <c r="A1464" s="95">
        <f>'review 1 - annotator 1 - eval'!O94</f>
        <v>1</v>
      </c>
      <c r="B1464" s="96">
        <f>'review 1 - annotator 2 - eval'!O94</f>
        <v>1</v>
      </c>
    </row>
    <row r="1465">
      <c r="A1465" s="95">
        <f>'review 1 - annotator 1 - eval'!O95</f>
        <v>1</v>
      </c>
      <c r="B1465" s="96">
        <f>'review 1 - annotator 2 - eval'!O95</f>
        <v>1</v>
      </c>
    </row>
    <row r="1466">
      <c r="A1466" s="95">
        <f>'review 1 - annotator 1 - eval'!O96</f>
        <v>1</v>
      </c>
      <c r="B1466" s="96">
        <f>'review 1 - annotator 2 - eval'!O96</f>
        <v>1</v>
      </c>
    </row>
    <row r="1467">
      <c r="A1467" s="95">
        <f>'review 1 - annotator 1 - eval'!O97</f>
        <v>1</v>
      </c>
      <c r="B1467" s="96">
        <f>'review 1 - annotator 2 - eval'!O97</f>
        <v>1</v>
      </c>
    </row>
    <row r="1468">
      <c r="A1468" s="95">
        <f>'review 1 - annotator 1 - eval'!O98</f>
        <v>1</v>
      </c>
      <c r="B1468" s="96">
        <f>'review 1 - annotator 2 - eval'!O98</f>
        <v>1</v>
      </c>
    </row>
    <row r="1469">
      <c r="A1469" s="95">
        <f>'review 1 - annotator 1 - eval'!O99</f>
        <v>1</v>
      </c>
      <c r="B1469" s="96">
        <f>'review 1 - annotator 2 - eval'!O99</f>
        <v>1</v>
      </c>
    </row>
    <row r="1470">
      <c r="A1470" s="95">
        <f>'review 1 - annotator 1 - eval'!O100</f>
        <v>1</v>
      </c>
      <c r="B1470" s="96">
        <f>'review 1 - annotator 2 - eval'!O100</f>
        <v>1</v>
      </c>
    </row>
    <row r="1471">
      <c r="A1471" s="95">
        <f>'review 1 - annotator 1 - eval'!O104</f>
        <v>0</v>
      </c>
      <c r="B1471" s="96">
        <f>'review 1 - annotator 2 - eval'!O104</f>
        <v>0</v>
      </c>
    </row>
    <row r="1472">
      <c r="A1472" s="95">
        <f>'review 1 - annotator 1 - eval'!O105</f>
        <v>0</v>
      </c>
      <c r="B1472" s="96">
        <f>'review 1 - annotator 2 - eval'!O105</f>
        <v>0</v>
      </c>
    </row>
    <row r="1473">
      <c r="A1473" s="95">
        <f>'review 1 - annotator 1 - eval'!O106</f>
        <v>0</v>
      </c>
      <c r="B1473" s="96">
        <f>'review 1 - annotator 2 - eval'!O106</f>
        <v>0</v>
      </c>
    </row>
    <row r="1474">
      <c r="A1474" s="95">
        <f>'review 1 - annotator 1 - eval'!O107</f>
        <v>0</v>
      </c>
      <c r="B1474" s="96">
        <f>'review 1 - annotator 2 - eval'!O107</f>
        <v>0</v>
      </c>
    </row>
    <row r="1475">
      <c r="A1475" s="95">
        <f>'review 1 - annotator 1 - eval'!O108</f>
        <v>0</v>
      </c>
      <c r="B1475" s="96">
        <f>'review 1 - annotator 2 - eval'!O108</f>
        <v>0</v>
      </c>
    </row>
    <row r="1476">
      <c r="A1476" s="95">
        <f>'review 1 - annotator 1 - eval'!O109</f>
        <v>0</v>
      </c>
      <c r="B1476" s="96">
        <f>'review 1 - annotator 2 - eval'!O109</f>
        <v>0</v>
      </c>
    </row>
    <row r="1477">
      <c r="A1477" s="95">
        <f>'review 1 - annotator 1 - eval'!O110</f>
        <v>0</v>
      </c>
      <c r="B1477" s="96">
        <f>'review 1 - annotator 2 - eval'!O110</f>
        <v>0</v>
      </c>
    </row>
    <row r="1478">
      <c r="A1478" s="95">
        <f>'review 1 - annotator 1 - eval'!O114</f>
        <v>1</v>
      </c>
      <c r="B1478" s="96">
        <f>'review 1 - annotator 2 - eval'!O114</f>
        <v>1</v>
      </c>
    </row>
    <row r="1479">
      <c r="A1479" s="95">
        <f>'review 1 - annotator 1 - eval'!O115</f>
        <v>1</v>
      </c>
      <c r="B1479" s="96">
        <f>'review 1 - annotator 2 - eval'!O115</f>
        <v>1</v>
      </c>
    </row>
    <row r="1480">
      <c r="A1480" s="95">
        <f>'review 1 - annotator 1 - eval'!O116</f>
        <v>1</v>
      </c>
      <c r="B1480" s="96">
        <f>'review 1 - annotator 2 - eval'!O116</f>
        <v>1</v>
      </c>
    </row>
    <row r="1481">
      <c r="A1481" s="95">
        <f>'review 1 - annotator 1 - eval'!O117</f>
        <v>1</v>
      </c>
      <c r="B1481" s="96">
        <f>'review 1 - annotator 2 - eval'!O117</f>
        <v>1</v>
      </c>
    </row>
    <row r="1482">
      <c r="A1482" s="95">
        <f>'review 1 - annotator 1 - eval'!O118</f>
        <v>1</v>
      </c>
      <c r="B1482" s="96">
        <f>'review 1 - annotator 2 - eval'!O118</f>
        <v>1</v>
      </c>
    </row>
    <row r="1483">
      <c r="A1483" s="95">
        <f>'review 1 - annotator 1 - eval'!O119</f>
        <v>1</v>
      </c>
      <c r="B1483" s="96">
        <f>'review 1 - annotator 2 - eval'!O119</f>
        <v>1</v>
      </c>
    </row>
    <row r="1484">
      <c r="A1484" s="95">
        <f>'review 1 - annotator 1 - eval'!O120</f>
        <v>1</v>
      </c>
      <c r="B1484" s="96">
        <f>'review 1 - annotator 2 - eval'!O120</f>
        <v>1</v>
      </c>
    </row>
    <row r="1485">
      <c r="A1485" s="95">
        <f>'review 1 - annotator 1 - eval'!O124</f>
        <v>1</v>
      </c>
      <c r="B1485" s="96">
        <f>'review 1 - annotator 2 - eval'!O124</f>
        <v>1</v>
      </c>
    </row>
    <row r="1486">
      <c r="A1486" s="95">
        <f>'review 1 - annotator 1 - eval'!O125</f>
        <v>1</v>
      </c>
      <c r="B1486" s="96">
        <f>'review 1 - annotator 2 - eval'!O125</f>
        <v>1</v>
      </c>
    </row>
    <row r="1487">
      <c r="A1487" s="95">
        <f>'review 1 - annotator 1 - eval'!O126</f>
        <v>1</v>
      </c>
      <c r="B1487" s="96">
        <f>'review 1 - annotator 2 - eval'!O126</f>
        <v>1</v>
      </c>
    </row>
    <row r="1488">
      <c r="A1488" s="95">
        <f>'review 1 - annotator 1 - eval'!O127</f>
        <v>1</v>
      </c>
      <c r="B1488" s="96">
        <f>'review 1 - annotator 2 - eval'!O127</f>
        <v>1</v>
      </c>
    </row>
    <row r="1489">
      <c r="A1489" s="95">
        <f>'review 1 - annotator 1 - eval'!O128</f>
        <v>1</v>
      </c>
      <c r="B1489" s="96">
        <f>'review 1 - annotator 2 - eval'!O128</f>
        <v>1</v>
      </c>
    </row>
    <row r="1490">
      <c r="A1490" s="95">
        <f>'review 1 - annotator 1 - eval'!O129</f>
        <v>1</v>
      </c>
      <c r="B1490" s="96">
        <f>'review 1 - annotator 2 - eval'!O129</f>
        <v>1</v>
      </c>
    </row>
    <row r="1491">
      <c r="A1491" s="95">
        <f>'review 1 - annotator 1 - eval'!O130</f>
        <v>1</v>
      </c>
      <c r="B1491" s="96">
        <f>'review 1 - annotator 2 - eval'!O130</f>
        <v>1</v>
      </c>
    </row>
    <row r="1492">
      <c r="A1492" s="95">
        <f>'review 1 - annotator 1 - eval'!O134</f>
        <v>1</v>
      </c>
      <c r="B1492" s="96">
        <f>'review 1 - annotator 2 - eval'!O134</f>
        <v>0</v>
      </c>
    </row>
    <row r="1493">
      <c r="A1493" s="95">
        <f>'review 1 - annotator 1 - eval'!O135</f>
        <v>1</v>
      </c>
      <c r="B1493" s="96">
        <f>'review 1 - annotator 2 - eval'!O135</f>
        <v>1</v>
      </c>
    </row>
    <row r="1494">
      <c r="A1494" s="95">
        <f>'review 1 - annotator 1 - eval'!O136</f>
        <v>1</v>
      </c>
      <c r="B1494" s="96">
        <f>'review 1 - annotator 2 - eval'!O136</f>
        <v>0</v>
      </c>
    </row>
    <row r="1495">
      <c r="A1495" s="95">
        <f>'review 1 - annotator 1 - eval'!O137</f>
        <v>1</v>
      </c>
      <c r="B1495" s="96">
        <f>'review 1 - annotator 2 - eval'!O137</f>
        <v>1</v>
      </c>
    </row>
    <row r="1496">
      <c r="A1496" s="95">
        <f>'review 1 - annotator 1 - eval'!O138</f>
        <v>1</v>
      </c>
      <c r="B1496" s="96">
        <f>'review 1 - annotator 2 - eval'!O138</f>
        <v>1</v>
      </c>
    </row>
    <row r="1497">
      <c r="A1497" s="95">
        <f>'review 1 - annotator 1 - eval'!O139</f>
        <v>1</v>
      </c>
      <c r="B1497" s="96">
        <f>'review 1 - annotator 2 - eval'!O139</f>
        <v>1</v>
      </c>
    </row>
    <row r="1498">
      <c r="A1498" s="95">
        <f>'review 1 - annotator 1 - eval'!O140</f>
        <v>1</v>
      </c>
      <c r="B1498" s="96">
        <f>'review 1 - annotator 2 - eval'!O140</f>
        <v>1</v>
      </c>
    </row>
    <row r="1499">
      <c r="A1499" s="95">
        <f>'review 1 - annotator 1 - eval'!O144</f>
        <v>1</v>
      </c>
      <c r="B1499" s="96">
        <f>'review 1 - annotator 2 - eval'!O144</f>
        <v>1</v>
      </c>
    </row>
    <row r="1500">
      <c r="A1500" s="95">
        <f>'review 1 - annotator 1 - eval'!O145</f>
        <v>1</v>
      </c>
      <c r="B1500" s="96">
        <f>'review 1 - annotator 2 - eval'!O145</f>
        <v>1</v>
      </c>
    </row>
    <row r="1501">
      <c r="A1501" s="95">
        <f>'review 1 - annotator 1 - eval'!O146</f>
        <v>1</v>
      </c>
      <c r="B1501" s="96">
        <f>'review 1 - annotator 2 - eval'!O146</f>
        <v>1</v>
      </c>
    </row>
    <row r="1502">
      <c r="A1502" s="95">
        <f>'review 1 - annotator 1 - eval'!O147</f>
        <v>1</v>
      </c>
      <c r="B1502" s="96">
        <f>'review 1 - annotator 2 - eval'!O147</f>
        <v>1</v>
      </c>
    </row>
    <row r="1503">
      <c r="A1503" s="95">
        <f>'review 1 - annotator 1 - eval'!O148</f>
        <v>1</v>
      </c>
      <c r="B1503" s="96">
        <f>'review 1 - annotator 2 - eval'!O148</f>
        <v>1</v>
      </c>
    </row>
    <row r="1504">
      <c r="A1504" s="95">
        <f>'review 1 - annotator 1 - eval'!O149</f>
        <v>1</v>
      </c>
      <c r="B1504" s="96">
        <f>'review 1 - annotator 2 - eval'!O149</f>
        <v>1</v>
      </c>
    </row>
    <row r="1505">
      <c r="A1505" s="95">
        <f>'review 1 - annotator 1 - eval'!O150</f>
        <v>1</v>
      </c>
      <c r="B1505" s="96">
        <f>'review 1 - annotator 2 - eval'!O150</f>
        <v>1</v>
      </c>
    </row>
    <row r="1506">
      <c r="A1506" s="95">
        <f>'review 1 - annotator 1 - eval'!O154</f>
        <v>1</v>
      </c>
      <c r="B1506" s="96">
        <f>'review 1 - annotator 2 - eval'!O154</f>
        <v>1</v>
      </c>
    </row>
    <row r="1507">
      <c r="A1507" s="95">
        <f>'review 1 - annotator 1 - eval'!O155</f>
        <v>1</v>
      </c>
      <c r="B1507" s="96">
        <f>'review 1 - annotator 2 - eval'!O155</f>
        <v>1</v>
      </c>
    </row>
    <row r="1508">
      <c r="A1508" s="95">
        <f>'review 1 - annotator 1 - eval'!O156</f>
        <v>1</v>
      </c>
      <c r="B1508" s="96">
        <f>'review 1 - annotator 2 - eval'!O156</f>
        <v>1</v>
      </c>
    </row>
    <row r="1509">
      <c r="A1509" s="95">
        <f>'review 1 - annotator 1 - eval'!O157</f>
        <v>1</v>
      </c>
      <c r="B1509" s="96">
        <f>'review 1 - annotator 2 - eval'!O157</f>
        <v>1</v>
      </c>
    </row>
    <row r="1510">
      <c r="A1510" s="95">
        <f>'review 1 - annotator 1 - eval'!O158</f>
        <v>1</v>
      </c>
      <c r="B1510" s="96">
        <f>'review 1 - annotator 2 - eval'!O158</f>
        <v>1</v>
      </c>
    </row>
    <row r="1511">
      <c r="A1511" s="95">
        <f>'review 1 - annotator 1 - eval'!O159</f>
        <v>1</v>
      </c>
      <c r="B1511" s="96">
        <f>'review 1 - annotator 2 - eval'!O159</f>
        <v>1</v>
      </c>
    </row>
    <row r="1512">
      <c r="A1512" s="95">
        <f>'review 1 - annotator 1 - eval'!O160</f>
        <v>1</v>
      </c>
      <c r="B1512" s="96">
        <f>'review 1 - annotator 2 - eval'!O160</f>
        <v>1</v>
      </c>
    </row>
    <row r="1513">
      <c r="A1513" s="95">
        <f>'review 1 - annotator 1 - eval'!O164</f>
        <v>0</v>
      </c>
      <c r="B1513" s="96">
        <f>'review 1 - annotator 2 - eval'!O164</f>
        <v>0</v>
      </c>
    </row>
    <row r="1514">
      <c r="A1514" s="95">
        <f>'review 1 - annotator 1 - eval'!O165</f>
        <v>1</v>
      </c>
      <c r="B1514" s="96">
        <f>'review 1 - annotator 2 - eval'!O165</f>
        <v>1</v>
      </c>
    </row>
    <row r="1515">
      <c r="A1515" s="95">
        <f>'review 1 - annotator 1 - eval'!O166</f>
        <v>0</v>
      </c>
      <c r="B1515" s="96">
        <f>'review 1 - annotator 2 - eval'!O166</f>
        <v>0</v>
      </c>
    </row>
    <row r="1516">
      <c r="A1516" s="95">
        <f>'review 1 - annotator 1 - eval'!O167</f>
        <v>1</v>
      </c>
      <c r="B1516" s="96">
        <f>'review 1 - annotator 2 - eval'!O167</f>
        <v>1</v>
      </c>
    </row>
    <row r="1517">
      <c r="A1517" s="95">
        <f>'review 1 - annotator 1 - eval'!O168</f>
        <v>1</v>
      </c>
      <c r="B1517" s="96">
        <f>'review 1 - annotator 2 - eval'!O168</f>
        <v>1</v>
      </c>
    </row>
    <row r="1518">
      <c r="A1518" s="95">
        <f>'review 1 - annotator 1 - eval'!O169</f>
        <v>1</v>
      </c>
      <c r="B1518" s="96">
        <f>'review 1 - annotator 2 - eval'!O169</f>
        <v>1</v>
      </c>
    </row>
    <row r="1519">
      <c r="A1519" s="95">
        <f>'review 1 - annotator 1 - eval'!O170</f>
        <v>1</v>
      </c>
      <c r="B1519" s="96">
        <f>'review 1 - annotator 2 - eval'!O170</f>
        <v>1</v>
      </c>
    </row>
    <row r="1520">
      <c r="A1520" s="95">
        <f>'review 1 - annotator 1 - eval'!O174</f>
        <v>0</v>
      </c>
      <c r="B1520" s="96">
        <f>'review 1 - annotator 2 - eval'!O174</f>
        <v>0</v>
      </c>
    </row>
    <row r="1521">
      <c r="A1521" s="95">
        <f>'review 1 - annotator 1 - eval'!O175</f>
        <v>1</v>
      </c>
      <c r="B1521" s="96">
        <f>'review 1 - annotator 2 - eval'!O175</f>
        <v>1</v>
      </c>
    </row>
    <row r="1522">
      <c r="A1522" s="95">
        <f>'review 1 - annotator 1 - eval'!O176</f>
        <v>0</v>
      </c>
      <c r="B1522" s="96">
        <f>'review 1 - annotator 2 - eval'!O176</f>
        <v>0</v>
      </c>
    </row>
    <row r="1523">
      <c r="A1523" s="95">
        <f>'review 1 - annotator 1 - eval'!O177</f>
        <v>0</v>
      </c>
      <c r="B1523" s="96">
        <f>'review 1 - annotator 2 - eval'!O177</f>
        <v>0</v>
      </c>
    </row>
    <row r="1524">
      <c r="A1524" s="95">
        <f>'review 1 - annotator 1 - eval'!O178</f>
        <v>0</v>
      </c>
      <c r="B1524" s="96">
        <f>'review 1 - annotator 2 - eval'!O178</f>
        <v>0</v>
      </c>
    </row>
    <row r="1525">
      <c r="A1525" s="95">
        <f>'review 1 - annotator 1 - eval'!O179</f>
        <v>0</v>
      </c>
      <c r="B1525" s="96">
        <f>'review 1 - annotator 2 - eval'!O179</f>
        <v>0</v>
      </c>
    </row>
    <row r="1526">
      <c r="A1526" s="95">
        <f>'review 1 - annotator 1 - eval'!O180</f>
        <v>0</v>
      </c>
      <c r="B1526" s="96">
        <f>'review 1 - annotator 2 - eval'!O180</f>
        <v>0</v>
      </c>
    </row>
    <row r="1527">
      <c r="A1527" s="95">
        <f>'review 1 - annotator 1 - eval'!O184</f>
        <v>1</v>
      </c>
      <c r="B1527" s="96">
        <f>'review 1 - annotator 2 - eval'!O184</f>
        <v>1</v>
      </c>
    </row>
    <row r="1528">
      <c r="A1528" s="95">
        <f>'review 1 - annotator 1 - eval'!O185</f>
        <v>1</v>
      </c>
      <c r="B1528" s="96">
        <f>'review 1 - annotator 2 - eval'!O185</f>
        <v>1</v>
      </c>
    </row>
    <row r="1529">
      <c r="A1529" s="95">
        <f>'review 1 - annotator 1 - eval'!O186</f>
        <v>1</v>
      </c>
      <c r="B1529" s="96">
        <f>'review 1 - annotator 2 - eval'!O186</f>
        <v>1</v>
      </c>
    </row>
    <row r="1530">
      <c r="A1530" s="95">
        <f>'review 1 - annotator 1 - eval'!O187</f>
        <v>1</v>
      </c>
      <c r="B1530" s="96">
        <f>'review 1 - annotator 2 - eval'!O187</f>
        <v>1</v>
      </c>
    </row>
    <row r="1531">
      <c r="A1531" s="95">
        <f>'review 1 - annotator 1 - eval'!O188</f>
        <v>1</v>
      </c>
      <c r="B1531" s="96">
        <f>'review 1 - annotator 2 - eval'!O188</f>
        <v>1</v>
      </c>
    </row>
    <row r="1532">
      <c r="A1532" s="95">
        <f>'review 1 - annotator 1 - eval'!O189</f>
        <v>1</v>
      </c>
      <c r="B1532" s="96">
        <f>'review 1 - annotator 2 - eval'!O189</f>
        <v>1</v>
      </c>
    </row>
    <row r="1533">
      <c r="A1533" s="95">
        <f>'review 1 - annotator 1 - eval'!O190</f>
        <v>1</v>
      </c>
      <c r="B1533" s="96">
        <f>'review 1 - annotator 2 - eval'!O190</f>
        <v>1</v>
      </c>
    </row>
    <row r="1534">
      <c r="A1534" s="95">
        <f>'review 1 - annotator 1 - eval'!O194</f>
        <v>1</v>
      </c>
      <c r="B1534" s="96">
        <f>'review 1 - annotator 2 - eval'!O194</f>
        <v>1</v>
      </c>
    </row>
    <row r="1535">
      <c r="A1535" s="95">
        <f>'review 1 - annotator 1 - eval'!O195</f>
        <v>1</v>
      </c>
      <c r="B1535" s="96">
        <f>'review 1 - annotator 2 - eval'!O195</f>
        <v>1</v>
      </c>
    </row>
    <row r="1536">
      <c r="A1536" s="95">
        <f>'review 1 - annotator 1 - eval'!O196</f>
        <v>1</v>
      </c>
      <c r="B1536" s="96">
        <f>'review 1 - annotator 2 - eval'!O196</f>
        <v>1</v>
      </c>
    </row>
    <row r="1537">
      <c r="A1537" s="95">
        <f>'review 1 - annotator 1 - eval'!O197</f>
        <v>1</v>
      </c>
      <c r="B1537" s="96">
        <f>'review 1 - annotator 2 - eval'!O197</f>
        <v>1</v>
      </c>
    </row>
    <row r="1538">
      <c r="A1538" s="95">
        <f>'review 1 - annotator 1 - eval'!O198</f>
        <v>1</v>
      </c>
      <c r="B1538" s="96">
        <f>'review 1 - annotator 2 - eval'!O198</f>
        <v>1</v>
      </c>
    </row>
    <row r="1539">
      <c r="A1539" s="95">
        <f>'review 1 - annotator 1 - eval'!O199</f>
        <v>1</v>
      </c>
      <c r="B1539" s="96">
        <f>'review 1 - annotator 2 - eval'!O199</f>
        <v>1</v>
      </c>
    </row>
    <row r="1540">
      <c r="A1540" s="95">
        <f>'review 1 - annotator 1 - eval'!O200</f>
        <v>1</v>
      </c>
      <c r="B1540" s="96">
        <f>'review 1 - annotator 2 - eval'!O200</f>
        <v>1</v>
      </c>
    </row>
    <row r="1541">
      <c r="A1541" s="95">
        <f>'review 1 - annotator 1 - eval'!P4</f>
        <v>1</v>
      </c>
      <c r="B1541" s="96">
        <f>'review 1 - annotator 2 - eval'!P4</f>
        <v>1</v>
      </c>
    </row>
    <row r="1542">
      <c r="A1542" s="95">
        <f>'review 1 - annotator 1 - eval'!P5</f>
        <v>1</v>
      </c>
      <c r="B1542" s="96">
        <f>'review 1 - annotator 2 - eval'!P5</f>
        <v>1</v>
      </c>
    </row>
    <row r="1543">
      <c r="A1543" s="95">
        <f>'review 1 - annotator 1 - eval'!P6</f>
        <v>1</v>
      </c>
      <c r="B1543" s="96">
        <f>'review 1 - annotator 2 - eval'!P6</f>
        <v>1</v>
      </c>
    </row>
    <row r="1544">
      <c r="A1544" s="95">
        <f>'review 1 - annotator 1 - eval'!P7</f>
        <v>1</v>
      </c>
      <c r="B1544" s="96">
        <f>'review 1 - annotator 2 - eval'!P7</f>
        <v>1</v>
      </c>
    </row>
    <row r="1545">
      <c r="A1545" s="95">
        <f>'review 1 - annotator 1 - eval'!P8</f>
        <v>1</v>
      </c>
      <c r="B1545" s="96">
        <f>'review 1 - annotator 2 - eval'!P8</f>
        <v>1</v>
      </c>
    </row>
    <row r="1546">
      <c r="A1546" s="95">
        <f>'review 1 - annotator 1 - eval'!P9</f>
        <v>1</v>
      </c>
      <c r="B1546" s="96">
        <f>'review 1 - annotator 2 - eval'!P9</f>
        <v>1</v>
      </c>
    </row>
    <row r="1547">
      <c r="A1547" s="95">
        <f>'review 1 - annotator 1 - eval'!P10</f>
        <v>1</v>
      </c>
      <c r="B1547" s="96">
        <f>'review 1 - annotator 2 - eval'!P10</f>
        <v>1</v>
      </c>
    </row>
    <row r="1548">
      <c r="A1548" s="95">
        <f>'review 1 - annotator 1 - eval'!P14</f>
        <v>1</v>
      </c>
      <c r="B1548" s="96">
        <f>'review 1 - annotator 2 - eval'!P14</f>
        <v>1</v>
      </c>
    </row>
    <row r="1549">
      <c r="A1549" s="95">
        <f>'review 1 - annotator 1 - eval'!P15</f>
        <v>1</v>
      </c>
      <c r="B1549" s="96">
        <f>'review 1 - annotator 2 - eval'!P15</f>
        <v>1</v>
      </c>
    </row>
    <row r="1550">
      <c r="A1550" s="95">
        <f>'review 1 - annotator 1 - eval'!P16</f>
        <v>1</v>
      </c>
      <c r="B1550" s="96">
        <f>'review 1 - annotator 2 - eval'!P16</f>
        <v>1</v>
      </c>
    </row>
    <row r="1551">
      <c r="A1551" s="95">
        <f>'review 1 - annotator 1 - eval'!P17</f>
        <v>1</v>
      </c>
      <c r="B1551" s="96">
        <f>'review 1 - annotator 2 - eval'!P17</f>
        <v>1</v>
      </c>
    </row>
    <row r="1552">
      <c r="A1552" s="95">
        <f>'review 1 - annotator 1 - eval'!P18</f>
        <v>1</v>
      </c>
      <c r="B1552" s="96">
        <f>'review 1 - annotator 2 - eval'!P18</f>
        <v>1</v>
      </c>
    </row>
    <row r="1553">
      <c r="A1553" s="95">
        <f>'review 1 - annotator 1 - eval'!P19</f>
        <v>1</v>
      </c>
      <c r="B1553" s="96">
        <f>'review 1 - annotator 2 - eval'!P19</f>
        <v>1</v>
      </c>
    </row>
    <row r="1554">
      <c r="A1554" s="95">
        <f>'review 1 - annotator 1 - eval'!P20</f>
        <v>1</v>
      </c>
      <c r="B1554" s="96">
        <f>'review 1 - annotator 2 - eval'!P20</f>
        <v>1</v>
      </c>
    </row>
    <row r="1555">
      <c r="A1555" s="95">
        <f>'review 1 - annotator 1 - eval'!P24</f>
        <v>1</v>
      </c>
      <c r="B1555" s="96">
        <f>'review 1 - annotator 2 - eval'!P24</f>
        <v>1</v>
      </c>
    </row>
    <row r="1556">
      <c r="A1556" s="95">
        <f>'review 1 - annotator 1 - eval'!P25</f>
        <v>1</v>
      </c>
      <c r="B1556" s="96">
        <f>'review 1 - annotator 2 - eval'!P25</f>
        <v>1</v>
      </c>
    </row>
    <row r="1557">
      <c r="A1557" s="95">
        <f>'review 1 - annotator 1 - eval'!P26</f>
        <v>1</v>
      </c>
      <c r="B1557" s="96">
        <f>'review 1 - annotator 2 - eval'!P26</f>
        <v>0</v>
      </c>
    </row>
    <row r="1558">
      <c r="A1558" s="95">
        <f>'review 1 - annotator 1 - eval'!P27</f>
        <v>1</v>
      </c>
      <c r="B1558" s="96">
        <f>'review 1 - annotator 2 - eval'!P27</f>
        <v>1</v>
      </c>
    </row>
    <row r="1559">
      <c r="A1559" s="95">
        <f>'review 1 - annotator 1 - eval'!P28</f>
        <v>1</v>
      </c>
      <c r="B1559" s="96">
        <f>'review 1 - annotator 2 - eval'!P28</f>
        <v>1</v>
      </c>
    </row>
    <row r="1560">
      <c r="A1560" s="95">
        <f>'review 1 - annotator 1 - eval'!P29</f>
        <v>1</v>
      </c>
      <c r="B1560" s="96">
        <f>'review 1 - annotator 2 - eval'!P29</f>
        <v>1</v>
      </c>
    </row>
    <row r="1561">
      <c r="A1561" s="95">
        <f>'review 1 - annotator 1 - eval'!P30</f>
        <v>1</v>
      </c>
      <c r="B1561" s="96">
        <f>'review 1 - annotator 2 - eval'!P30</f>
        <v>1</v>
      </c>
    </row>
    <row r="1562">
      <c r="A1562" s="95">
        <f>'review 1 - annotator 1 - eval'!P34</f>
        <v>0</v>
      </c>
      <c r="B1562" s="96">
        <f>'review 1 - annotator 2 - eval'!P34</f>
        <v>0</v>
      </c>
    </row>
    <row r="1563">
      <c r="A1563" s="95">
        <f>'review 1 - annotator 1 - eval'!P35</f>
        <v>0</v>
      </c>
      <c r="B1563" s="96">
        <f>'review 1 - annotator 2 - eval'!P35</f>
        <v>1</v>
      </c>
    </row>
    <row r="1564">
      <c r="A1564" s="95">
        <f>'review 1 - annotator 1 - eval'!P36</f>
        <v>0</v>
      </c>
      <c r="B1564" s="96">
        <f>'review 1 - annotator 2 - eval'!P36</f>
        <v>0</v>
      </c>
    </row>
    <row r="1565">
      <c r="A1565" s="95">
        <f>'review 1 - annotator 1 - eval'!P37</f>
        <v>0</v>
      </c>
      <c r="B1565" s="96">
        <f>'review 1 - annotator 2 - eval'!P37</f>
        <v>1</v>
      </c>
    </row>
    <row r="1566">
      <c r="A1566" s="95">
        <f>'review 1 - annotator 1 - eval'!P38</f>
        <v>0</v>
      </c>
      <c r="B1566" s="96">
        <f>'review 1 - annotator 2 - eval'!P38</f>
        <v>1</v>
      </c>
    </row>
    <row r="1567">
      <c r="A1567" s="95">
        <f>'review 1 - annotator 1 - eval'!P39</f>
        <v>0</v>
      </c>
      <c r="B1567" s="96">
        <f>'review 1 - annotator 2 - eval'!P39</f>
        <v>1</v>
      </c>
    </row>
    <row r="1568">
      <c r="A1568" s="95">
        <f>'review 1 - annotator 1 - eval'!P40</f>
        <v>0</v>
      </c>
      <c r="B1568" s="96">
        <f>'review 1 - annotator 2 - eval'!P40</f>
        <v>1</v>
      </c>
    </row>
    <row r="1569">
      <c r="A1569" s="95">
        <f>'review 1 - annotator 1 - eval'!P44</f>
        <v>1</v>
      </c>
      <c r="B1569" s="96">
        <f>'review 1 - annotator 2 - eval'!P44</f>
        <v>1</v>
      </c>
    </row>
    <row r="1570">
      <c r="A1570" s="95">
        <f>'review 1 - annotator 1 - eval'!P45</f>
        <v>1</v>
      </c>
      <c r="B1570" s="96">
        <f>'review 1 - annotator 2 - eval'!P45</f>
        <v>1</v>
      </c>
    </row>
    <row r="1571">
      <c r="A1571" s="95">
        <f>'review 1 - annotator 1 - eval'!P46</f>
        <v>1</v>
      </c>
      <c r="B1571" s="96">
        <f>'review 1 - annotator 2 - eval'!P46</f>
        <v>1</v>
      </c>
    </row>
    <row r="1572">
      <c r="A1572" s="95">
        <f>'review 1 - annotator 1 - eval'!P47</f>
        <v>1</v>
      </c>
      <c r="B1572" s="96">
        <f>'review 1 - annotator 2 - eval'!P47</f>
        <v>1</v>
      </c>
    </row>
    <row r="1573">
      <c r="A1573" s="95">
        <f>'review 1 - annotator 1 - eval'!P48</f>
        <v>1</v>
      </c>
      <c r="B1573" s="96">
        <f>'review 1 - annotator 2 - eval'!P48</f>
        <v>1</v>
      </c>
    </row>
    <row r="1574">
      <c r="A1574" s="95">
        <f>'review 1 - annotator 1 - eval'!P49</f>
        <v>1</v>
      </c>
      <c r="B1574" s="96">
        <f>'review 1 - annotator 2 - eval'!P49</f>
        <v>1</v>
      </c>
    </row>
    <row r="1575">
      <c r="A1575" s="95">
        <f>'review 1 - annotator 1 - eval'!P50</f>
        <v>1</v>
      </c>
      <c r="B1575" s="96">
        <f>'review 1 - annotator 2 - eval'!P50</f>
        <v>1</v>
      </c>
    </row>
    <row r="1576">
      <c r="A1576" s="95">
        <f>'review 1 - annotator 1 - eval'!P54</f>
        <v>1</v>
      </c>
      <c r="B1576" s="96">
        <f>'review 1 - annotator 2 - eval'!P54</f>
        <v>1</v>
      </c>
    </row>
    <row r="1577">
      <c r="A1577" s="95">
        <f>'review 1 - annotator 1 - eval'!P55</f>
        <v>1</v>
      </c>
      <c r="B1577" s="96">
        <f>'review 1 - annotator 2 - eval'!P55</f>
        <v>1</v>
      </c>
    </row>
    <row r="1578">
      <c r="A1578" s="95">
        <f>'review 1 - annotator 1 - eval'!P56</f>
        <v>1</v>
      </c>
      <c r="B1578" s="96">
        <f>'review 1 - annotator 2 - eval'!P56</f>
        <v>1</v>
      </c>
    </row>
    <row r="1579">
      <c r="A1579" s="95">
        <f>'review 1 - annotator 1 - eval'!P57</f>
        <v>1</v>
      </c>
      <c r="B1579" s="96">
        <f>'review 1 - annotator 2 - eval'!P57</f>
        <v>1</v>
      </c>
    </row>
    <row r="1580">
      <c r="A1580" s="95">
        <f>'review 1 - annotator 1 - eval'!P58</f>
        <v>1</v>
      </c>
      <c r="B1580" s="96">
        <f>'review 1 - annotator 2 - eval'!P58</f>
        <v>1</v>
      </c>
    </row>
    <row r="1581">
      <c r="A1581" s="95">
        <f>'review 1 - annotator 1 - eval'!P59</f>
        <v>1</v>
      </c>
      <c r="B1581" s="96">
        <f>'review 1 - annotator 2 - eval'!P59</f>
        <v>1</v>
      </c>
    </row>
    <row r="1582">
      <c r="A1582" s="95">
        <f>'review 1 - annotator 1 - eval'!P60</f>
        <v>1</v>
      </c>
      <c r="B1582" s="96">
        <f>'review 1 - annotator 2 - eval'!P60</f>
        <v>1</v>
      </c>
    </row>
    <row r="1583">
      <c r="A1583" s="95">
        <f>'review 1 - annotator 1 - eval'!P64</f>
        <v>0</v>
      </c>
      <c r="B1583" s="96">
        <f>'review 1 - annotator 2 - eval'!P64</f>
        <v>0</v>
      </c>
    </row>
    <row r="1584">
      <c r="A1584" s="95">
        <f>'review 1 - annotator 1 - eval'!P65</f>
        <v>0</v>
      </c>
      <c r="B1584" s="96">
        <f>'review 1 - annotator 2 - eval'!P65</f>
        <v>0</v>
      </c>
    </row>
    <row r="1585">
      <c r="A1585" s="95">
        <f>'review 1 - annotator 1 - eval'!P66</f>
        <v>0</v>
      </c>
      <c r="B1585" s="96">
        <f>'review 1 - annotator 2 - eval'!P66</f>
        <v>0</v>
      </c>
    </row>
    <row r="1586">
      <c r="A1586" s="95">
        <f>'review 1 - annotator 1 - eval'!P67</f>
        <v>0</v>
      </c>
      <c r="B1586" s="96">
        <f>'review 1 - annotator 2 - eval'!P67</f>
        <v>0</v>
      </c>
    </row>
    <row r="1587">
      <c r="A1587" s="95">
        <f>'review 1 - annotator 1 - eval'!P68</f>
        <v>0</v>
      </c>
      <c r="B1587" s="96">
        <f>'review 1 - annotator 2 - eval'!P68</f>
        <v>0</v>
      </c>
    </row>
    <row r="1588">
      <c r="A1588" s="95">
        <f>'review 1 - annotator 1 - eval'!P69</f>
        <v>0</v>
      </c>
      <c r="B1588" s="96">
        <f>'review 1 - annotator 2 - eval'!P69</f>
        <v>0</v>
      </c>
    </row>
    <row r="1589">
      <c r="A1589" s="95">
        <f>'review 1 - annotator 1 - eval'!P70</f>
        <v>0</v>
      </c>
      <c r="B1589" s="96">
        <f>'review 1 - annotator 2 - eval'!P70</f>
        <v>0</v>
      </c>
    </row>
    <row r="1590">
      <c r="A1590" s="95">
        <f>'review 1 - annotator 1 - eval'!P74</f>
        <v>1</v>
      </c>
      <c r="B1590" s="96">
        <f>'review 1 - annotator 2 - eval'!P74</f>
        <v>1</v>
      </c>
    </row>
    <row r="1591">
      <c r="A1591" s="95">
        <f>'review 1 - annotator 1 - eval'!P75</f>
        <v>1</v>
      </c>
      <c r="B1591" s="96">
        <f>'review 1 - annotator 2 - eval'!P75</f>
        <v>1</v>
      </c>
    </row>
    <row r="1592">
      <c r="A1592" s="95">
        <f>'review 1 - annotator 1 - eval'!P76</f>
        <v>1</v>
      </c>
      <c r="B1592" s="96">
        <f>'review 1 - annotator 2 - eval'!P76</f>
        <v>1</v>
      </c>
    </row>
    <row r="1593">
      <c r="A1593" s="95">
        <f>'review 1 - annotator 1 - eval'!P77</f>
        <v>1</v>
      </c>
      <c r="B1593" s="96">
        <f>'review 1 - annotator 2 - eval'!P77</f>
        <v>1</v>
      </c>
    </row>
    <row r="1594">
      <c r="A1594" s="95">
        <f>'review 1 - annotator 1 - eval'!P78</f>
        <v>1</v>
      </c>
      <c r="B1594" s="96">
        <f>'review 1 - annotator 2 - eval'!P78</f>
        <v>1</v>
      </c>
    </row>
    <row r="1595">
      <c r="A1595" s="95">
        <f>'review 1 - annotator 1 - eval'!P79</f>
        <v>1</v>
      </c>
      <c r="B1595" s="96">
        <f>'review 1 - annotator 2 - eval'!P79</f>
        <v>1</v>
      </c>
    </row>
    <row r="1596">
      <c r="A1596" s="95">
        <f>'review 1 - annotator 1 - eval'!P80</f>
        <v>1</v>
      </c>
      <c r="B1596" s="96">
        <f>'review 1 - annotator 2 - eval'!P80</f>
        <v>1</v>
      </c>
    </row>
    <row r="1597">
      <c r="A1597" s="95">
        <f>'review 1 - annotator 1 - eval'!P84</f>
        <v>1</v>
      </c>
      <c r="B1597" s="96">
        <f>'review 1 - annotator 2 - eval'!P84</f>
        <v>1</v>
      </c>
    </row>
    <row r="1598">
      <c r="A1598" s="95">
        <f>'review 1 - annotator 1 - eval'!P85</f>
        <v>1</v>
      </c>
      <c r="B1598" s="96">
        <f>'review 1 - annotator 2 - eval'!P85</f>
        <v>1</v>
      </c>
    </row>
    <row r="1599">
      <c r="A1599" s="95">
        <f>'review 1 - annotator 1 - eval'!P86</f>
        <v>1</v>
      </c>
      <c r="B1599" s="96">
        <f>'review 1 - annotator 2 - eval'!P86</f>
        <v>1</v>
      </c>
    </row>
    <row r="1600">
      <c r="A1600" s="95">
        <f>'review 1 - annotator 1 - eval'!P87</f>
        <v>1</v>
      </c>
      <c r="B1600" s="96">
        <f>'review 1 - annotator 2 - eval'!P87</f>
        <v>1</v>
      </c>
    </row>
    <row r="1601">
      <c r="A1601" s="95">
        <f>'review 1 - annotator 1 - eval'!P88</f>
        <v>1</v>
      </c>
      <c r="B1601" s="96">
        <f>'review 1 - annotator 2 - eval'!P88</f>
        <v>1</v>
      </c>
    </row>
    <row r="1602">
      <c r="A1602" s="95">
        <f>'review 1 - annotator 1 - eval'!P89</f>
        <v>1</v>
      </c>
      <c r="B1602" s="96">
        <f>'review 1 - annotator 2 - eval'!P89</f>
        <v>1</v>
      </c>
    </row>
    <row r="1603">
      <c r="A1603" s="95">
        <f>'review 1 - annotator 1 - eval'!P90</f>
        <v>1</v>
      </c>
      <c r="B1603" s="96">
        <f>'review 1 - annotator 2 - eval'!P90</f>
        <v>1</v>
      </c>
    </row>
    <row r="1604">
      <c r="A1604" s="95">
        <f>'review 1 - annotator 1 - eval'!P94</f>
        <v>1</v>
      </c>
      <c r="B1604" s="96">
        <f>'review 1 - annotator 2 - eval'!P94</f>
        <v>1</v>
      </c>
    </row>
    <row r="1605">
      <c r="A1605" s="95">
        <f>'review 1 - annotator 1 - eval'!P95</f>
        <v>1</v>
      </c>
      <c r="B1605" s="96">
        <f>'review 1 - annotator 2 - eval'!P95</f>
        <v>1</v>
      </c>
    </row>
    <row r="1606">
      <c r="A1606" s="95">
        <f>'review 1 - annotator 1 - eval'!P96</f>
        <v>1</v>
      </c>
      <c r="B1606" s="96">
        <f>'review 1 - annotator 2 - eval'!P96</f>
        <v>1</v>
      </c>
    </row>
    <row r="1607">
      <c r="A1607" s="95">
        <f>'review 1 - annotator 1 - eval'!P97</f>
        <v>1</v>
      </c>
      <c r="B1607" s="96">
        <f>'review 1 - annotator 2 - eval'!P97</f>
        <v>1</v>
      </c>
    </row>
    <row r="1608">
      <c r="A1608" s="95">
        <f>'review 1 - annotator 1 - eval'!P98</f>
        <v>1</v>
      </c>
      <c r="B1608" s="96">
        <f>'review 1 - annotator 2 - eval'!P98</f>
        <v>1</v>
      </c>
    </row>
    <row r="1609">
      <c r="A1609" s="95">
        <f>'review 1 - annotator 1 - eval'!P99</f>
        <v>1</v>
      </c>
      <c r="B1609" s="96">
        <f>'review 1 - annotator 2 - eval'!P99</f>
        <v>1</v>
      </c>
    </row>
    <row r="1610">
      <c r="A1610" s="95">
        <f>'review 1 - annotator 1 - eval'!P100</f>
        <v>1</v>
      </c>
      <c r="B1610" s="96">
        <f>'review 1 - annotator 2 - eval'!P100</f>
        <v>1</v>
      </c>
    </row>
    <row r="1611">
      <c r="A1611" s="95">
        <f>'review 1 - annotator 1 - eval'!P104</f>
        <v>1</v>
      </c>
      <c r="B1611" s="96">
        <f>'review 1 - annotator 2 - eval'!P104</f>
        <v>1</v>
      </c>
    </row>
    <row r="1612">
      <c r="A1612" s="95">
        <f>'review 1 - annotator 1 - eval'!P105</f>
        <v>1</v>
      </c>
      <c r="B1612" s="96">
        <f>'review 1 - annotator 2 - eval'!P105</f>
        <v>1</v>
      </c>
    </row>
    <row r="1613">
      <c r="A1613" s="95">
        <f>'review 1 - annotator 1 - eval'!P106</f>
        <v>1</v>
      </c>
      <c r="B1613" s="96">
        <f>'review 1 - annotator 2 - eval'!P106</f>
        <v>1</v>
      </c>
    </row>
    <row r="1614">
      <c r="A1614" s="95">
        <f>'review 1 - annotator 1 - eval'!P107</f>
        <v>1</v>
      </c>
      <c r="B1614" s="96">
        <f>'review 1 - annotator 2 - eval'!P107</f>
        <v>1</v>
      </c>
    </row>
    <row r="1615">
      <c r="A1615" s="95">
        <f>'review 1 - annotator 1 - eval'!P108</f>
        <v>1</v>
      </c>
      <c r="B1615" s="96">
        <f>'review 1 - annotator 2 - eval'!P108</f>
        <v>1</v>
      </c>
    </row>
    <row r="1616">
      <c r="A1616" s="95">
        <f>'review 1 - annotator 1 - eval'!P109</f>
        <v>1</v>
      </c>
      <c r="B1616" s="96">
        <f>'review 1 - annotator 2 - eval'!P109</f>
        <v>1</v>
      </c>
    </row>
    <row r="1617">
      <c r="A1617" s="95">
        <f>'review 1 - annotator 1 - eval'!P110</f>
        <v>1</v>
      </c>
      <c r="B1617" s="96">
        <f>'review 1 - annotator 2 - eval'!P110</f>
        <v>1</v>
      </c>
    </row>
    <row r="1618">
      <c r="A1618" s="95">
        <f>'review 1 - annotator 1 - eval'!P114</f>
        <v>1</v>
      </c>
      <c r="B1618" s="96">
        <f>'review 1 - annotator 2 - eval'!P114</f>
        <v>1</v>
      </c>
    </row>
    <row r="1619">
      <c r="A1619" s="95">
        <f>'review 1 - annotator 1 - eval'!P115</f>
        <v>1</v>
      </c>
      <c r="B1619" s="96">
        <f>'review 1 - annotator 2 - eval'!P115</f>
        <v>1</v>
      </c>
    </row>
    <row r="1620">
      <c r="A1620" s="95">
        <f>'review 1 - annotator 1 - eval'!P116</f>
        <v>1</v>
      </c>
      <c r="B1620" s="96">
        <f>'review 1 - annotator 2 - eval'!P116</f>
        <v>1</v>
      </c>
    </row>
    <row r="1621">
      <c r="A1621" s="95">
        <f>'review 1 - annotator 1 - eval'!P117</f>
        <v>1</v>
      </c>
      <c r="B1621" s="96">
        <f>'review 1 - annotator 2 - eval'!P117</f>
        <v>1</v>
      </c>
    </row>
    <row r="1622">
      <c r="A1622" s="95">
        <f>'review 1 - annotator 1 - eval'!P118</f>
        <v>1</v>
      </c>
      <c r="B1622" s="96">
        <f>'review 1 - annotator 2 - eval'!P118</f>
        <v>1</v>
      </c>
    </row>
    <row r="1623">
      <c r="A1623" s="95">
        <f>'review 1 - annotator 1 - eval'!P119</f>
        <v>1</v>
      </c>
      <c r="B1623" s="96">
        <f>'review 1 - annotator 2 - eval'!P119</f>
        <v>1</v>
      </c>
    </row>
    <row r="1624">
      <c r="A1624" s="95">
        <f>'review 1 - annotator 1 - eval'!P120</f>
        <v>1</v>
      </c>
      <c r="B1624" s="96">
        <f>'review 1 - annotator 2 - eval'!P120</f>
        <v>1</v>
      </c>
    </row>
    <row r="1625">
      <c r="A1625" s="95">
        <f>'review 1 - annotator 1 - eval'!P124</f>
        <v>1</v>
      </c>
      <c r="B1625" s="96">
        <f>'review 1 - annotator 2 - eval'!P124</f>
        <v>1</v>
      </c>
    </row>
    <row r="1626">
      <c r="A1626" s="95">
        <f>'review 1 - annotator 1 - eval'!P125</f>
        <v>1</v>
      </c>
      <c r="B1626" s="96">
        <f>'review 1 - annotator 2 - eval'!P125</f>
        <v>1</v>
      </c>
    </row>
    <row r="1627">
      <c r="A1627" s="95">
        <f>'review 1 - annotator 1 - eval'!P126</f>
        <v>1</v>
      </c>
      <c r="B1627" s="96">
        <f>'review 1 - annotator 2 - eval'!P126</f>
        <v>1</v>
      </c>
    </row>
    <row r="1628">
      <c r="A1628" s="95">
        <f>'review 1 - annotator 1 - eval'!P127</f>
        <v>1</v>
      </c>
      <c r="B1628" s="96">
        <f>'review 1 - annotator 2 - eval'!P127</f>
        <v>1</v>
      </c>
    </row>
    <row r="1629">
      <c r="A1629" s="95">
        <f>'review 1 - annotator 1 - eval'!P128</f>
        <v>1</v>
      </c>
      <c r="B1629" s="96">
        <f>'review 1 - annotator 2 - eval'!P128</f>
        <v>1</v>
      </c>
    </row>
    <row r="1630">
      <c r="A1630" s="95">
        <f>'review 1 - annotator 1 - eval'!P129</f>
        <v>1</v>
      </c>
      <c r="B1630" s="96">
        <f>'review 1 - annotator 2 - eval'!P129</f>
        <v>1</v>
      </c>
    </row>
    <row r="1631">
      <c r="A1631" s="95">
        <f>'review 1 - annotator 1 - eval'!P130</f>
        <v>1</v>
      </c>
      <c r="B1631" s="96">
        <f>'review 1 - annotator 2 - eval'!P130</f>
        <v>1</v>
      </c>
    </row>
    <row r="1632">
      <c r="A1632" s="95">
        <f>'review 1 - annotator 1 - eval'!P134</f>
        <v>1</v>
      </c>
      <c r="B1632" s="96">
        <f>'review 1 - annotator 2 - eval'!P134</f>
        <v>1</v>
      </c>
    </row>
    <row r="1633">
      <c r="A1633" s="95">
        <f>'review 1 - annotator 1 - eval'!P135</f>
        <v>1</v>
      </c>
      <c r="B1633" s="96">
        <f>'review 1 - annotator 2 - eval'!P135</f>
        <v>1</v>
      </c>
    </row>
    <row r="1634">
      <c r="A1634" s="95">
        <f>'review 1 - annotator 1 - eval'!P136</f>
        <v>1</v>
      </c>
      <c r="B1634" s="96">
        <f>'review 1 - annotator 2 - eval'!P136</f>
        <v>1</v>
      </c>
    </row>
    <row r="1635">
      <c r="A1635" s="95">
        <f>'review 1 - annotator 1 - eval'!P137</f>
        <v>1</v>
      </c>
      <c r="B1635" s="96">
        <f>'review 1 - annotator 2 - eval'!P137</f>
        <v>1</v>
      </c>
    </row>
    <row r="1636">
      <c r="A1636" s="95">
        <f>'review 1 - annotator 1 - eval'!P138</f>
        <v>1</v>
      </c>
      <c r="B1636" s="96">
        <f>'review 1 - annotator 2 - eval'!P138</f>
        <v>1</v>
      </c>
    </row>
    <row r="1637">
      <c r="A1637" s="95">
        <f>'review 1 - annotator 1 - eval'!P139</f>
        <v>1</v>
      </c>
      <c r="B1637" s="96">
        <f>'review 1 - annotator 2 - eval'!P139</f>
        <v>1</v>
      </c>
    </row>
    <row r="1638">
      <c r="A1638" s="95">
        <f>'review 1 - annotator 1 - eval'!P140</f>
        <v>1</v>
      </c>
      <c r="B1638" s="96">
        <f>'review 1 - annotator 2 - eval'!P140</f>
        <v>1</v>
      </c>
    </row>
    <row r="1639">
      <c r="A1639" s="95">
        <f>'review 1 - annotator 1 - eval'!P144</f>
        <v>1</v>
      </c>
      <c r="B1639" s="96">
        <f>'review 1 - annotator 2 - eval'!P144</f>
        <v>1</v>
      </c>
    </row>
    <row r="1640">
      <c r="A1640" s="95">
        <f>'review 1 - annotator 1 - eval'!P145</f>
        <v>1</v>
      </c>
      <c r="B1640" s="96">
        <f>'review 1 - annotator 2 - eval'!P145</f>
        <v>1</v>
      </c>
    </row>
    <row r="1641">
      <c r="A1641" s="95">
        <f>'review 1 - annotator 1 - eval'!P146</f>
        <v>1</v>
      </c>
      <c r="B1641" s="96">
        <f>'review 1 - annotator 2 - eval'!P146</f>
        <v>1</v>
      </c>
    </row>
    <row r="1642">
      <c r="A1642" s="95">
        <f>'review 1 - annotator 1 - eval'!P147</f>
        <v>1</v>
      </c>
      <c r="B1642" s="96">
        <f>'review 1 - annotator 2 - eval'!P147</f>
        <v>1</v>
      </c>
    </row>
    <row r="1643">
      <c r="A1643" s="95">
        <f>'review 1 - annotator 1 - eval'!P148</f>
        <v>1</v>
      </c>
      <c r="B1643" s="96">
        <f>'review 1 - annotator 2 - eval'!P148</f>
        <v>1</v>
      </c>
    </row>
    <row r="1644">
      <c r="A1644" s="95">
        <f>'review 1 - annotator 1 - eval'!P149</f>
        <v>1</v>
      </c>
      <c r="B1644" s="96">
        <f>'review 1 - annotator 2 - eval'!P149</f>
        <v>1</v>
      </c>
    </row>
    <row r="1645">
      <c r="A1645" s="95">
        <f>'review 1 - annotator 1 - eval'!P150</f>
        <v>1</v>
      </c>
      <c r="B1645" s="96">
        <f>'review 1 - annotator 2 - eval'!P150</f>
        <v>1</v>
      </c>
    </row>
    <row r="1646">
      <c r="A1646" s="95">
        <f>'review 1 - annotator 1 - eval'!P154</f>
        <v>1</v>
      </c>
      <c r="B1646" s="96">
        <f>'review 1 - annotator 2 - eval'!P154</f>
        <v>1</v>
      </c>
    </row>
    <row r="1647">
      <c r="A1647" s="95">
        <f>'review 1 - annotator 1 - eval'!P155</f>
        <v>1</v>
      </c>
      <c r="B1647" s="96">
        <f>'review 1 - annotator 2 - eval'!P155</f>
        <v>1</v>
      </c>
    </row>
    <row r="1648">
      <c r="A1648" s="95">
        <f>'review 1 - annotator 1 - eval'!P156</f>
        <v>1</v>
      </c>
      <c r="B1648" s="96">
        <f>'review 1 - annotator 2 - eval'!P156</f>
        <v>1</v>
      </c>
    </row>
    <row r="1649">
      <c r="A1649" s="95">
        <f>'review 1 - annotator 1 - eval'!P157</f>
        <v>1</v>
      </c>
      <c r="B1649" s="96">
        <f>'review 1 - annotator 2 - eval'!P157</f>
        <v>1</v>
      </c>
    </row>
    <row r="1650">
      <c r="A1650" s="95">
        <f>'review 1 - annotator 1 - eval'!P158</f>
        <v>1</v>
      </c>
      <c r="B1650" s="96">
        <f>'review 1 - annotator 2 - eval'!P158</f>
        <v>1</v>
      </c>
    </row>
    <row r="1651">
      <c r="A1651" s="95">
        <f>'review 1 - annotator 1 - eval'!P159</f>
        <v>1</v>
      </c>
      <c r="B1651" s="96">
        <f>'review 1 - annotator 2 - eval'!P159</f>
        <v>1</v>
      </c>
    </row>
    <row r="1652">
      <c r="A1652" s="95">
        <f>'review 1 - annotator 1 - eval'!P160</f>
        <v>1</v>
      </c>
      <c r="B1652" s="96">
        <f>'review 1 - annotator 2 - eval'!P160</f>
        <v>1</v>
      </c>
    </row>
    <row r="1653">
      <c r="A1653" s="95">
        <f>'review 1 - annotator 1 - eval'!P164</f>
        <v>1</v>
      </c>
      <c r="B1653" s="96">
        <f>'review 1 - annotator 2 - eval'!P164</f>
        <v>0</v>
      </c>
    </row>
    <row r="1654">
      <c r="A1654" s="95">
        <f>'review 1 - annotator 1 - eval'!P165</f>
        <v>1</v>
      </c>
      <c r="B1654" s="96">
        <f>'review 1 - annotator 2 - eval'!P165</f>
        <v>1</v>
      </c>
    </row>
    <row r="1655">
      <c r="A1655" s="95">
        <f>'review 1 - annotator 1 - eval'!P166</f>
        <v>0</v>
      </c>
      <c r="B1655" s="96">
        <f>'review 1 - annotator 2 - eval'!P166</f>
        <v>0</v>
      </c>
    </row>
    <row r="1656">
      <c r="A1656" s="95">
        <f>'review 1 - annotator 1 - eval'!P167</f>
        <v>1</v>
      </c>
      <c r="B1656" s="96">
        <f>'review 1 - annotator 2 - eval'!P167</f>
        <v>1</v>
      </c>
    </row>
    <row r="1657">
      <c r="A1657" s="95">
        <f>'review 1 - annotator 1 - eval'!P168</f>
        <v>1</v>
      </c>
      <c r="B1657" s="96">
        <f>'review 1 - annotator 2 - eval'!P168</f>
        <v>1</v>
      </c>
    </row>
    <row r="1658">
      <c r="A1658" s="95">
        <f>'review 1 - annotator 1 - eval'!P169</f>
        <v>1</v>
      </c>
      <c r="B1658" s="96">
        <f>'review 1 - annotator 2 - eval'!P169</f>
        <v>1</v>
      </c>
    </row>
    <row r="1659">
      <c r="A1659" s="95">
        <f>'review 1 - annotator 1 - eval'!P170</f>
        <v>1</v>
      </c>
      <c r="B1659" s="96">
        <f>'review 1 - annotator 2 - eval'!P170</f>
        <v>1</v>
      </c>
    </row>
    <row r="1660">
      <c r="A1660" s="95">
        <f>'review 1 - annotator 1 - eval'!P174</f>
        <v>0</v>
      </c>
      <c r="B1660" s="96">
        <f>'review 1 - annotator 2 - eval'!P174</f>
        <v>0</v>
      </c>
    </row>
    <row r="1661">
      <c r="A1661" s="95">
        <f>'review 1 - annotator 1 - eval'!P175</f>
        <v>1</v>
      </c>
      <c r="B1661" s="96">
        <f>'review 1 - annotator 2 - eval'!P175</f>
        <v>1</v>
      </c>
    </row>
    <row r="1662">
      <c r="A1662" s="95">
        <f>'review 1 - annotator 1 - eval'!P176</f>
        <v>0</v>
      </c>
      <c r="B1662" s="96">
        <f>'review 1 - annotator 2 - eval'!P176</f>
        <v>0</v>
      </c>
    </row>
    <row r="1663">
      <c r="A1663" s="95">
        <f>'review 1 - annotator 1 - eval'!P177</f>
        <v>0</v>
      </c>
      <c r="B1663" s="96">
        <f>'review 1 - annotator 2 - eval'!P177</f>
        <v>0</v>
      </c>
    </row>
    <row r="1664">
      <c r="A1664" s="95">
        <f>'review 1 - annotator 1 - eval'!P178</f>
        <v>0</v>
      </c>
      <c r="B1664" s="96">
        <f>'review 1 - annotator 2 - eval'!P178</f>
        <v>0</v>
      </c>
    </row>
    <row r="1665">
      <c r="A1665" s="95">
        <f>'review 1 - annotator 1 - eval'!P179</f>
        <v>0</v>
      </c>
      <c r="B1665" s="96">
        <f>'review 1 - annotator 2 - eval'!P179</f>
        <v>0</v>
      </c>
    </row>
    <row r="1666">
      <c r="A1666" s="95">
        <f>'review 1 - annotator 1 - eval'!P180</f>
        <v>0</v>
      </c>
      <c r="B1666" s="96">
        <f>'review 1 - annotator 2 - eval'!P180</f>
        <v>0</v>
      </c>
    </row>
    <row r="1667">
      <c r="A1667" s="95">
        <f>'review 1 - annotator 1 - eval'!P184</f>
        <v>1</v>
      </c>
      <c r="B1667" s="96">
        <f>'review 1 - annotator 2 - eval'!P184</f>
        <v>1</v>
      </c>
    </row>
    <row r="1668">
      <c r="A1668" s="95">
        <f>'review 1 - annotator 1 - eval'!P185</f>
        <v>1</v>
      </c>
      <c r="B1668" s="96">
        <f>'review 1 - annotator 2 - eval'!P185</f>
        <v>1</v>
      </c>
    </row>
    <row r="1669">
      <c r="A1669" s="95">
        <f>'review 1 - annotator 1 - eval'!P186</f>
        <v>1</v>
      </c>
      <c r="B1669" s="96">
        <f>'review 1 - annotator 2 - eval'!P186</f>
        <v>1</v>
      </c>
    </row>
    <row r="1670">
      <c r="A1670" s="95">
        <f>'review 1 - annotator 1 - eval'!P187</f>
        <v>1</v>
      </c>
      <c r="B1670" s="96">
        <f>'review 1 - annotator 2 - eval'!P187</f>
        <v>1</v>
      </c>
    </row>
    <row r="1671">
      <c r="A1671" s="95">
        <f>'review 1 - annotator 1 - eval'!P188</f>
        <v>1</v>
      </c>
      <c r="B1671" s="96">
        <f>'review 1 - annotator 2 - eval'!P188</f>
        <v>1</v>
      </c>
    </row>
    <row r="1672">
      <c r="A1672" s="95">
        <f>'review 1 - annotator 1 - eval'!P189</f>
        <v>1</v>
      </c>
      <c r="B1672" s="96">
        <f>'review 1 - annotator 2 - eval'!P189</f>
        <v>1</v>
      </c>
    </row>
    <row r="1673">
      <c r="A1673" s="95">
        <f>'review 1 - annotator 1 - eval'!P190</f>
        <v>1</v>
      </c>
      <c r="B1673" s="96">
        <f>'review 1 - annotator 2 - eval'!P190</f>
        <v>1</v>
      </c>
    </row>
    <row r="1674">
      <c r="A1674" s="95">
        <f>'review 1 - annotator 1 - eval'!P194</f>
        <v>1</v>
      </c>
      <c r="B1674" s="96">
        <f>'review 1 - annotator 2 - eval'!P194</f>
        <v>1</v>
      </c>
    </row>
    <row r="1675">
      <c r="A1675" s="95">
        <f>'review 1 - annotator 1 - eval'!P195</f>
        <v>1</v>
      </c>
      <c r="B1675" s="96">
        <f>'review 1 - annotator 2 - eval'!P195</f>
        <v>1</v>
      </c>
    </row>
    <row r="1676">
      <c r="A1676" s="95">
        <f>'review 1 - annotator 1 - eval'!P196</f>
        <v>1</v>
      </c>
      <c r="B1676" s="96">
        <f>'review 1 - annotator 2 - eval'!P196</f>
        <v>1</v>
      </c>
    </row>
    <row r="1677">
      <c r="A1677" s="95">
        <f>'review 1 - annotator 1 - eval'!P197</f>
        <v>1</v>
      </c>
      <c r="B1677" s="96">
        <f>'review 1 - annotator 2 - eval'!P197</f>
        <v>1</v>
      </c>
    </row>
    <row r="1678">
      <c r="A1678" s="95">
        <f>'review 1 - annotator 1 - eval'!P198</f>
        <v>1</v>
      </c>
      <c r="B1678" s="96">
        <f>'review 1 - annotator 2 - eval'!P198</f>
        <v>1</v>
      </c>
    </row>
    <row r="1679">
      <c r="A1679" s="95">
        <f>'review 1 - annotator 1 - eval'!P199</f>
        <v>1</v>
      </c>
      <c r="B1679" s="96">
        <f>'review 1 - annotator 2 - eval'!P199</f>
        <v>1</v>
      </c>
    </row>
    <row r="1680">
      <c r="A1680" s="95">
        <f>'review 1 - annotator 1 - eval'!P200</f>
        <v>1</v>
      </c>
      <c r="B1680" s="96">
        <f>'review 1 - annotator 2 - eval'!P200</f>
        <v>1</v>
      </c>
    </row>
    <row r="1681">
      <c r="A1681" s="95">
        <f>'review 1 - annotator 1 - eval'!R4</f>
        <v>1</v>
      </c>
      <c r="B1681" s="96">
        <f>'review 1 - annotator 2 - eval'!R4</f>
        <v>1</v>
      </c>
    </row>
    <row r="1682">
      <c r="A1682" s="95">
        <f>'review 1 - annotator 1 - eval'!R5</f>
        <v>1</v>
      </c>
      <c r="B1682" s="96">
        <f>'review 1 - annotator 2 - eval'!R5</f>
        <v>1</v>
      </c>
    </row>
    <row r="1683">
      <c r="A1683" s="95">
        <f>'review 1 - annotator 1 - eval'!R6</f>
        <v>1</v>
      </c>
      <c r="B1683" s="96">
        <f>'review 1 - annotator 2 - eval'!R6</f>
        <v>1</v>
      </c>
    </row>
    <row r="1684">
      <c r="A1684" s="95">
        <f>'review 1 - annotator 1 - eval'!R7</f>
        <v>1</v>
      </c>
      <c r="B1684" s="96">
        <f>'review 1 - annotator 2 - eval'!R7</f>
        <v>1</v>
      </c>
    </row>
    <row r="1685">
      <c r="A1685" s="95">
        <f>'review 1 - annotator 1 - eval'!R8</f>
        <v>1</v>
      </c>
      <c r="B1685" s="96">
        <f>'review 1 - annotator 2 - eval'!R8</f>
        <v>1</v>
      </c>
    </row>
    <row r="1686">
      <c r="A1686" s="95">
        <f>'review 1 - annotator 1 - eval'!R9</f>
        <v>1</v>
      </c>
      <c r="B1686" s="96">
        <f>'review 1 - annotator 2 - eval'!R9</f>
        <v>1</v>
      </c>
    </row>
    <row r="1687">
      <c r="A1687" s="95">
        <f>'review 1 - annotator 1 - eval'!R10</f>
        <v>1</v>
      </c>
      <c r="B1687" s="96">
        <f>'review 1 - annotator 2 - eval'!R10</f>
        <v>1</v>
      </c>
    </row>
    <row r="1688">
      <c r="A1688" s="95">
        <f>'review 1 - annotator 1 - eval'!R14</f>
        <v>1</v>
      </c>
      <c r="B1688" s="96">
        <f>'review 1 - annotator 2 - eval'!R14</f>
        <v>1</v>
      </c>
    </row>
    <row r="1689">
      <c r="A1689" s="95">
        <f>'review 1 - annotator 1 - eval'!R15</f>
        <v>1</v>
      </c>
      <c r="B1689" s="96">
        <f>'review 1 - annotator 2 - eval'!R15</f>
        <v>1</v>
      </c>
    </row>
    <row r="1690">
      <c r="A1690" s="95">
        <f>'review 1 - annotator 1 - eval'!R16</f>
        <v>1</v>
      </c>
      <c r="B1690" s="96">
        <f>'review 1 - annotator 2 - eval'!R16</f>
        <v>1</v>
      </c>
    </row>
    <row r="1691">
      <c r="A1691" s="95">
        <f>'review 1 - annotator 1 - eval'!R17</f>
        <v>1</v>
      </c>
      <c r="B1691" s="96">
        <f>'review 1 - annotator 2 - eval'!R17</f>
        <v>1</v>
      </c>
    </row>
    <row r="1692">
      <c r="A1692" s="95">
        <f>'review 1 - annotator 1 - eval'!R18</f>
        <v>1</v>
      </c>
      <c r="B1692" s="96">
        <f>'review 1 - annotator 2 - eval'!R18</f>
        <v>1</v>
      </c>
    </row>
    <row r="1693">
      <c r="A1693" s="95">
        <f>'review 1 - annotator 1 - eval'!R19</f>
        <v>1</v>
      </c>
      <c r="B1693" s="96">
        <f>'review 1 - annotator 2 - eval'!R19</f>
        <v>1</v>
      </c>
    </row>
    <row r="1694">
      <c r="A1694" s="95">
        <f>'review 1 - annotator 1 - eval'!R20</f>
        <v>1</v>
      </c>
      <c r="B1694" s="96">
        <f>'review 1 - annotator 2 - eval'!R20</f>
        <v>1</v>
      </c>
    </row>
    <row r="1695">
      <c r="A1695" s="95">
        <f>'review 1 - annotator 1 - eval'!R24</f>
        <v>0</v>
      </c>
      <c r="B1695" s="96">
        <f>'review 1 - annotator 2 - eval'!R24</f>
        <v>0</v>
      </c>
    </row>
    <row r="1696">
      <c r="A1696" s="95">
        <f>'review 1 - annotator 1 - eval'!R25</f>
        <v>1</v>
      </c>
      <c r="B1696" s="96">
        <f>'review 1 - annotator 2 - eval'!R25</f>
        <v>1</v>
      </c>
    </row>
    <row r="1697">
      <c r="A1697" s="95">
        <f>'review 1 - annotator 1 - eval'!R26</f>
        <v>0</v>
      </c>
      <c r="B1697" s="96">
        <f>'review 1 - annotator 2 - eval'!R26</f>
        <v>0</v>
      </c>
    </row>
    <row r="1698">
      <c r="A1698" s="95">
        <f>'review 1 - annotator 1 - eval'!R27</f>
        <v>1</v>
      </c>
      <c r="B1698" s="96">
        <f>'review 1 - annotator 2 - eval'!R27</f>
        <v>1</v>
      </c>
    </row>
    <row r="1699">
      <c r="A1699" s="95">
        <f>'review 1 - annotator 1 - eval'!R28</f>
        <v>1</v>
      </c>
      <c r="B1699" s="96">
        <f>'review 1 - annotator 2 - eval'!R28</f>
        <v>1</v>
      </c>
    </row>
    <row r="1700">
      <c r="A1700" s="95">
        <f>'review 1 - annotator 1 - eval'!R29</f>
        <v>1</v>
      </c>
      <c r="B1700" s="96">
        <f>'review 1 - annotator 2 - eval'!R29</f>
        <v>1</v>
      </c>
    </row>
    <row r="1701">
      <c r="A1701" s="95">
        <f>'review 1 - annotator 1 - eval'!R30</f>
        <v>1</v>
      </c>
      <c r="B1701" s="96">
        <f>'review 1 - annotator 2 - eval'!R30</f>
        <v>1</v>
      </c>
    </row>
    <row r="1702">
      <c r="A1702" s="95">
        <f>'review 1 - annotator 1 - eval'!R34</f>
        <v>1</v>
      </c>
      <c r="B1702" s="96">
        <f>'review 1 - annotator 2 - eval'!R34</f>
        <v>0</v>
      </c>
    </row>
    <row r="1703">
      <c r="A1703" s="95">
        <f>'review 1 - annotator 1 - eval'!R35</f>
        <v>1</v>
      </c>
      <c r="B1703" s="96">
        <f>'review 1 - annotator 2 - eval'!R35</f>
        <v>0</v>
      </c>
    </row>
    <row r="1704">
      <c r="A1704" s="95">
        <f>'review 1 - annotator 1 - eval'!R36</f>
        <v>1</v>
      </c>
      <c r="B1704" s="96">
        <f>'review 1 - annotator 2 - eval'!R36</f>
        <v>0</v>
      </c>
    </row>
    <row r="1705">
      <c r="A1705" s="95">
        <f>'review 1 - annotator 1 - eval'!R37</f>
        <v>1</v>
      </c>
      <c r="B1705" s="96">
        <f>'review 1 - annotator 2 - eval'!R37</f>
        <v>0</v>
      </c>
    </row>
    <row r="1706">
      <c r="A1706" s="95">
        <f>'review 1 - annotator 1 - eval'!R38</f>
        <v>0</v>
      </c>
      <c r="B1706" s="96">
        <f>'review 1 - annotator 2 - eval'!R38</f>
        <v>1</v>
      </c>
    </row>
    <row r="1707">
      <c r="A1707" s="95">
        <f>'review 1 - annotator 1 - eval'!R39</f>
        <v>1</v>
      </c>
      <c r="B1707" s="96">
        <f>'review 1 - annotator 2 - eval'!R39</f>
        <v>1</v>
      </c>
    </row>
    <row r="1708">
      <c r="A1708" s="95">
        <f>'review 1 - annotator 1 - eval'!R40</f>
        <v>1</v>
      </c>
      <c r="B1708" s="96">
        <f>'review 1 - annotator 2 - eval'!R40</f>
        <v>1</v>
      </c>
    </row>
    <row r="1709">
      <c r="A1709" s="95">
        <f>'review 1 - annotator 1 - eval'!R44</f>
        <v>1</v>
      </c>
      <c r="B1709" s="96">
        <f>'review 1 - annotator 2 - eval'!R44</f>
        <v>1</v>
      </c>
    </row>
    <row r="1710">
      <c r="A1710" s="95">
        <f>'review 1 - annotator 1 - eval'!R45</f>
        <v>1</v>
      </c>
      <c r="B1710" s="96">
        <f>'review 1 - annotator 2 - eval'!R45</f>
        <v>1</v>
      </c>
    </row>
    <row r="1711">
      <c r="A1711" s="95">
        <f>'review 1 - annotator 1 - eval'!R46</f>
        <v>1</v>
      </c>
      <c r="B1711" s="96">
        <f>'review 1 - annotator 2 - eval'!R46</f>
        <v>1</v>
      </c>
    </row>
    <row r="1712">
      <c r="A1712" s="95">
        <f>'review 1 - annotator 1 - eval'!R47</f>
        <v>1</v>
      </c>
      <c r="B1712" s="96">
        <f>'review 1 - annotator 2 - eval'!R47</f>
        <v>1</v>
      </c>
    </row>
    <row r="1713">
      <c r="A1713" s="95">
        <f>'review 1 - annotator 1 - eval'!R48</f>
        <v>1</v>
      </c>
      <c r="B1713" s="96">
        <f>'review 1 - annotator 2 - eval'!R48</f>
        <v>1</v>
      </c>
    </row>
    <row r="1714">
      <c r="A1714" s="95">
        <f>'review 1 - annotator 1 - eval'!R49</f>
        <v>1</v>
      </c>
      <c r="B1714" s="96">
        <f>'review 1 - annotator 2 - eval'!R49</f>
        <v>1</v>
      </c>
    </row>
    <row r="1715">
      <c r="A1715" s="95">
        <f>'review 1 - annotator 1 - eval'!R50</f>
        <v>1</v>
      </c>
      <c r="B1715" s="96">
        <f>'review 1 - annotator 2 - eval'!R50</f>
        <v>1</v>
      </c>
    </row>
    <row r="1716">
      <c r="A1716" s="95">
        <f>'review 1 - annotator 1 - eval'!R54</f>
        <v>1</v>
      </c>
      <c r="B1716" s="96">
        <f>'review 1 - annotator 2 - eval'!R54</f>
        <v>1</v>
      </c>
    </row>
    <row r="1717">
      <c r="A1717" s="95">
        <f>'review 1 - annotator 1 - eval'!R55</f>
        <v>1</v>
      </c>
      <c r="B1717" s="96">
        <f>'review 1 - annotator 2 - eval'!R55</f>
        <v>1</v>
      </c>
    </row>
    <row r="1718">
      <c r="A1718" s="95">
        <f>'review 1 - annotator 1 - eval'!R56</f>
        <v>1</v>
      </c>
      <c r="B1718" s="96">
        <f>'review 1 - annotator 2 - eval'!R56</f>
        <v>1</v>
      </c>
    </row>
    <row r="1719">
      <c r="A1719" s="95">
        <f>'review 1 - annotator 1 - eval'!R57</f>
        <v>1</v>
      </c>
      <c r="B1719" s="96">
        <f>'review 1 - annotator 2 - eval'!R57</f>
        <v>1</v>
      </c>
    </row>
    <row r="1720">
      <c r="A1720" s="95">
        <f>'review 1 - annotator 1 - eval'!R58</f>
        <v>1</v>
      </c>
      <c r="B1720" s="96">
        <f>'review 1 - annotator 2 - eval'!R58</f>
        <v>1</v>
      </c>
    </row>
    <row r="1721">
      <c r="A1721" s="95">
        <f>'review 1 - annotator 1 - eval'!R59</f>
        <v>1</v>
      </c>
      <c r="B1721" s="96">
        <f>'review 1 - annotator 2 - eval'!R59</f>
        <v>1</v>
      </c>
    </row>
    <row r="1722">
      <c r="A1722" s="95">
        <f>'review 1 - annotator 1 - eval'!R60</f>
        <v>1</v>
      </c>
      <c r="B1722" s="96">
        <f>'review 1 - annotator 2 - eval'!R60</f>
        <v>1</v>
      </c>
    </row>
    <row r="1723">
      <c r="A1723" s="95">
        <f>'review 1 - annotator 1 - eval'!R64</f>
        <v>1</v>
      </c>
      <c r="B1723" s="96">
        <f>'review 1 - annotator 2 - eval'!R64</f>
        <v>0</v>
      </c>
    </row>
    <row r="1724">
      <c r="A1724" s="95">
        <f>'review 1 - annotator 1 - eval'!R65</f>
        <v>1</v>
      </c>
      <c r="B1724" s="96">
        <f>'review 1 - annotator 2 - eval'!R65</f>
        <v>1</v>
      </c>
    </row>
    <row r="1725">
      <c r="A1725" s="95">
        <f>'review 1 - annotator 1 - eval'!R66</f>
        <v>1</v>
      </c>
      <c r="B1725" s="96">
        <f>'review 1 - annotator 2 - eval'!R66</f>
        <v>1</v>
      </c>
    </row>
    <row r="1726">
      <c r="A1726" s="95">
        <f>'review 1 - annotator 1 - eval'!R67</f>
        <v>1</v>
      </c>
      <c r="B1726" s="96">
        <f>'review 1 - annotator 2 - eval'!R67</f>
        <v>1</v>
      </c>
    </row>
    <row r="1727">
      <c r="A1727" s="95">
        <f>'review 1 - annotator 1 - eval'!R68</f>
        <v>1</v>
      </c>
      <c r="B1727" s="96">
        <f>'review 1 - annotator 2 - eval'!R68</f>
        <v>1</v>
      </c>
    </row>
    <row r="1728">
      <c r="A1728" s="95">
        <f>'review 1 - annotator 1 - eval'!R69</f>
        <v>1</v>
      </c>
      <c r="B1728" s="96">
        <f>'review 1 - annotator 2 - eval'!R69</f>
        <v>1</v>
      </c>
    </row>
    <row r="1729">
      <c r="A1729" s="95">
        <f>'review 1 - annotator 1 - eval'!R70</f>
        <v>1</v>
      </c>
      <c r="B1729" s="96">
        <f>'review 1 - annotator 2 - eval'!R70</f>
        <v>1</v>
      </c>
    </row>
    <row r="1730">
      <c r="A1730" s="95">
        <f>'review 1 - annotator 1 - eval'!R74</f>
        <v>0</v>
      </c>
      <c r="B1730" s="96">
        <f>'review 1 - annotator 2 - eval'!R74</f>
        <v>1</v>
      </c>
    </row>
    <row r="1731">
      <c r="A1731" s="95">
        <f>'review 1 - annotator 1 - eval'!R75</f>
        <v>1</v>
      </c>
      <c r="B1731" s="96">
        <f>'review 1 - annotator 2 - eval'!R75</f>
        <v>1</v>
      </c>
    </row>
    <row r="1732">
      <c r="A1732" s="95">
        <f>'review 1 - annotator 1 - eval'!R76</f>
        <v>0</v>
      </c>
      <c r="B1732" s="96">
        <f>'review 1 - annotator 2 - eval'!R76</f>
        <v>0</v>
      </c>
    </row>
    <row r="1733">
      <c r="A1733" s="95">
        <f>'review 1 - annotator 1 - eval'!R77</f>
        <v>1</v>
      </c>
      <c r="B1733" s="96">
        <f>'review 1 - annotator 2 - eval'!R77</f>
        <v>1</v>
      </c>
    </row>
    <row r="1734">
      <c r="A1734" s="95">
        <f>'review 1 - annotator 1 - eval'!R78</f>
        <v>1</v>
      </c>
      <c r="B1734" s="96">
        <f>'review 1 - annotator 2 - eval'!R78</f>
        <v>1</v>
      </c>
    </row>
    <row r="1735">
      <c r="A1735" s="95">
        <f>'review 1 - annotator 1 - eval'!R79</f>
        <v>1</v>
      </c>
      <c r="B1735" s="96">
        <f>'review 1 - annotator 2 - eval'!R79</f>
        <v>1</v>
      </c>
    </row>
    <row r="1736">
      <c r="A1736" s="95">
        <f>'review 1 - annotator 1 - eval'!R80</f>
        <v>1</v>
      </c>
      <c r="B1736" s="96">
        <f>'review 1 - annotator 2 - eval'!R80</f>
        <v>1</v>
      </c>
    </row>
    <row r="1737">
      <c r="A1737" s="95">
        <f>'review 1 - annotator 1 - eval'!R84</f>
        <v>0</v>
      </c>
      <c r="B1737" s="96">
        <f>'review 1 - annotator 2 - eval'!R84</f>
        <v>1</v>
      </c>
    </row>
    <row r="1738">
      <c r="A1738" s="95">
        <f>'review 1 - annotator 1 - eval'!R85</f>
        <v>0</v>
      </c>
      <c r="B1738" s="96">
        <f>'review 1 - annotator 2 - eval'!R85</f>
        <v>1</v>
      </c>
    </row>
    <row r="1739">
      <c r="A1739" s="95">
        <f>'review 1 - annotator 1 - eval'!R86</f>
        <v>0</v>
      </c>
      <c r="B1739" s="96">
        <f>'review 1 - annotator 2 - eval'!R86</f>
        <v>1</v>
      </c>
    </row>
    <row r="1740">
      <c r="A1740" s="95">
        <f>'review 1 - annotator 1 - eval'!R87</f>
        <v>0</v>
      </c>
      <c r="B1740" s="96">
        <f>'review 1 - annotator 2 - eval'!R87</f>
        <v>1</v>
      </c>
    </row>
    <row r="1741">
      <c r="A1741" s="95">
        <f>'review 1 - annotator 1 - eval'!R88</f>
        <v>0</v>
      </c>
      <c r="B1741" s="96">
        <f>'review 1 - annotator 2 - eval'!R88</f>
        <v>1</v>
      </c>
    </row>
    <row r="1742">
      <c r="A1742" s="95">
        <f>'review 1 - annotator 1 - eval'!R89</f>
        <v>0</v>
      </c>
      <c r="B1742" s="96">
        <f>'review 1 - annotator 2 - eval'!R89</f>
        <v>1</v>
      </c>
    </row>
    <row r="1743">
      <c r="A1743" s="95">
        <f>'review 1 - annotator 1 - eval'!R90</f>
        <v>0</v>
      </c>
      <c r="B1743" s="96">
        <f>'review 1 - annotator 2 - eval'!R90</f>
        <v>1</v>
      </c>
    </row>
    <row r="1744">
      <c r="A1744" s="95">
        <f>'review 1 - annotator 1 - eval'!R94</f>
        <v>1</v>
      </c>
      <c r="B1744" s="96">
        <f>'review 1 - annotator 2 - eval'!R94</f>
        <v>1</v>
      </c>
    </row>
    <row r="1745">
      <c r="A1745" s="95">
        <f>'review 1 - annotator 1 - eval'!R95</f>
        <v>1</v>
      </c>
      <c r="B1745" s="96">
        <f>'review 1 - annotator 2 - eval'!R95</f>
        <v>1</v>
      </c>
    </row>
    <row r="1746">
      <c r="A1746" s="95">
        <f>'review 1 - annotator 1 - eval'!R96</f>
        <v>1</v>
      </c>
      <c r="B1746" s="96">
        <f>'review 1 - annotator 2 - eval'!R96</f>
        <v>1</v>
      </c>
    </row>
    <row r="1747">
      <c r="A1747" s="95">
        <f>'review 1 - annotator 1 - eval'!R97</f>
        <v>1</v>
      </c>
      <c r="B1747" s="96">
        <f>'review 1 - annotator 2 - eval'!R97</f>
        <v>1</v>
      </c>
    </row>
    <row r="1748">
      <c r="A1748" s="95">
        <f>'review 1 - annotator 1 - eval'!R98</f>
        <v>1</v>
      </c>
      <c r="B1748" s="96">
        <f>'review 1 - annotator 2 - eval'!R98</f>
        <v>1</v>
      </c>
    </row>
    <row r="1749">
      <c r="A1749" s="95">
        <f>'review 1 - annotator 1 - eval'!R99</f>
        <v>1</v>
      </c>
      <c r="B1749" s="96">
        <f>'review 1 - annotator 2 - eval'!R99</f>
        <v>1</v>
      </c>
    </row>
    <row r="1750">
      <c r="A1750" s="95">
        <f>'review 1 - annotator 1 - eval'!R100</f>
        <v>1</v>
      </c>
      <c r="B1750" s="96">
        <f>'review 1 - annotator 2 - eval'!R100</f>
        <v>1</v>
      </c>
    </row>
    <row r="1751">
      <c r="A1751" s="95">
        <f>'review 1 - annotator 1 - eval'!R104</f>
        <v>1</v>
      </c>
      <c r="B1751" s="96">
        <f>'review 1 - annotator 2 - eval'!R104</f>
        <v>1</v>
      </c>
    </row>
    <row r="1752">
      <c r="A1752" s="95">
        <f>'review 1 - annotator 1 - eval'!R105</f>
        <v>1</v>
      </c>
      <c r="B1752" s="96">
        <f>'review 1 - annotator 2 - eval'!R105</f>
        <v>1</v>
      </c>
    </row>
    <row r="1753">
      <c r="A1753" s="95">
        <f>'review 1 - annotator 1 - eval'!R106</f>
        <v>1</v>
      </c>
      <c r="B1753" s="96">
        <f>'review 1 - annotator 2 - eval'!R106</f>
        <v>1</v>
      </c>
    </row>
    <row r="1754">
      <c r="A1754" s="95">
        <f>'review 1 - annotator 1 - eval'!R107</f>
        <v>1</v>
      </c>
      <c r="B1754" s="96">
        <f>'review 1 - annotator 2 - eval'!R107</f>
        <v>1</v>
      </c>
    </row>
    <row r="1755">
      <c r="A1755" s="95">
        <f>'review 1 - annotator 1 - eval'!R108</f>
        <v>1</v>
      </c>
      <c r="B1755" s="96">
        <f>'review 1 - annotator 2 - eval'!R108</f>
        <v>1</v>
      </c>
    </row>
    <row r="1756">
      <c r="A1756" s="95">
        <f>'review 1 - annotator 1 - eval'!R109</f>
        <v>1</v>
      </c>
      <c r="B1756" s="96">
        <f>'review 1 - annotator 2 - eval'!R109</f>
        <v>1</v>
      </c>
    </row>
    <row r="1757">
      <c r="A1757" s="95">
        <f>'review 1 - annotator 1 - eval'!R110</f>
        <v>1</v>
      </c>
      <c r="B1757" s="96">
        <f>'review 1 - annotator 2 - eval'!R110</f>
        <v>1</v>
      </c>
    </row>
    <row r="1758">
      <c r="A1758" s="95">
        <f>'review 1 - annotator 1 - eval'!R114</f>
        <v>0</v>
      </c>
      <c r="B1758" s="96">
        <f>'review 1 - annotator 2 - eval'!R114</f>
        <v>0</v>
      </c>
    </row>
    <row r="1759">
      <c r="A1759" s="95">
        <f>'review 1 - annotator 1 - eval'!R115</f>
        <v>0</v>
      </c>
      <c r="B1759" s="96">
        <f>'review 1 - annotator 2 - eval'!R115</f>
        <v>0</v>
      </c>
    </row>
    <row r="1760">
      <c r="A1760" s="95">
        <f>'review 1 - annotator 1 - eval'!R116</f>
        <v>0</v>
      </c>
      <c r="B1760" s="96">
        <f>'review 1 - annotator 2 - eval'!R116</f>
        <v>0</v>
      </c>
    </row>
    <row r="1761">
      <c r="A1761" s="95">
        <f>'review 1 - annotator 1 - eval'!R117</f>
        <v>0</v>
      </c>
      <c r="B1761" s="96">
        <f>'review 1 - annotator 2 - eval'!R117</f>
        <v>0</v>
      </c>
    </row>
    <row r="1762">
      <c r="A1762" s="95">
        <f>'review 1 - annotator 1 - eval'!R118</f>
        <v>0</v>
      </c>
      <c r="B1762" s="96">
        <f>'review 1 - annotator 2 - eval'!R118</f>
        <v>0</v>
      </c>
    </row>
    <row r="1763">
      <c r="A1763" s="95">
        <f>'review 1 - annotator 1 - eval'!R119</f>
        <v>0</v>
      </c>
      <c r="B1763" s="96">
        <f>'review 1 - annotator 2 - eval'!R119</f>
        <v>0</v>
      </c>
    </row>
    <row r="1764">
      <c r="A1764" s="95">
        <f>'review 1 - annotator 1 - eval'!R120</f>
        <v>0</v>
      </c>
      <c r="B1764" s="96">
        <f>'review 1 - annotator 2 - eval'!R120</f>
        <v>0</v>
      </c>
    </row>
    <row r="1765">
      <c r="A1765" s="95">
        <f>'review 1 - annotator 1 - eval'!R124</f>
        <v>1</v>
      </c>
      <c r="B1765" s="96">
        <f>'review 1 - annotator 2 - eval'!R124</f>
        <v>0</v>
      </c>
    </row>
    <row r="1766">
      <c r="A1766" s="95">
        <f>'review 1 - annotator 1 - eval'!R125</f>
        <v>1</v>
      </c>
      <c r="B1766" s="96">
        <f>'review 1 - annotator 2 - eval'!R125</f>
        <v>1</v>
      </c>
    </row>
    <row r="1767">
      <c r="A1767" s="95">
        <f>'review 1 - annotator 1 - eval'!R126</f>
        <v>1</v>
      </c>
      <c r="B1767" s="96">
        <f>'review 1 - annotator 2 - eval'!R126</f>
        <v>0</v>
      </c>
    </row>
    <row r="1768">
      <c r="A1768" s="95">
        <f>'review 1 - annotator 1 - eval'!R127</f>
        <v>1</v>
      </c>
      <c r="B1768" s="96">
        <f>'review 1 - annotator 2 - eval'!R127</f>
        <v>1</v>
      </c>
    </row>
    <row r="1769">
      <c r="A1769" s="95">
        <f>'review 1 - annotator 1 - eval'!R128</f>
        <v>1</v>
      </c>
      <c r="B1769" s="96">
        <f>'review 1 - annotator 2 - eval'!R128</f>
        <v>0</v>
      </c>
    </row>
    <row r="1770">
      <c r="A1770" s="95">
        <f>'review 1 - annotator 1 - eval'!R129</f>
        <v>1</v>
      </c>
      <c r="B1770" s="96">
        <f>'review 1 - annotator 2 - eval'!R129</f>
        <v>1</v>
      </c>
    </row>
    <row r="1771">
      <c r="A1771" s="95">
        <f>'review 1 - annotator 1 - eval'!R130</f>
        <v>1</v>
      </c>
      <c r="B1771" s="96">
        <f>'review 1 - annotator 2 - eval'!R130</f>
        <v>1</v>
      </c>
    </row>
    <row r="1772">
      <c r="A1772" s="95">
        <f>'review 1 - annotator 1 - eval'!R134</f>
        <v>1</v>
      </c>
      <c r="B1772" s="96">
        <f>'review 1 - annotator 2 - eval'!R134</f>
        <v>1</v>
      </c>
    </row>
    <row r="1773">
      <c r="A1773" s="95">
        <f>'review 1 - annotator 1 - eval'!R135</f>
        <v>1</v>
      </c>
      <c r="B1773" s="96">
        <f>'review 1 - annotator 2 - eval'!R135</f>
        <v>1</v>
      </c>
    </row>
    <row r="1774">
      <c r="A1774" s="95">
        <f>'review 1 - annotator 1 - eval'!R136</f>
        <v>1</v>
      </c>
      <c r="B1774" s="96">
        <f>'review 1 - annotator 2 - eval'!R136</f>
        <v>1</v>
      </c>
    </row>
    <row r="1775">
      <c r="A1775" s="95">
        <f>'review 1 - annotator 1 - eval'!R137</f>
        <v>1</v>
      </c>
      <c r="B1775" s="96">
        <f>'review 1 - annotator 2 - eval'!R137</f>
        <v>1</v>
      </c>
    </row>
    <row r="1776">
      <c r="A1776" s="95">
        <f>'review 1 - annotator 1 - eval'!R138</f>
        <v>1</v>
      </c>
      <c r="B1776" s="96">
        <f>'review 1 - annotator 2 - eval'!R138</f>
        <v>1</v>
      </c>
    </row>
    <row r="1777">
      <c r="A1777" s="95">
        <f>'review 1 - annotator 1 - eval'!R139</f>
        <v>1</v>
      </c>
      <c r="B1777" s="96">
        <f>'review 1 - annotator 2 - eval'!R139</f>
        <v>1</v>
      </c>
    </row>
    <row r="1778">
      <c r="A1778" s="95">
        <f>'review 1 - annotator 1 - eval'!R140</f>
        <v>1</v>
      </c>
      <c r="B1778" s="96">
        <f>'review 1 - annotator 2 - eval'!R140</f>
        <v>1</v>
      </c>
    </row>
    <row r="1779">
      <c r="A1779" s="95">
        <f>'review 1 - annotator 1 - eval'!R144</f>
        <v>1</v>
      </c>
      <c r="B1779" s="96">
        <f>'review 1 - annotator 2 - eval'!R144</f>
        <v>1</v>
      </c>
    </row>
    <row r="1780">
      <c r="A1780" s="95">
        <f>'review 1 - annotator 1 - eval'!R145</f>
        <v>1</v>
      </c>
      <c r="B1780" s="96">
        <f>'review 1 - annotator 2 - eval'!R145</f>
        <v>1</v>
      </c>
    </row>
    <row r="1781">
      <c r="A1781" s="95">
        <f>'review 1 - annotator 1 - eval'!R146</f>
        <v>0</v>
      </c>
      <c r="B1781" s="96">
        <f>'review 1 - annotator 2 - eval'!R146</f>
        <v>1</v>
      </c>
    </row>
    <row r="1782">
      <c r="A1782" s="95">
        <f>'review 1 - annotator 1 - eval'!R147</f>
        <v>1</v>
      </c>
      <c r="B1782" s="96">
        <f>'review 1 - annotator 2 - eval'!R147</f>
        <v>1</v>
      </c>
    </row>
    <row r="1783">
      <c r="A1783" s="95">
        <f>'review 1 - annotator 1 - eval'!R148</f>
        <v>1</v>
      </c>
      <c r="B1783" s="96">
        <f>'review 1 - annotator 2 - eval'!R148</f>
        <v>1</v>
      </c>
    </row>
    <row r="1784">
      <c r="A1784" s="95">
        <f>'review 1 - annotator 1 - eval'!R149</f>
        <v>1</v>
      </c>
      <c r="B1784" s="96">
        <f>'review 1 - annotator 2 - eval'!R149</f>
        <v>1</v>
      </c>
    </row>
    <row r="1785">
      <c r="A1785" s="95">
        <f>'review 1 - annotator 1 - eval'!R150</f>
        <v>1</v>
      </c>
      <c r="B1785" s="96">
        <f>'review 1 - annotator 2 - eval'!R150</f>
        <v>1</v>
      </c>
    </row>
    <row r="1786">
      <c r="A1786" s="95">
        <f>'review 1 - annotator 1 - eval'!R154</f>
        <v>1</v>
      </c>
      <c r="B1786" s="96">
        <f>'review 1 - annotator 2 - eval'!R154</f>
        <v>1</v>
      </c>
    </row>
    <row r="1787">
      <c r="A1787" s="95">
        <f>'review 1 - annotator 1 - eval'!R155</f>
        <v>1</v>
      </c>
      <c r="B1787" s="96">
        <f>'review 1 - annotator 2 - eval'!R155</f>
        <v>1</v>
      </c>
    </row>
    <row r="1788">
      <c r="A1788" s="95">
        <f>'review 1 - annotator 1 - eval'!R156</f>
        <v>1</v>
      </c>
      <c r="B1788" s="96">
        <f>'review 1 - annotator 2 - eval'!R156</f>
        <v>1</v>
      </c>
    </row>
    <row r="1789">
      <c r="A1789" s="95">
        <f>'review 1 - annotator 1 - eval'!R157</f>
        <v>1</v>
      </c>
      <c r="B1789" s="96">
        <f>'review 1 - annotator 2 - eval'!R157</f>
        <v>1</v>
      </c>
    </row>
    <row r="1790">
      <c r="A1790" s="95">
        <f>'review 1 - annotator 1 - eval'!R158</f>
        <v>1</v>
      </c>
      <c r="B1790" s="96">
        <f>'review 1 - annotator 2 - eval'!R158</f>
        <v>1</v>
      </c>
    </row>
    <row r="1791">
      <c r="A1791" s="95">
        <f>'review 1 - annotator 1 - eval'!R159</f>
        <v>1</v>
      </c>
      <c r="B1791" s="96">
        <f>'review 1 - annotator 2 - eval'!R159</f>
        <v>1</v>
      </c>
    </row>
    <row r="1792">
      <c r="A1792" s="95">
        <f>'review 1 - annotator 1 - eval'!R160</f>
        <v>1</v>
      </c>
      <c r="B1792" s="96">
        <f>'review 1 - annotator 2 - eval'!R160</f>
        <v>1</v>
      </c>
    </row>
    <row r="1793">
      <c r="A1793" s="95">
        <f>'review 1 - annotator 1 - eval'!R164</f>
        <v>0</v>
      </c>
      <c r="B1793" s="96">
        <f>'review 1 - annotator 2 - eval'!R164</f>
        <v>1</v>
      </c>
    </row>
    <row r="1794">
      <c r="A1794" s="95">
        <f>'review 1 - annotator 1 - eval'!R165</f>
        <v>1</v>
      </c>
      <c r="B1794" s="96">
        <f>'review 1 - annotator 2 - eval'!R165</f>
        <v>1</v>
      </c>
    </row>
    <row r="1795">
      <c r="A1795" s="95">
        <f>'review 1 - annotator 1 - eval'!R166</f>
        <v>0</v>
      </c>
      <c r="B1795" s="96">
        <f>'review 1 - annotator 2 - eval'!R166</f>
        <v>0</v>
      </c>
    </row>
    <row r="1796">
      <c r="A1796" s="95">
        <f>'review 1 - annotator 1 - eval'!R167</f>
        <v>1</v>
      </c>
      <c r="B1796" s="96">
        <f>'review 1 - annotator 2 - eval'!R167</f>
        <v>1</v>
      </c>
    </row>
    <row r="1797">
      <c r="A1797" s="95">
        <f>'review 1 - annotator 1 - eval'!R168</f>
        <v>0</v>
      </c>
      <c r="B1797" s="96">
        <f>'review 1 - annotator 2 - eval'!R168</f>
        <v>1</v>
      </c>
    </row>
    <row r="1798">
      <c r="A1798" s="95">
        <f>'review 1 - annotator 1 - eval'!R169</f>
        <v>1</v>
      </c>
      <c r="B1798" s="96">
        <f>'review 1 - annotator 2 - eval'!R169</f>
        <v>1</v>
      </c>
    </row>
    <row r="1799">
      <c r="A1799" s="95">
        <f>'review 1 - annotator 1 - eval'!R170</f>
        <v>1</v>
      </c>
      <c r="B1799" s="96">
        <f>'review 1 - annotator 2 - eval'!R170</f>
        <v>1</v>
      </c>
    </row>
    <row r="1800">
      <c r="A1800" s="95">
        <f>'review 1 - annotator 1 - eval'!R174</f>
        <v>1</v>
      </c>
      <c r="B1800" s="96">
        <f>'review 1 - annotator 2 - eval'!R174</f>
        <v>1</v>
      </c>
    </row>
    <row r="1801">
      <c r="A1801" s="95">
        <f>'review 1 - annotator 1 - eval'!R175</f>
        <v>1</v>
      </c>
      <c r="B1801" s="96">
        <f>'review 1 - annotator 2 - eval'!R175</f>
        <v>1</v>
      </c>
    </row>
    <row r="1802">
      <c r="A1802" s="95">
        <f>'review 1 - annotator 1 - eval'!R176</f>
        <v>1</v>
      </c>
      <c r="B1802" s="96">
        <f>'review 1 - annotator 2 - eval'!R176</f>
        <v>1</v>
      </c>
    </row>
    <row r="1803">
      <c r="A1803" s="95">
        <f>'review 1 - annotator 1 - eval'!R177</f>
        <v>1</v>
      </c>
      <c r="B1803" s="96">
        <f>'review 1 - annotator 2 - eval'!R177</f>
        <v>1</v>
      </c>
    </row>
    <row r="1804">
      <c r="A1804" s="95">
        <f>'review 1 - annotator 1 - eval'!R178</f>
        <v>1</v>
      </c>
      <c r="B1804" s="96">
        <f>'review 1 - annotator 2 - eval'!R178</f>
        <v>1</v>
      </c>
    </row>
    <row r="1805">
      <c r="A1805" s="95">
        <f>'review 1 - annotator 1 - eval'!R179</f>
        <v>1</v>
      </c>
      <c r="B1805" s="96">
        <f>'review 1 - annotator 2 - eval'!R179</f>
        <v>1</v>
      </c>
    </row>
    <row r="1806">
      <c r="A1806" s="95">
        <f>'review 1 - annotator 1 - eval'!R180</f>
        <v>1</v>
      </c>
      <c r="B1806" s="96">
        <f>'review 1 - annotator 2 - eval'!R180</f>
        <v>1</v>
      </c>
    </row>
    <row r="1807">
      <c r="A1807" s="95">
        <f>'review 1 - annotator 1 - eval'!R184</f>
        <v>1</v>
      </c>
      <c r="B1807" s="96">
        <f>'review 1 - annotator 2 - eval'!R184</f>
        <v>1</v>
      </c>
    </row>
    <row r="1808">
      <c r="A1808" s="95">
        <f>'review 1 - annotator 1 - eval'!R185</f>
        <v>1</v>
      </c>
      <c r="B1808" s="96">
        <f>'review 1 - annotator 2 - eval'!R185</f>
        <v>1</v>
      </c>
    </row>
    <row r="1809">
      <c r="A1809" s="95">
        <f>'review 1 - annotator 1 - eval'!R186</f>
        <v>1</v>
      </c>
      <c r="B1809" s="96">
        <f>'review 1 - annotator 2 - eval'!R186</f>
        <v>1</v>
      </c>
    </row>
    <row r="1810">
      <c r="A1810" s="95">
        <f>'review 1 - annotator 1 - eval'!R187</f>
        <v>1</v>
      </c>
      <c r="B1810" s="96">
        <f>'review 1 - annotator 2 - eval'!R187</f>
        <v>1</v>
      </c>
    </row>
    <row r="1811">
      <c r="A1811" s="95">
        <f>'review 1 - annotator 1 - eval'!R188</f>
        <v>1</v>
      </c>
      <c r="B1811" s="96">
        <f>'review 1 - annotator 2 - eval'!R188</f>
        <v>1</v>
      </c>
    </row>
    <row r="1812">
      <c r="A1812" s="95">
        <f>'review 1 - annotator 1 - eval'!R189</f>
        <v>1</v>
      </c>
      <c r="B1812" s="96">
        <f>'review 1 - annotator 2 - eval'!R189</f>
        <v>1</v>
      </c>
    </row>
    <row r="1813">
      <c r="A1813" s="95">
        <f>'review 1 - annotator 1 - eval'!R190</f>
        <v>1</v>
      </c>
      <c r="B1813" s="96">
        <f>'review 1 - annotator 2 - eval'!R190</f>
        <v>1</v>
      </c>
    </row>
    <row r="1814">
      <c r="A1814" s="95">
        <f>'review 1 - annotator 1 - eval'!R194</f>
        <v>1</v>
      </c>
      <c r="B1814" s="96">
        <f>'review 1 - annotator 2 - eval'!R194</f>
        <v>1</v>
      </c>
    </row>
    <row r="1815">
      <c r="A1815" s="95">
        <f>'review 1 - annotator 1 - eval'!R195</f>
        <v>1</v>
      </c>
      <c r="B1815" s="96">
        <f>'review 1 - annotator 2 - eval'!R195</f>
        <v>1</v>
      </c>
    </row>
    <row r="1816">
      <c r="A1816" s="95">
        <f>'review 1 - annotator 1 - eval'!R196</f>
        <v>1</v>
      </c>
      <c r="B1816" s="96">
        <f>'review 1 - annotator 2 - eval'!R196</f>
        <v>1</v>
      </c>
    </row>
    <row r="1817">
      <c r="A1817" s="95">
        <f>'review 1 - annotator 1 - eval'!R197</f>
        <v>1</v>
      </c>
      <c r="B1817" s="96">
        <f>'review 1 - annotator 2 - eval'!R197</f>
        <v>1</v>
      </c>
    </row>
    <row r="1818">
      <c r="A1818" s="95">
        <f>'review 1 - annotator 1 - eval'!R198</f>
        <v>1</v>
      </c>
      <c r="B1818" s="96">
        <f>'review 1 - annotator 2 - eval'!R198</f>
        <v>1</v>
      </c>
    </row>
    <row r="1819">
      <c r="A1819" s="95">
        <f>'review 1 - annotator 1 - eval'!R199</f>
        <v>1</v>
      </c>
      <c r="B1819" s="96">
        <f>'review 1 - annotator 2 - eval'!R199</f>
        <v>1</v>
      </c>
    </row>
    <row r="1820">
      <c r="A1820" s="95">
        <f>'review 1 - annotator 1 - eval'!R200</f>
        <v>1</v>
      </c>
      <c r="B1820" s="96">
        <f>'review 1 - annotator 2 - eval'!R200</f>
        <v>1</v>
      </c>
    </row>
    <row r="1821">
      <c r="A1821" s="95">
        <f>'review 1 - annotator 1 - eval'!S4</f>
        <v>1</v>
      </c>
      <c r="B1821" s="96">
        <f>'review 1 - annotator 2 - eval'!S4</f>
        <v>1</v>
      </c>
    </row>
    <row r="1822">
      <c r="A1822" s="95">
        <f>'review 1 - annotator 1 - eval'!S5</f>
        <v>1</v>
      </c>
      <c r="B1822" s="96">
        <f>'review 1 - annotator 2 - eval'!S5</f>
        <v>1</v>
      </c>
    </row>
    <row r="1823">
      <c r="A1823" s="95">
        <f>'review 1 - annotator 1 - eval'!S6</f>
        <v>1</v>
      </c>
      <c r="B1823" s="96">
        <f>'review 1 - annotator 2 - eval'!S6</f>
        <v>1</v>
      </c>
    </row>
    <row r="1824">
      <c r="A1824" s="95">
        <f>'review 1 - annotator 1 - eval'!S7</f>
        <v>1</v>
      </c>
      <c r="B1824" s="96">
        <f>'review 1 - annotator 2 - eval'!S7</f>
        <v>1</v>
      </c>
    </row>
    <row r="1825">
      <c r="A1825" s="95">
        <f>'review 1 - annotator 1 - eval'!S8</f>
        <v>1</v>
      </c>
      <c r="B1825" s="96">
        <f>'review 1 - annotator 2 - eval'!S8</f>
        <v>1</v>
      </c>
    </row>
    <row r="1826">
      <c r="A1826" s="95">
        <f>'review 1 - annotator 1 - eval'!S9</f>
        <v>1</v>
      </c>
      <c r="B1826" s="96">
        <f>'review 1 - annotator 2 - eval'!S9</f>
        <v>1</v>
      </c>
    </row>
    <row r="1827">
      <c r="A1827" s="95">
        <f>'review 1 - annotator 1 - eval'!S10</f>
        <v>1</v>
      </c>
      <c r="B1827" s="96">
        <f>'review 1 - annotator 2 - eval'!S10</f>
        <v>1</v>
      </c>
    </row>
    <row r="1828">
      <c r="A1828" s="95">
        <f>'review 1 - annotator 1 - eval'!S14</f>
        <v>1</v>
      </c>
      <c r="B1828" s="96">
        <f>'review 1 - annotator 2 - eval'!S14</f>
        <v>1</v>
      </c>
    </row>
    <row r="1829">
      <c r="A1829" s="95">
        <f>'review 1 - annotator 1 - eval'!S15</f>
        <v>1</v>
      </c>
      <c r="B1829" s="96">
        <f>'review 1 - annotator 2 - eval'!S15</f>
        <v>1</v>
      </c>
    </row>
    <row r="1830">
      <c r="A1830" s="95">
        <f>'review 1 - annotator 1 - eval'!S16</f>
        <v>1</v>
      </c>
      <c r="B1830" s="96">
        <f>'review 1 - annotator 2 - eval'!S16</f>
        <v>1</v>
      </c>
    </row>
    <row r="1831">
      <c r="A1831" s="95">
        <f>'review 1 - annotator 1 - eval'!S17</f>
        <v>1</v>
      </c>
      <c r="B1831" s="96">
        <f>'review 1 - annotator 2 - eval'!S17</f>
        <v>1</v>
      </c>
    </row>
    <row r="1832">
      <c r="A1832" s="95">
        <f>'review 1 - annotator 1 - eval'!S18</f>
        <v>1</v>
      </c>
      <c r="B1832" s="96">
        <f>'review 1 - annotator 2 - eval'!S18</f>
        <v>1</v>
      </c>
    </row>
    <row r="1833">
      <c r="A1833" s="95">
        <f>'review 1 - annotator 1 - eval'!S19</f>
        <v>1</v>
      </c>
      <c r="B1833" s="96">
        <f>'review 1 - annotator 2 - eval'!S19</f>
        <v>1</v>
      </c>
    </row>
    <row r="1834">
      <c r="A1834" s="95">
        <f>'review 1 - annotator 1 - eval'!S20</f>
        <v>1</v>
      </c>
      <c r="B1834" s="96">
        <f>'review 1 - annotator 2 - eval'!S20</f>
        <v>1</v>
      </c>
    </row>
    <row r="1835">
      <c r="A1835" s="95">
        <f>'review 1 - annotator 1 - eval'!S24</f>
        <v>1</v>
      </c>
      <c r="B1835" s="96">
        <f>'review 1 - annotator 2 - eval'!S24</f>
        <v>1</v>
      </c>
    </row>
    <row r="1836">
      <c r="A1836" s="95">
        <f>'review 1 - annotator 1 - eval'!S25</f>
        <v>1</v>
      </c>
      <c r="B1836" s="96">
        <f>'review 1 - annotator 2 - eval'!S25</f>
        <v>1</v>
      </c>
    </row>
    <row r="1837">
      <c r="A1837" s="95">
        <f>'review 1 - annotator 1 - eval'!S26</f>
        <v>1</v>
      </c>
      <c r="B1837" s="96">
        <f>'review 1 - annotator 2 - eval'!S26</f>
        <v>1</v>
      </c>
    </row>
    <row r="1838">
      <c r="A1838" s="95">
        <f>'review 1 - annotator 1 - eval'!S27</f>
        <v>1</v>
      </c>
      <c r="B1838" s="96">
        <f>'review 1 - annotator 2 - eval'!S27</f>
        <v>1</v>
      </c>
    </row>
    <row r="1839">
      <c r="A1839" s="95">
        <f>'review 1 - annotator 1 - eval'!S28</f>
        <v>1</v>
      </c>
      <c r="B1839" s="96">
        <f>'review 1 - annotator 2 - eval'!S28</f>
        <v>1</v>
      </c>
    </row>
    <row r="1840">
      <c r="A1840" s="95">
        <f>'review 1 - annotator 1 - eval'!S29</f>
        <v>1</v>
      </c>
      <c r="B1840" s="96">
        <f>'review 1 - annotator 2 - eval'!S29</f>
        <v>1</v>
      </c>
    </row>
    <row r="1841">
      <c r="A1841" s="95">
        <f>'review 1 - annotator 1 - eval'!S30</f>
        <v>1</v>
      </c>
      <c r="B1841" s="96">
        <f>'review 1 - annotator 2 - eval'!S30</f>
        <v>1</v>
      </c>
    </row>
    <row r="1842">
      <c r="A1842" s="95">
        <f>'review 1 - annotator 1 - eval'!S34</f>
        <v>1</v>
      </c>
      <c r="B1842" s="96">
        <f>'review 1 - annotator 2 - eval'!S34</f>
        <v>1</v>
      </c>
    </row>
    <row r="1843">
      <c r="A1843" s="95">
        <f>'review 1 - annotator 1 - eval'!S35</f>
        <v>1</v>
      </c>
      <c r="B1843" s="96">
        <f>'review 1 - annotator 2 - eval'!S35</f>
        <v>1</v>
      </c>
    </row>
    <row r="1844">
      <c r="A1844" s="95">
        <f>'review 1 - annotator 1 - eval'!S36</f>
        <v>1</v>
      </c>
      <c r="B1844" s="96">
        <f>'review 1 - annotator 2 - eval'!S36</f>
        <v>1</v>
      </c>
    </row>
    <row r="1845">
      <c r="A1845" s="95">
        <f>'review 1 - annotator 1 - eval'!S37</f>
        <v>1</v>
      </c>
      <c r="B1845" s="96">
        <f>'review 1 - annotator 2 - eval'!S37</f>
        <v>1</v>
      </c>
    </row>
    <row r="1846">
      <c r="A1846" s="95">
        <f>'review 1 - annotator 1 - eval'!S38</f>
        <v>1</v>
      </c>
      <c r="B1846" s="96">
        <f>'review 1 - annotator 2 - eval'!S38</f>
        <v>1</v>
      </c>
    </row>
    <row r="1847">
      <c r="A1847" s="95">
        <f>'review 1 - annotator 1 - eval'!S39</f>
        <v>1</v>
      </c>
      <c r="B1847" s="96">
        <f>'review 1 - annotator 2 - eval'!S39</f>
        <v>1</v>
      </c>
    </row>
    <row r="1848">
      <c r="A1848" s="95">
        <f>'review 1 - annotator 1 - eval'!S40</f>
        <v>1</v>
      </c>
      <c r="B1848" s="96">
        <f>'review 1 - annotator 2 - eval'!S40</f>
        <v>1</v>
      </c>
    </row>
    <row r="1849">
      <c r="A1849" s="95">
        <f>'review 1 - annotator 1 - eval'!S44</f>
        <v>1</v>
      </c>
      <c r="B1849" s="96">
        <f>'review 1 - annotator 2 - eval'!S44</f>
        <v>0</v>
      </c>
    </row>
    <row r="1850">
      <c r="A1850" s="95">
        <f>'review 1 - annotator 1 - eval'!S45</f>
        <v>1</v>
      </c>
      <c r="B1850" s="96">
        <f>'review 1 - annotator 2 - eval'!S45</f>
        <v>1</v>
      </c>
    </row>
    <row r="1851">
      <c r="A1851" s="95">
        <f>'review 1 - annotator 1 - eval'!S46</f>
        <v>0</v>
      </c>
      <c r="B1851" s="96">
        <f>'review 1 - annotator 2 - eval'!S46</f>
        <v>0</v>
      </c>
    </row>
    <row r="1852">
      <c r="A1852" s="95">
        <f>'review 1 - annotator 1 - eval'!S47</f>
        <v>1</v>
      </c>
      <c r="B1852" s="96">
        <f>'review 1 - annotator 2 - eval'!S47</f>
        <v>1</v>
      </c>
    </row>
    <row r="1853">
      <c r="A1853" s="95">
        <f>'review 1 - annotator 1 - eval'!S48</f>
        <v>1</v>
      </c>
      <c r="B1853" s="96">
        <f>'review 1 - annotator 2 - eval'!S48</f>
        <v>1</v>
      </c>
    </row>
    <row r="1854">
      <c r="A1854" s="95">
        <f>'review 1 - annotator 1 - eval'!S49</f>
        <v>1</v>
      </c>
      <c r="B1854" s="96">
        <f>'review 1 - annotator 2 - eval'!S49</f>
        <v>1</v>
      </c>
    </row>
    <row r="1855">
      <c r="A1855" s="95">
        <f>'review 1 - annotator 1 - eval'!S50</f>
        <v>1</v>
      </c>
      <c r="B1855" s="96">
        <f>'review 1 - annotator 2 - eval'!S50</f>
        <v>1</v>
      </c>
    </row>
    <row r="1856">
      <c r="A1856" s="95">
        <f>'review 1 - annotator 1 - eval'!S54</f>
        <v>1</v>
      </c>
      <c r="B1856" s="96">
        <f>'review 1 - annotator 2 - eval'!S54</f>
        <v>0</v>
      </c>
    </row>
    <row r="1857">
      <c r="A1857" s="95">
        <f>'review 1 - annotator 1 - eval'!S55</f>
        <v>1</v>
      </c>
      <c r="B1857" s="96">
        <f>'review 1 - annotator 2 - eval'!S55</f>
        <v>0</v>
      </c>
    </row>
    <row r="1858">
      <c r="A1858" s="95">
        <f>'review 1 - annotator 1 - eval'!S56</f>
        <v>1</v>
      </c>
      <c r="B1858" s="96">
        <f>'review 1 - annotator 2 - eval'!S56</f>
        <v>0</v>
      </c>
    </row>
    <row r="1859">
      <c r="A1859" s="95">
        <f>'review 1 - annotator 1 - eval'!S57</f>
        <v>1</v>
      </c>
      <c r="B1859" s="96">
        <f>'review 1 - annotator 2 - eval'!S57</f>
        <v>0</v>
      </c>
    </row>
    <row r="1860">
      <c r="A1860" s="95">
        <f>'review 1 - annotator 1 - eval'!S58</f>
        <v>1</v>
      </c>
      <c r="B1860" s="96">
        <f>'review 1 - annotator 2 - eval'!S58</f>
        <v>0</v>
      </c>
    </row>
    <row r="1861">
      <c r="A1861" s="95">
        <f>'review 1 - annotator 1 - eval'!S59</f>
        <v>1</v>
      </c>
      <c r="B1861" s="96">
        <f>'review 1 - annotator 2 - eval'!S59</f>
        <v>0</v>
      </c>
    </row>
    <row r="1862">
      <c r="A1862" s="95">
        <f>'review 1 - annotator 1 - eval'!S60</f>
        <v>1</v>
      </c>
      <c r="B1862" s="96">
        <f>'review 1 - annotator 2 - eval'!S60</f>
        <v>0</v>
      </c>
    </row>
    <row r="1863">
      <c r="A1863" s="95">
        <f>'review 1 - annotator 1 - eval'!S64</f>
        <v>1</v>
      </c>
      <c r="B1863" s="96">
        <f>'review 1 - annotator 2 - eval'!S64</f>
        <v>1</v>
      </c>
    </row>
    <row r="1864">
      <c r="A1864" s="95">
        <f>'review 1 - annotator 1 - eval'!S65</f>
        <v>1</v>
      </c>
      <c r="B1864" s="96">
        <f>'review 1 - annotator 2 - eval'!S65</f>
        <v>1</v>
      </c>
    </row>
    <row r="1865">
      <c r="A1865" s="95">
        <f>'review 1 - annotator 1 - eval'!S66</f>
        <v>1</v>
      </c>
      <c r="B1865" s="96">
        <f>'review 1 - annotator 2 - eval'!S66</f>
        <v>1</v>
      </c>
    </row>
    <row r="1866">
      <c r="A1866" s="95">
        <f>'review 1 - annotator 1 - eval'!S67</f>
        <v>1</v>
      </c>
      <c r="B1866" s="96">
        <f>'review 1 - annotator 2 - eval'!S67</f>
        <v>1</v>
      </c>
    </row>
    <row r="1867">
      <c r="A1867" s="95">
        <f>'review 1 - annotator 1 - eval'!S68</f>
        <v>1</v>
      </c>
      <c r="B1867" s="96">
        <f>'review 1 - annotator 2 - eval'!S68</f>
        <v>1</v>
      </c>
    </row>
    <row r="1868">
      <c r="A1868" s="95">
        <f>'review 1 - annotator 1 - eval'!S69</f>
        <v>1</v>
      </c>
      <c r="B1868" s="96">
        <f>'review 1 - annotator 2 - eval'!S69</f>
        <v>1</v>
      </c>
    </row>
    <row r="1869">
      <c r="A1869" s="95">
        <f>'review 1 - annotator 1 - eval'!S70</f>
        <v>1</v>
      </c>
      <c r="B1869" s="96">
        <f>'review 1 - annotator 2 - eval'!S70</f>
        <v>1</v>
      </c>
    </row>
    <row r="1870">
      <c r="A1870" s="95">
        <f>'review 1 - annotator 1 - eval'!S74</f>
        <v>1</v>
      </c>
      <c r="B1870" s="96">
        <f>'review 1 - annotator 2 - eval'!S74</f>
        <v>1</v>
      </c>
    </row>
    <row r="1871">
      <c r="A1871" s="95">
        <f>'review 1 - annotator 1 - eval'!S75</f>
        <v>1</v>
      </c>
      <c r="B1871" s="96">
        <f>'review 1 - annotator 2 - eval'!S75</f>
        <v>1</v>
      </c>
    </row>
    <row r="1872">
      <c r="A1872" s="95">
        <f>'review 1 - annotator 1 - eval'!S76</f>
        <v>1</v>
      </c>
      <c r="B1872" s="96">
        <f>'review 1 - annotator 2 - eval'!S76</f>
        <v>1</v>
      </c>
    </row>
    <row r="1873">
      <c r="A1873" s="95">
        <f>'review 1 - annotator 1 - eval'!S77</f>
        <v>1</v>
      </c>
      <c r="B1873" s="96">
        <f>'review 1 - annotator 2 - eval'!S77</f>
        <v>1</v>
      </c>
    </row>
    <row r="1874">
      <c r="A1874" s="95">
        <f>'review 1 - annotator 1 - eval'!S78</f>
        <v>1</v>
      </c>
      <c r="B1874" s="96">
        <f>'review 1 - annotator 2 - eval'!S78</f>
        <v>1</v>
      </c>
    </row>
    <row r="1875">
      <c r="A1875" s="95">
        <f>'review 1 - annotator 1 - eval'!S79</f>
        <v>1</v>
      </c>
      <c r="B1875" s="96">
        <f>'review 1 - annotator 2 - eval'!S79</f>
        <v>1</v>
      </c>
    </row>
    <row r="1876">
      <c r="A1876" s="95">
        <f>'review 1 - annotator 1 - eval'!S80</f>
        <v>1</v>
      </c>
      <c r="B1876" s="96">
        <f>'review 1 - annotator 2 - eval'!S80</f>
        <v>1</v>
      </c>
    </row>
    <row r="1877">
      <c r="A1877" s="95">
        <f>'review 1 - annotator 1 - eval'!S84</f>
        <v>1</v>
      </c>
      <c r="B1877" s="96">
        <f>'review 1 - annotator 2 - eval'!S84</f>
        <v>1</v>
      </c>
    </row>
    <row r="1878">
      <c r="A1878" s="95">
        <f>'review 1 - annotator 1 - eval'!S85</f>
        <v>1</v>
      </c>
      <c r="B1878" s="96">
        <f>'review 1 - annotator 2 - eval'!S85</f>
        <v>1</v>
      </c>
    </row>
    <row r="1879">
      <c r="A1879" s="95">
        <f>'review 1 - annotator 1 - eval'!S86</f>
        <v>1</v>
      </c>
      <c r="B1879" s="96">
        <f>'review 1 - annotator 2 - eval'!S86</f>
        <v>1</v>
      </c>
    </row>
    <row r="1880">
      <c r="A1880" s="95">
        <f>'review 1 - annotator 1 - eval'!S87</f>
        <v>1</v>
      </c>
      <c r="B1880" s="96">
        <f>'review 1 - annotator 2 - eval'!S87</f>
        <v>1</v>
      </c>
    </row>
    <row r="1881">
      <c r="A1881" s="95">
        <f>'review 1 - annotator 1 - eval'!S88</f>
        <v>1</v>
      </c>
      <c r="B1881" s="96">
        <f>'review 1 - annotator 2 - eval'!S88</f>
        <v>1</v>
      </c>
    </row>
    <row r="1882">
      <c r="A1882" s="95">
        <f>'review 1 - annotator 1 - eval'!S89</f>
        <v>1</v>
      </c>
      <c r="B1882" s="96">
        <f>'review 1 - annotator 2 - eval'!S89</f>
        <v>1</v>
      </c>
    </row>
    <row r="1883">
      <c r="A1883" s="95">
        <f>'review 1 - annotator 1 - eval'!S90</f>
        <v>1</v>
      </c>
      <c r="B1883" s="96">
        <f>'review 1 - annotator 2 - eval'!S90</f>
        <v>1</v>
      </c>
    </row>
    <row r="1884">
      <c r="A1884" s="95">
        <f>'review 1 - annotator 1 - eval'!S94</f>
        <v>1</v>
      </c>
      <c r="B1884" s="96">
        <f>'review 1 - annotator 2 - eval'!S94</f>
        <v>1</v>
      </c>
    </row>
    <row r="1885">
      <c r="A1885" s="95">
        <f>'review 1 - annotator 1 - eval'!S95</f>
        <v>1</v>
      </c>
      <c r="B1885" s="96">
        <f>'review 1 - annotator 2 - eval'!S95</f>
        <v>1</v>
      </c>
    </row>
    <row r="1886">
      <c r="A1886" s="95">
        <f>'review 1 - annotator 1 - eval'!S96</f>
        <v>1</v>
      </c>
      <c r="B1886" s="96">
        <f>'review 1 - annotator 2 - eval'!S96</f>
        <v>1</v>
      </c>
    </row>
    <row r="1887">
      <c r="A1887" s="95">
        <f>'review 1 - annotator 1 - eval'!S97</f>
        <v>1</v>
      </c>
      <c r="B1887" s="96">
        <f>'review 1 - annotator 2 - eval'!S97</f>
        <v>1</v>
      </c>
    </row>
    <row r="1888">
      <c r="A1888" s="95">
        <f>'review 1 - annotator 1 - eval'!S98</f>
        <v>1</v>
      </c>
      <c r="B1888" s="96">
        <f>'review 1 - annotator 2 - eval'!S98</f>
        <v>1</v>
      </c>
    </row>
    <row r="1889">
      <c r="A1889" s="95">
        <f>'review 1 - annotator 1 - eval'!S99</f>
        <v>1</v>
      </c>
      <c r="B1889" s="96">
        <f>'review 1 - annotator 2 - eval'!S99</f>
        <v>1</v>
      </c>
    </row>
    <row r="1890">
      <c r="A1890" s="95">
        <f>'review 1 - annotator 1 - eval'!S100</f>
        <v>1</v>
      </c>
      <c r="B1890" s="96">
        <f>'review 1 - annotator 2 - eval'!S100</f>
        <v>1</v>
      </c>
    </row>
    <row r="1891">
      <c r="A1891" s="95">
        <f>'review 1 - annotator 1 - eval'!S104</f>
        <v>1</v>
      </c>
      <c r="B1891" s="96">
        <f>'review 1 - annotator 2 - eval'!S104</f>
        <v>1</v>
      </c>
    </row>
    <row r="1892">
      <c r="A1892" s="95">
        <f>'review 1 - annotator 1 - eval'!S105</f>
        <v>1</v>
      </c>
      <c r="B1892" s="96">
        <f>'review 1 - annotator 2 - eval'!S105</f>
        <v>1</v>
      </c>
    </row>
    <row r="1893">
      <c r="A1893" s="95">
        <f>'review 1 - annotator 1 - eval'!S106</f>
        <v>1</v>
      </c>
      <c r="B1893" s="96">
        <f>'review 1 - annotator 2 - eval'!S106</f>
        <v>1</v>
      </c>
    </row>
    <row r="1894">
      <c r="A1894" s="95">
        <f>'review 1 - annotator 1 - eval'!S107</f>
        <v>1</v>
      </c>
      <c r="B1894" s="96">
        <f>'review 1 - annotator 2 - eval'!S107</f>
        <v>1</v>
      </c>
    </row>
    <row r="1895">
      <c r="A1895" s="95">
        <f>'review 1 - annotator 1 - eval'!S108</f>
        <v>1</v>
      </c>
      <c r="B1895" s="96">
        <f>'review 1 - annotator 2 - eval'!S108</f>
        <v>1</v>
      </c>
    </row>
    <row r="1896">
      <c r="A1896" s="95">
        <f>'review 1 - annotator 1 - eval'!S109</f>
        <v>1</v>
      </c>
      <c r="B1896" s="96">
        <f>'review 1 - annotator 2 - eval'!S109</f>
        <v>1</v>
      </c>
    </row>
    <row r="1897">
      <c r="A1897" s="95">
        <f>'review 1 - annotator 1 - eval'!S110</f>
        <v>1</v>
      </c>
      <c r="B1897" s="96">
        <f>'review 1 - annotator 2 - eval'!S110</f>
        <v>1</v>
      </c>
    </row>
    <row r="1898">
      <c r="A1898" s="95">
        <f>'review 1 - annotator 1 - eval'!S114</f>
        <v>0</v>
      </c>
      <c r="B1898" s="96">
        <f>'review 1 - annotator 2 - eval'!S114</f>
        <v>0</v>
      </c>
    </row>
    <row r="1899">
      <c r="A1899" s="95">
        <f>'review 1 - annotator 1 - eval'!S115</f>
        <v>0</v>
      </c>
      <c r="B1899" s="96">
        <f>'review 1 - annotator 2 - eval'!S115</f>
        <v>0</v>
      </c>
    </row>
    <row r="1900">
      <c r="A1900" s="95">
        <f>'review 1 - annotator 1 - eval'!S116</f>
        <v>0</v>
      </c>
      <c r="B1900" s="96">
        <f>'review 1 - annotator 2 - eval'!S116</f>
        <v>0</v>
      </c>
    </row>
    <row r="1901">
      <c r="A1901" s="95">
        <f>'review 1 - annotator 1 - eval'!S117</f>
        <v>0</v>
      </c>
      <c r="B1901" s="96">
        <f>'review 1 - annotator 2 - eval'!S117</f>
        <v>0</v>
      </c>
    </row>
    <row r="1902">
      <c r="A1902" s="95">
        <f>'review 1 - annotator 1 - eval'!S118</f>
        <v>0</v>
      </c>
      <c r="B1902" s="96">
        <f>'review 1 - annotator 2 - eval'!S118</f>
        <v>0</v>
      </c>
    </row>
    <row r="1903">
      <c r="A1903" s="95">
        <f>'review 1 - annotator 1 - eval'!S119</f>
        <v>0</v>
      </c>
      <c r="B1903" s="96">
        <f>'review 1 - annotator 2 - eval'!S119</f>
        <v>0</v>
      </c>
    </row>
    <row r="1904">
      <c r="A1904" s="95">
        <f>'review 1 - annotator 1 - eval'!S120</f>
        <v>0</v>
      </c>
      <c r="B1904" s="96">
        <f>'review 1 - annotator 2 - eval'!S120</f>
        <v>0</v>
      </c>
    </row>
    <row r="1905">
      <c r="A1905" s="95">
        <f>'review 1 - annotator 1 - eval'!S124</f>
        <v>1</v>
      </c>
      <c r="B1905" s="96">
        <f>'review 1 - annotator 2 - eval'!S124</f>
        <v>1</v>
      </c>
    </row>
    <row r="1906">
      <c r="A1906" s="95">
        <f>'review 1 - annotator 1 - eval'!S125</f>
        <v>1</v>
      </c>
      <c r="B1906" s="96">
        <f>'review 1 - annotator 2 - eval'!S125</f>
        <v>1</v>
      </c>
    </row>
    <row r="1907">
      <c r="A1907" s="95">
        <f>'review 1 - annotator 1 - eval'!S126</f>
        <v>1</v>
      </c>
      <c r="B1907" s="96">
        <f>'review 1 - annotator 2 - eval'!S126</f>
        <v>1</v>
      </c>
    </row>
    <row r="1908">
      <c r="A1908" s="95">
        <f>'review 1 - annotator 1 - eval'!S127</f>
        <v>1</v>
      </c>
      <c r="B1908" s="96">
        <f>'review 1 - annotator 2 - eval'!S127</f>
        <v>1</v>
      </c>
    </row>
    <row r="1909">
      <c r="A1909" s="95">
        <f>'review 1 - annotator 1 - eval'!S128</f>
        <v>1</v>
      </c>
      <c r="B1909" s="96">
        <f>'review 1 - annotator 2 - eval'!S128</f>
        <v>1</v>
      </c>
    </row>
    <row r="1910">
      <c r="A1910" s="95">
        <f>'review 1 - annotator 1 - eval'!S129</f>
        <v>1</v>
      </c>
      <c r="B1910" s="96">
        <f>'review 1 - annotator 2 - eval'!S129</f>
        <v>1</v>
      </c>
    </row>
    <row r="1911">
      <c r="A1911" s="95">
        <f>'review 1 - annotator 1 - eval'!S130</f>
        <v>1</v>
      </c>
      <c r="B1911" s="96">
        <f>'review 1 - annotator 2 - eval'!S130</f>
        <v>1</v>
      </c>
    </row>
    <row r="1912">
      <c r="A1912" s="95">
        <f>'review 1 - annotator 1 - eval'!S134</f>
        <v>1</v>
      </c>
      <c r="B1912" s="96">
        <f>'review 1 - annotator 2 - eval'!S134</f>
        <v>1</v>
      </c>
    </row>
    <row r="1913">
      <c r="A1913" s="95">
        <f>'review 1 - annotator 1 - eval'!S135</f>
        <v>1</v>
      </c>
      <c r="B1913" s="96">
        <f>'review 1 - annotator 2 - eval'!S135</f>
        <v>1</v>
      </c>
    </row>
    <row r="1914">
      <c r="A1914" s="95">
        <f>'review 1 - annotator 1 - eval'!S136</f>
        <v>1</v>
      </c>
      <c r="B1914" s="96">
        <f>'review 1 - annotator 2 - eval'!S136</f>
        <v>1</v>
      </c>
    </row>
    <row r="1915">
      <c r="A1915" s="95">
        <f>'review 1 - annotator 1 - eval'!S137</f>
        <v>1</v>
      </c>
      <c r="B1915" s="96">
        <f>'review 1 - annotator 2 - eval'!S137</f>
        <v>1</v>
      </c>
    </row>
    <row r="1916">
      <c r="A1916" s="95">
        <f>'review 1 - annotator 1 - eval'!S138</f>
        <v>1</v>
      </c>
      <c r="B1916" s="96">
        <f>'review 1 - annotator 2 - eval'!S138</f>
        <v>1</v>
      </c>
    </row>
    <row r="1917">
      <c r="A1917" s="95">
        <f>'review 1 - annotator 1 - eval'!S139</f>
        <v>1</v>
      </c>
      <c r="B1917" s="96">
        <f>'review 1 - annotator 2 - eval'!S139</f>
        <v>1</v>
      </c>
    </row>
    <row r="1918">
      <c r="A1918" s="95">
        <f>'review 1 - annotator 1 - eval'!S140</f>
        <v>1</v>
      </c>
      <c r="B1918" s="96">
        <f>'review 1 - annotator 2 - eval'!S140</f>
        <v>1</v>
      </c>
    </row>
    <row r="1919">
      <c r="A1919" s="95">
        <f>'review 1 - annotator 1 - eval'!S144</f>
        <v>1</v>
      </c>
      <c r="B1919" s="96">
        <f>'review 1 - annotator 2 - eval'!S144</f>
        <v>1</v>
      </c>
    </row>
    <row r="1920">
      <c r="A1920" s="95">
        <f>'review 1 - annotator 1 - eval'!S145</f>
        <v>1</v>
      </c>
      <c r="B1920" s="96">
        <f>'review 1 - annotator 2 - eval'!S145</f>
        <v>1</v>
      </c>
    </row>
    <row r="1921">
      <c r="A1921" s="95">
        <f>'review 1 - annotator 1 - eval'!S146</f>
        <v>0</v>
      </c>
      <c r="B1921" s="96">
        <f>'review 1 - annotator 2 - eval'!S146</f>
        <v>1</v>
      </c>
    </row>
    <row r="1922">
      <c r="A1922" s="95">
        <f>'review 1 - annotator 1 - eval'!S147</f>
        <v>1</v>
      </c>
      <c r="B1922" s="96">
        <f>'review 1 - annotator 2 - eval'!S147</f>
        <v>1</v>
      </c>
    </row>
    <row r="1923">
      <c r="A1923" s="95">
        <f>'review 1 - annotator 1 - eval'!S148</f>
        <v>1</v>
      </c>
      <c r="B1923" s="96">
        <f>'review 1 - annotator 2 - eval'!S148</f>
        <v>1</v>
      </c>
    </row>
    <row r="1924">
      <c r="A1924" s="95">
        <f>'review 1 - annotator 1 - eval'!S149</f>
        <v>1</v>
      </c>
      <c r="B1924" s="96">
        <f>'review 1 - annotator 2 - eval'!S149</f>
        <v>1</v>
      </c>
    </row>
    <row r="1925">
      <c r="A1925" s="95">
        <f>'review 1 - annotator 1 - eval'!S150</f>
        <v>1</v>
      </c>
      <c r="B1925" s="96">
        <f>'review 1 - annotator 2 - eval'!S150</f>
        <v>1</v>
      </c>
    </row>
    <row r="1926">
      <c r="A1926" s="95">
        <f>'review 1 - annotator 1 - eval'!S154</f>
        <v>1</v>
      </c>
      <c r="B1926" s="96">
        <f>'review 1 - annotator 2 - eval'!S154</f>
        <v>1</v>
      </c>
    </row>
    <row r="1927">
      <c r="A1927" s="95">
        <f>'review 1 - annotator 1 - eval'!S155</f>
        <v>1</v>
      </c>
      <c r="B1927" s="96">
        <f>'review 1 - annotator 2 - eval'!S155</f>
        <v>1</v>
      </c>
    </row>
    <row r="1928">
      <c r="A1928" s="95">
        <f>'review 1 - annotator 1 - eval'!S156</f>
        <v>1</v>
      </c>
      <c r="B1928" s="96">
        <f>'review 1 - annotator 2 - eval'!S156</f>
        <v>1</v>
      </c>
    </row>
    <row r="1929">
      <c r="A1929" s="95">
        <f>'review 1 - annotator 1 - eval'!S157</f>
        <v>1</v>
      </c>
      <c r="B1929" s="96">
        <f>'review 1 - annotator 2 - eval'!S157</f>
        <v>1</v>
      </c>
    </row>
    <row r="1930">
      <c r="A1930" s="95">
        <f>'review 1 - annotator 1 - eval'!S158</f>
        <v>1</v>
      </c>
      <c r="B1930" s="96">
        <f>'review 1 - annotator 2 - eval'!S158</f>
        <v>1</v>
      </c>
    </row>
    <row r="1931">
      <c r="A1931" s="95">
        <f>'review 1 - annotator 1 - eval'!S159</f>
        <v>1</v>
      </c>
      <c r="B1931" s="96">
        <f>'review 1 - annotator 2 - eval'!S159</f>
        <v>1</v>
      </c>
    </row>
    <row r="1932">
      <c r="A1932" s="95">
        <f>'review 1 - annotator 1 - eval'!S160</f>
        <v>1</v>
      </c>
      <c r="B1932" s="96">
        <f>'review 1 - annotator 2 - eval'!S160</f>
        <v>1</v>
      </c>
    </row>
    <row r="1933">
      <c r="A1933" s="95">
        <f>'review 1 - annotator 1 - eval'!S164</f>
        <v>0</v>
      </c>
      <c r="B1933" s="96">
        <f>'review 1 - annotator 2 - eval'!S164</f>
        <v>0</v>
      </c>
    </row>
    <row r="1934">
      <c r="A1934" s="95">
        <f>'review 1 - annotator 1 - eval'!S165</f>
        <v>1</v>
      </c>
      <c r="B1934" s="96">
        <f>'review 1 - annotator 2 - eval'!S165</f>
        <v>1</v>
      </c>
    </row>
    <row r="1935">
      <c r="A1935" s="95">
        <f>'review 1 - annotator 1 - eval'!S166</f>
        <v>0</v>
      </c>
      <c r="B1935" s="96">
        <f>'review 1 - annotator 2 - eval'!S166</f>
        <v>0</v>
      </c>
    </row>
    <row r="1936">
      <c r="A1936" s="95">
        <f>'review 1 - annotator 1 - eval'!S167</f>
        <v>1</v>
      </c>
      <c r="B1936" s="96">
        <f>'review 1 - annotator 2 - eval'!S167</f>
        <v>1</v>
      </c>
    </row>
    <row r="1937">
      <c r="A1937" s="95">
        <f>'review 1 - annotator 1 - eval'!S168</f>
        <v>1</v>
      </c>
      <c r="B1937" s="96">
        <f>'review 1 - annotator 2 - eval'!S168</f>
        <v>1</v>
      </c>
    </row>
    <row r="1938">
      <c r="A1938" s="95">
        <f>'review 1 - annotator 1 - eval'!S169</f>
        <v>1</v>
      </c>
      <c r="B1938" s="96">
        <f>'review 1 - annotator 2 - eval'!S169</f>
        <v>1</v>
      </c>
    </row>
    <row r="1939">
      <c r="A1939" s="95">
        <f>'review 1 - annotator 1 - eval'!S170</f>
        <v>1</v>
      </c>
      <c r="B1939" s="96">
        <f>'review 1 - annotator 2 - eval'!S170</f>
        <v>1</v>
      </c>
    </row>
    <row r="1940">
      <c r="A1940" s="95">
        <f>'review 1 - annotator 1 - eval'!S174</f>
        <v>1</v>
      </c>
      <c r="B1940" s="96">
        <f>'review 1 - annotator 2 - eval'!S174</f>
        <v>1</v>
      </c>
    </row>
    <row r="1941">
      <c r="A1941" s="95">
        <f>'review 1 - annotator 1 - eval'!S175</f>
        <v>1</v>
      </c>
      <c r="B1941" s="96">
        <f>'review 1 - annotator 2 - eval'!S175</f>
        <v>1</v>
      </c>
    </row>
    <row r="1942">
      <c r="A1942" s="95">
        <f>'review 1 - annotator 1 - eval'!S176</f>
        <v>1</v>
      </c>
      <c r="B1942" s="96">
        <f>'review 1 - annotator 2 - eval'!S176</f>
        <v>1</v>
      </c>
    </row>
    <row r="1943">
      <c r="A1943" s="95">
        <f>'review 1 - annotator 1 - eval'!S177</f>
        <v>1</v>
      </c>
      <c r="B1943" s="96">
        <f>'review 1 - annotator 2 - eval'!S177</f>
        <v>1</v>
      </c>
    </row>
    <row r="1944">
      <c r="A1944" s="95">
        <f>'review 1 - annotator 1 - eval'!S178</f>
        <v>1</v>
      </c>
      <c r="B1944" s="96">
        <f>'review 1 - annotator 2 - eval'!S178</f>
        <v>1</v>
      </c>
    </row>
    <row r="1945">
      <c r="A1945" s="95">
        <f>'review 1 - annotator 1 - eval'!S179</f>
        <v>1</v>
      </c>
      <c r="B1945" s="96">
        <f>'review 1 - annotator 2 - eval'!S179</f>
        <v>1</v>
      </c>
    </row>
    <row r="1946">
      <c r="A1946" s="95">
        <f>'review 1 - annotator 1 - eval'!S180</f>
        <v>1</v>
      </c>
      <c r="B1946" s="96">
        <f>'review 1 - annotator 2 - eval'!S180</f>
        <v>1</v>
      </c>
    </row>
    <row r="1947">
      <c r="A1947" s="95">
        <f>'review 1 - annotator 1 - eval'!S184</f>
        <v>1</v>
      </c>
      <c r="B1947" s="96">
        <f>'review 1 - annotator 2 - eval'!S184</f>
        <v>1</v>
      </c>
    </row>
    <row r="1948">
      <c r="A1948" s="95">
        <f>'review 1 - annotator 1 - eval'!S185</f>
        <v>1</v>
      </c>
      <c r="B1948" s="96">
        <f>'review 1 - annotator 2 - eval'!S185</f>
        <v>1</v>
      </c>
    </row>
    <row r="1949">
      <c r="A1949" s="95">
        <f>'review 1 - annotator 1 - eval'!S186</f>
        <v>1</v>
      </c>
      <c r="B1949" s="96">
        <f>'review 1 - annotator 2 - eval'!S186</f>
        <v>1</v>
      </c>
    </row>
    <row r="1950">
      <c r="A1950" s="95">
        <f>'review 1 - annotator 1 - eval'!S187</f>
        <v>1</v>
      </c>
      <c r="B1950" s="96">
        <f>'review 1 - annotator 2 - eval'!S187</f>
        <v>1</v>
      </c>
    </row>
    <row r="1951">
      <c r="A1951" s="95">
        <f>'review 1 - annotator 1 - eval'!S188</f>
        <v>1</v>
      </c>
      <c r="B1951" s="96">
        <f>'review 1 - annotator 2 - eval'!S188</f>
        <v>1</v>
      </c>
    </row>
    <row r="1952">
      <c r="A1952" s="95">
        <f>'review 1 - annotator 1 - eval'!S189</f>
        <v>1</v>
      </c>
      <c r="B1952" s="96">
        <f>'review 1 - annotator 2 - eval'!S189</f>
        <v>1</v>
      </c>
    </row>
    <row r="1953">
      <c r="A1953" s="95">
        <f>'review 1 - annotator 1 - eval'!S190</f>
        <v>1</v>
      </c>
      <c r="B1953" s="96">
        <f>'review 1 - annotator 2 - eval'!S190</f>
        <v>1</v>
      </c>
    </row>
    <row r="1954">
      <c r="A1954" s="95">
        <f>'review 1 - annotator 1 - eval'!S194</f>
        <v>1</v>
      </c>
      <c r="B1954" s="96">
        <f>'review 1 - annotator 2 - eval'!S194</f>
        <v>0</v>
      </c>
    </row>
    <row r="1955">
      <c r="A1955" s="95">
        <f>'review 1 - annotator 1 - eval'!S195</f>
        <v>1</v>
      </c>
      <c r="B1955" s="96">
        <f>'review 1 - annotator 2 - eval'!S195</f>
        <v>1</v>
      </c>
    </row>
    <row r="1956">
      <c r="A1956" s="95">
        <f>'review 1 - annotator 1 - eval'!S196</f>
        <v>1</v>
      </c>
      <c r="B1956" s="96">
        <f>'review 1 - annotator 2 - eval'!S196</f>
        <v>0</v>
      </c>
    </row>
    <row r="1957">
      <c r="A1957" s="95">
        <f>'review 1 - annotator 1 - eval'!S197</f>
        <v>1</v>
      </c>
      <c r="B1957" s="96">
        <f>'review 1 - annotator 2 - eval'!S197</f>
        <v>1</v>
      </c>
    </row>
    <row r="1958">
      <c r="A1958" s="95">
        <f>'review 1 - annotator 1 - eval'!S198</f>
        <v>1</v>
      </c>
      <c r="B1958" s="96">
        <f>'review 1 - annotator 2 - eval'!S198</f>
        <v>1</v>
      </c>
    </row>
    <row r="1959">
      <c r="A1959" s="95">
        <f>'review 1 - annotator 1 - eval'!S199</f>
        <v>1</v>
      </c>
      <c r="B1959" s="96">
        <f>'review 1 - annotator 2 - eval'!S199</f>
        <v>1</v>
      </c>
    </row>
    <row r="1960">
      <c r="A1960" s="95">
        <f>'review 1 - annotator 1 - eval'!S200</f>
        <v>1</v>
      </c>
      <c r="B1960" s="96">
        <f>'review 1 - annotator 2 - eval'!S200</f>
        <v>1</v>
      </c>
    </row>
    <row r="1961">
      <c r="A1961" s="95">
        <f>'review 1 - annotator 1 - eval'!T4</f>
        <v>1</v>
      </c>
      <c r="B1961" s="96">
        <f>'review 1 - annotator 2 - eval'!T4</f>
        <v>1</v>
      </c>
    </row>
    <row r="1962">
      <c r="A1962" s="95">
        <f>'review 1 - annotator 1 - eval'!T5</f>
        <v>1</v>
      </c>
      <c r="B1962" s="96">
        <f>'review 1 - annotator 2 - eval'!T5</f>
        <v>1</v>
      </c>
    </row>
    <row r="1963">
      <c r="A1963" s="95">
        <f>'review 1 - annotator 1 - eval'!T6</f>
        <v>1</v>
      </c>
      <c r="B1963" s="96">
        <f>'review 1 - annotator 2 - eval'!T6</f>
        <v>1</v>
      </c>
    </row>
    <row r="1964">
      <c r="A1964" s="95">
        <f>'review 1 - annotator 1 - eval'!T7</f>
        <v>1</v>
      </c>
      <c r="B1964" s="96">
        <f>'review 1 - annotator 2 - eval'!T7</f>
        <v>1</v>
      </c>
    </row>
    <row r="1965">
      <c r="A1965" s="95">
        <f>'review 1 - annotator 1 - eval'!T8</f>
        <v>1</v>
      </c>
      <c r="B1965" s="96">
        <f>'review 1 - annotator 2 - eval'!T8</f>
        <v>1</v>
      </c>
    </row>
    <row r="1966">
      <c r="A1966" s="95">
        <f>'review 1 - annotator 1 - eval'!T9</f>
        <v>1</v>
      </c>
      <c r="B1966" s="96">
        <f>'review 1 - annotator 2 - eval'!T9</f>
        <v>1</v>
      </c>
    </row>
    <row r="1967">
      <c r="A1967" s="95">
        <f>'review 1 - annotator 1 - eval'!T10</f>
        <v>1</v>
      </c>
      <c r="B1967" s="96">
        <f>'review 1 - annotator 2 - eval'!T10</f>
        <v>1</v>
      </c>
    </row>
    <row r="1968">
      <c r="A1968" s="95">
        <f>'review 1 - annotator 1 - eval'!T14</f>
        <v>1</v>
      </c>
      <c r="B1968" s="96">
        <f>'review 1 - annotator 2 - eval'!T14</f>
        <v>1</v>
      </c>
    </row>
    <row r="1969">
      <c r="A1969" s="95">
        <f>'review 1 - annotator 1 - eval'!T15</f>
        <v>1</v>
      </c>
      <c r="B1969" s="96">
        <f>'review 1 - annotator 2 - eval'!T15</f>
        <v>1</v>
      </c>
    </row>
    <row r="1970">
      <c r="A1970" s="95">
        <f>'review 1 - annotator 1 - eval'!T16</f>
        <v>1</v>
      </c>
      <c r="B1970" s="96">
        <f>'review 1 - annotator 2 - eval'!T16</f>
        <v>1</v>
      </c>
    </row>
    <row r="1971">
      <c r="A1971" s="95">
        <f>'review 1 - annotator 1 - eval'!T17</f>
        <v>1</v>
      </c>
      <c r="B1971" s="96">
        <f>'review 1 - annotator 2 - eval'!T17</f>
        <v>1</v>
      </c>
    </row>
    <row r="1972">
      <c r="A1972" s="95">
        <f>'review 1 - annotator 1 - eval'!T18</f>
        <v>1</v>
      </c>
      <c r="B1972" s="96">
        <f>'review 1 - annotator 2 - eval'!T18</f>
        <v>1</v>
      </c>
    </row>
    <row r="1973">
      <c r="A1973" s="95">
        <f>'review 1 - annotator 1 - eval'!T19</f>
        <v>1</v>
      </c>
      <c r="B1973" s="96">
        <f>'review 1 - annotator 2 - eval'!T19</f>
        <v>1</v>
      </c>
    </row>
    <row r="1974">
      <c r="A1974" s="95">
        <f>'review 1 - annotator 1 - eval'!T20</f>
        <v>1</v>
      </c>
      <c r="B1974" s="96">
        <f>'review 1 - annotator 2 - eval'!T20</f>
        <v>1</v>
      </c>
    </row>
    <row r="1975">
      <c r="A1975" s="95">
        <f>'review 1 - annotator 1 - eval'!T24</f>
        <v>1</v>
      </c>
      <c r="B1975" s="96">
        <f>'review 1 - annotator 2 - eval'!T24</f>
        <v>1</v>
      </c>
    </row>
    <row r="1976">
      <c r="A1976" s="95">
        <f>'review 1 - annotator 1 - eval'!T25</f>
        <v>1</v>
      </c>
      <c r="B1976" s="96">
        <f>'review 1 - annotator 2 - eval'!T25</f>
        <v>1</v>
      </c>
    </row>
    <row r="1977">
      <c r="A1977" s="95">
        <f>'review 1 - annotator 1 - eval'!T26</f>
        <v>1</v>
      </c>
      <c r="B1977" s="96">
        <f>'review 1 - annotator 2 - eval'!T26</f>
        <v>1</v>
      </c>
    </row>
    <row r="1978">
      <c r="A1978" s="95">
        <f>'review 1 - annotator 1 - eval'!T27</f>
        <v>1</v>
      </c>
      <c r="B1978" s="96">
        <f>'review 1 - annotator 2 - eval'!T27</f>
        <v>1</v>
      </c>
    </row>
    <row r="1979">
      <c r="A1979" s="95">
        <f>'review 1 - annotator 1 - eval'!T28</f>
        <v>1</v>
      </c>
      <c r="B1979" s="96">
        <f>'review 1 - annotator 2 - eval'!T28</f>
        <v>1</v>
      </c>
    </row>
    <row r="1980">
      <c r="A1980" s="95">
        <f>'review 1 - annotator 1 - eval'!T29</f>
        <v>1</v>
      </c>
      <c r="B1980" s="96">
        <f>'review 1 - annotator 2 - eval'!T29</f>
        <v>1</v>
      </c>
    </row>
    <row r="1981">
      <c r="A1981" s="95">
        <f>'review 1 - annotator 1 - eval'!T30</f>
        <v>1</v>
      </c>
      <c r="B1981" s="96">
        <f>'review 1 - annotator 2 - eval'!T30</f>
        <v>1</v>
      </c>
    </row>
    <row r="1982">
      <c r="A1982" s="95">
        <f>'review 1 - annotator 1 - eval'!T34</f>
        <v>1</v>
      </c>
      <c r="B1982" s="96">
        <f>'review 1 - annotator 2 - eval'!T34</f>
        <v>1</v>
      </c>
    </row>
    <row r="1983">
      <c r="A1983" s="95">
        <f>'review 1 - annotator 1 - eval'!T35</f>
        <v>1</v>
      </c>
      <c r="B1983" s="96">
        <f>'review 1 - annotator 2 - eval'!T35</f>
        <v>1</v>
      </c>
    </row>
    <row r="1984">
      <c r="A1984" s="95">
        <f>'review 1 - annotator 1 - eval'!T36</f>
        <v>1</v>
      </c>
      <c r="B1984" s="96">
        <f>'review 1 - annotator 2 - eval'!T36</f>
        <v>1</v>
      </c>
    </row>
    <row r="1985">
      <c r="A1985" s="95">
        <f>'review 1 - annotator 1 - eval'!T37</f>
        <v>1</v>
      </c>
      <c r="B1985" s="96">
        <f>'review 1 - annotator 2 - eval'!T37</f>
        <v>1</v>
      </c>
    </row>
    <row r="1986">
      <c r="A1986" s="95">
        <f>'review 1 - annotator 1 - eval'!T38</f>
        <v>1</v>
      </c>
      <c r="B1986" s="96">
        <f>'review 1 - annotator 2 - eval'!T38</f>
        <v>1</v>
      </c>
    </row>
    <row r="1987">
      <c r="A1987" s="95">
        <f>'review 1 - annotator 1 - eval'!T39</f>
        <v>1</v>
      </c>
      <c r="B1987" s="96">
        <f>'review 1 - annotator 2 - eval'!T39</f>
        <v>1</v>
      </c>
    </row>
    <row r="1988">
      <c r="A1988" s="95">
        <f>'review 1 - annotator 1 - eval'!T40</f>
        <v>1</v>
      </c>
      <c r="B1988" s="96">
        <f>'review 1 - annotator 2 - eval'!T40</f>
        <v>1</v>
      </c>
    </row>
    <row r="1989">
      <c r="A1989" s="95">
        <f>'review 1 - annotator 1 - eval'!T44</f>
        <v>1</v>
      </c>
      <c r="B1989" s="96">
        <f>'review 1 - annotator 2 - eval'!T44</f>
        <v>0</v>
      </c>
    </row>
    <row r="1990">
      <c r="A1990" s="95">
        <f>'review 1 - annotator 1 - eval'!T45</f>
        <v>1</v>
      </c>
      <c r="B1990" s="96">
        <f>'review 1 - annotator 2 - eval'!T45</f>
        <v>1</v>
      </c>
    </row>
    <row r="1991">
      <c r="A1991" s="95">
        <f>'review 1 - annotator 1 - eval'!T46</f>
        <v>0</v>
      </c>
      <c r="B1991" s="96">
        <f>'review 1 - annotator 2 - eval'!T46</f>
        <v>0</v>
      </c>
    </row>
    <row r="1992">
      <c r="A1992" s="95">
        <f>'review 1 - annotator 1 - eval'!T47</f>
        <v>1</v>
      </c>
      <c r="B1992" s="96">
        <f>'review 1 - annotator 2 - eval'!T47</f>
        <v>1</v>
      </c>
    </row>
    <row r="1993">
      <c r="A1993" s="95">
        <f>'review 1 - annotator 1 - eval'!T48</f>
        <v>1</v>
      </c>
      <c r="B1993" s="96">
        <f>'review 1 - annotator 2 - eval'!T48</f>
        <v>1</v>
      </c>
    </row>
    <row r="1994">
      <c r="A1994" s="95">
        <f>'review 1 - annotator 1 - eval'!T49</f>
        <v>1</v>
      </c>
      <c r="B1994" s="96">
        <f>'review 1 - annotator 2 - eval'!T49</f>
        <v>1</v>
      </c>
    </row>
    <row r="1995">
      <c r="A1995" s="95">
        <f>'review 1 - annotator 1 - eval'!T50</f>
        <v>1</v>
      </c>
      <c r="B1995" s="96">
        <f>'review 1 - annotator 2 - eval'!T50</f>
        <v>1</v>
      </c>
    </row>
    <row r="1996">
      <c r="A1996" s="95">
        <f>'review 1 - annotator 1 - eval'!T54</f>
        <v>1</v>
      </c>
      <c r="B1996" s="96">
        <f>'review 1 - annotator 2 - eval'!T54</f>
        <v>1</v>
      </c>
    </row>
    <row r="1997">
      <c r="A1997" s="95">
        <f>'review 1 - annotator 1 - eval'!T55</f>
        <v>1</v>
      </c>
      <c r="B1997" s="96">
        <f>'review 1 - annotator 2 - eval'!T55</f>
        <v>1</v>
      </c>
    </row>
    <row r="1998">
      <c r="A1998" s="95">
        <f>'review 1 - annotator 1 - eval'!T56</f>
        <v>1</v>
      </c>
      <c r="B1998" s="96">
        <f>'review 1 - annotator 2 - eval'!T56</f>
        <v>1</v>
      </c>
    </row>
    <row r="1999">
      <c r="A1999" s="95">
        <f>'review 1 - annotator 1 - eval'!T57</f>
        <v>1</v>
      </c>
      <c r="B1999" s="96">
        <f>'review 1 - annotator 2 - eval'!T57</f>
        <v>1</v>
      </c>
    </row>
    <row r="2000">
      <c r="A2000" s="95">
        <f>'review 1 - annotator 1 - eval'!T58</f>
        <v>1</v>
      </c>
      <c r="B2000" s="96">
        <f>'review 1 - annotator 2 - eval'!T58</f>
        <v>1</v>
      </c>
    </row>
    <row r="2001">
      <c r="A2001" s="95">
        <f>'review 1 - annotator 1 - eval'!T59</f>
        <v>1</v>
      </c>
      <c r="B2001" s="96">
        <f>'review 1 - annotator 2 - eval'!T59</f>
        <v>1</v>
      </c>
    </row>
    <row r="2002">
      <c r="A2002" s="95">
        <f>'review 1 - annotator 1 - eval'!T60</f>
        <v>1</v>
      </c>
      <c r="B2002" s="96">
        <f>'review 1 - annotator 2 - eval'!T60</f>
        <v>1</v>
      </c>
    </row>
    <row r="2003">
      <c r="A2003" s="95">
        <f>'review 1 - annotator 1 - eval'!T64</f>
        <v>1</v>
      </c>
      <c r="B2003" s="96">
        <f>'review 1 - annotator 2 - eval'!T64</f>
        <v>1</v>
      </c>
    </row>
    <row r="2004">
      <c r="A2004" s="95">
        <f>'review 1 - annotator 1 - eval'!T65</f>
        <v>1</v>
      </c>
      <c r="B2004" s="96">
        <f>'review 1 - annotator 2 - eval'!T65</f>
        <v>1</v>
      </c>
    </row>
    <row r="2005">
      <c r="A2005" s="95">
        <f>'review 1 - annotator 1 - eval'!T66</f>
        <v>1</v>
      </c>
      <c r="B2005" s="96">
        <f>'review 1 - annotator 2 - eval'!T66</f>
        <v>1</v>
      </c>
    </row>
    <row r="2006">
      <c r="A2006" s="95">
        <f>'review 1 - annotator 1 - eval'!T67</f>
        <v>1</v>
      </c>
      <c r="B2006" s="96">
        <f>'review 1 - annotator 2 - eval'!T67</f>
        <v>1</v>
      </c>
    </row>
    <row r="2007">
      <c r="A2007" s="95">
        <f>'review 1 - annotator 1 - eval'!T68</f>
        <v>1</v>
      </c>
      <c r="B2007" s="96">
        <f>'review 1 - annotator 2 - eval'!T68</f>
        <v>1</v>
      </c>
    </row>
    <row r="2008">
      <c r="A2008" s="95">
        <f>'review 1 - annotator 1 - eval'!T69</f>
        <v>1</v>
      </c>
      <c r="B2008" s="96">
        <f>'review 1 - annotator 2 - eval'!T69</f>
        <v>1</v>
      </c>
    </row>
    <row r="2009">
      <c r="A2009" s="95">
        <f>'review 1 - annotator 1 - eval'!T70</f>
        <v>1</v>
      </c>
      <c r="B2009" s="96">
        <f>'review 1 - annotator 2 - eval'!T70</f>
        <v>1</v>
      </c>
    </row>
    <row r="2010">
      <c r="A2010" s="95">
        <f>'review 1 - annotator 1 - eval'!T74</f>
        <v>1</v>
      </c>
      <c r="B2010" s="96">
        <f>'review 1 - annotator 2 - eval'!T74</f>
        <v>1</v>
      </c>
    </row>
    <row r="2011">
      <c r="A2011" s="95">
        <f>'review 1 - annotator 1 - eval'!T75</f>
        <v>1</v>
      </c>
      <c r="B2011" s="96">
        <f>'review 1 - annotator 2 - eval'!T75</f>
        <v>1</v>
      </c>
    </row>
    <row r="2012">
      <c r="A2012" s="95">
        <f>'review 1 - annotator 1 - eval'!T76</f>
        <v>1</v>
      </c>
      <c r="B2012" s="96">
        <f>'review 1 - annotator 2 - eval'!T76</f>
        <v>1</v>
      </c>
    </row>
    <row r="2013">
      <c r="A2013" s="95">
        <f>'review 1 - annotator 1 - eval'!T77</f>
        <v>1</v>
      </c>
      <c r="B2013" s="96">
        <f>'review 1 - annotator 2 - eval'!T77</f>
        <v>1</v>
      </c>
    </row>
    <row r="2014">
      <c r="A2014" s="95">
        <f>'review 1 - annotator 1 - eval'!T78</f>
        <v>1</v>
      </c>
      <c r="B2014" s="96">
        <f>'review 1 - annotator 2 - eval'!T78</f>
        <v>1</v>
      </c>
    </row>
    <row r="2015">
      <c r="A2015" s="95">
        <f>'review 1 - annotator 1 - eval'!T79</f>
        <v>1</v>
      </c>
      <c r="B2015" s="96">
        <f>'review 1 - annotator 2 - eval'!T79</f>
        <v>1</v>
      </c>
    </row>
    <row r="2016">
      <c r="A2016" s="95">
        <f>'review 1 - annotator 1 - eval'!T80</f>
        <v>1</v>
      </c>
      <c r="B2016" s="96">
        <f>'review 1 - annotator 2 - eval'!T80</f>
        <v>1</v>
      </c>
    </row>
    <row r="2017">
      <c r="A2017" s="95">
        <f>'review 1 - annotator 1 - eval'!T84</f>
        <v>1</v>
      </c>
      <c r="B2017" s="96">
        <f>'review 1 - annotator 2 - eval'!T84</f>
        <v>1</v>
      </c>
    </row>
    <row r="2018">
      <c r="A2018" s="95">
        <f>'review 1 - annotator 1 - eval'!T85</f>
        <v>1</v>
      </c>
      <c r="B2018" s="96">
        <f>'review 1 - annotator 2 - eval'!T85</f>
        <v>1</v>
      </c>
    </row>
    <row r="2019">
      <c r="A2019" s="95">
        <f>'review 1 - annotator 1 - eval'!T86</f>
        <v>1</v>
      </c>
      <c r="B2019" s="96">
        <f>'review 1 - annotator 2 - eval'!T86</f>
        <v>1</v>
      </c>
    </row>
    <row r="2020">
      <c r="A2020" s="95">
        <f>'review 1 - annotator 1 - eval'!T87</f>
        <v>1</v>
      </c>
      <c r="B2020" s="96">
        <f>'review 1 - annotator 2 - eval'!T87</f>
        <v>1</v>
      </c>
    </row>
    <row r="2021">
      <c r="A2021" s="95">
        <f>'review 1 - annotator 1 - eval'!T88</f>
        <v>1</v>
      </c>
      <c r="B2021" s="96">
        <f>'review 1 - annotator 2 - eval'!T88</f>
        <v>1</v>
      </c>
    </row>
    <row r="2022">
      <c r="A2022" s="95">
        <f>'review 1 - annotator 1 - eval'!T89</f>
        <v>1</v>
      </c>
      <c r="B2022" s="96">
        <f>'review 1 - annotator 2 - eval'!T89</f>
        <v>1</v>
      </c>
    </row>
    <row r="2023">
      <c r="A2023" s="95">
        <f>'review 1 - annotator 1 - eval'!T90</f>
        <v>1</v>
      </c>
      <c r="B2023" s="96">
        <f>'review 1 - annotator 2 - eval'!T90</f>
        <v>1</v>
      </c>
    </row>
    <row r="2024">
      <c r="A2024" s="95">
        <f>'review 1 - annotator 1 - eval'!T94</f>
        <v>1</v>
      </c>
      <c r="B2024" s="96">
        <f>'review 1 - annotator 2 - eval'!T94</f>
        <v>1</v>
      </c>
    </row>
    <row r="2025">
      <c r="A2025" s="95">
        <f>'review 1 - annotator 1 - eval'!T95</f>
        <v>1</v>
      </c>
      <c r="B2025" s="96">
        <f>'review 1 - annotator 2 - eval'!T95</f>
        <v>1</v>
      </c>
    </row>
    <row r="2026">
      <c r="A2026" s="95">
        <f>'review 1 - annotator 1 - eval'!T96</f>
        <v>1</v>
      </c>
      <c r="B2026" s="96">
        <f>'review 1 - annotator 2 - eval'!T96</f>
        <v>1</v>
      </c>
    </row>
    <row r="2027">
      <c r="A2027" s="95">
        <f>'review 1 - annotator 1 - eval'!T97</f>
        <v>1</v>
      </c>
      <c r="B2027" s="96">
        <f>'review 1 - annotator 2 - eval'!T97</f>
        <v>1</v>
      </c>
    </row>
    <row r="2028">
      <c r="A2028" s="95">
        <f>'review 1 - annotator 1 - eval'!T98</f>
        <v>1</v>
      </c>
      <c r="B2028" s="96">
        <f>'review 1 - annotator 2 - eval'!T98</f>
        <v>1</v>
      </c>
    </row>
    <row r="2029">
      <c r="A2029" s="95">
        <f>'review 1 - annotator 1 - eval'!T99</f>
        <v>1</v>
      </c>
      <c r="B2029" s="96">
        <f>'review 1 - annotator 2 - eval'!T99</f>
        <v>1</v>
      </c>
    </row>
    <row r="2030">
      <c r="A2030" s="95">
        <f>'review 1 - annotator 1 - eval'!T100</f>
        <v>1</v>
      </c>
      <c r="B2030" s="96">
        <f>'review 1 - annotator 2 - eval'!T100</f>
        <v>1</v>
      </c>
    </row>
    <row r="2031">
      <c r="A2031" s="95">
        <f>'review 1 - annotator 1 - eval'!T104</f>
        <v>1</v>
      </c>
      <c r="B2031" s="96">
        <f>'review 1 - annotator 2 - eval'!T104</f>
        <v>1</v>
      </c>
    </row>
    <row r="2032">
      <c r="A2032" s="95">
        <f>'review 1 - annotator 1 - eval'!T105</f>
        <v>1</v>
      </c>
      <c r="B2032" s="96">
        <f>'review 1 - annotator 2 - eval'!T105</f>
        <v>1</v>
      </c>
    </row>
    <row r="2033">
      <c r="A2033" s="95">
        <f>'review 1 - annotator 1 - eval'!T106</f>
        <v>1</v>
      </c>
      <c r="B2033" s="96">
        <f>'review 1 - annotator 2 - eval'!T106</f>
        <v>1</v>
      </c>
    </row>
    <row r="2034">
      <c r="A2034" s="95">
        <f>'review 1 - annotator 1 - eval'!T107</f>
        <v>1</v>
      </c>
      <c r="B2034" s="96">
        <f>'review 1 - annotator 2 - eval'!T107</f>
        <v>1</v>
      </c>
    </row>
    <row r="2035">
      <c r="A2035" s="95">
        <f>'review 1 - annotator 1 - eval'!T108</f>
        <v>1</v>
      </c>
      <c r="B2035" s="96">
        <f>'review 1 - annotator 2 - eval'!T108</f>
        <v>1</v>
      </c>
    </row>
    <row r="2036">
      <c r="A2036" s="95">
        <f>'review 1 - annotator 1 - eval'!T109</f>
        <v>1</v>
      </c>
      <c r="B2036" s="96">
        <f>'review 1 - annotator 2 - eval'!T109</f>
        <v>1</v>
      </c>
    </row>
    <row r="2037">
      <c r="A2037" s="95">
        <f>'review 1 - annotator 1 - eval'!T110</f>
        <v>1</v>
      </c>
      <c r="B2037" s="96">
        <f>'review 1 - annotator 2 - eval'!T110</f>
        <v>1</v>
      </c>
    </row>
    <row r="2038">
      <c r="A2038" s="95">
        <f>'review 1 - annotator 1 - eval'!T114</f>
        <v>0</v>
      </c>
      <c r="B2038" s="96">
        <f>'review 1 - annotator 2 - eval'!T114</f>
        <v>0</v>
      </c>
    </row>
    <row r="2039">
      <c r="A2039" s="95">
        <f>'review 1 - annotator 1 - eval'!T115</f>
        <v>0</v>
      </c>
      <c r="B2039" s="96">
        <f>'review 1 - annotator 2 - eval'!T115</f>
        <v>0</v>
      </c>
    </row>
    <row r="2040">
      <c r="A2040" s="95">
        <f>'review 1 - annotator 1 - eval'!T116</f>
        <v>0</v>
      </c>
      <c r="B2040" s="96">
        <f>'review 1 - annotator 2 - eval'!T116</f>
        <v>0</v>
      </c>
    </row>
    <row r="2041">
      <c r="A2041" s="95">
        <f>'review 1 - annotator 1 - eval'!T117</f>
        <v>0</v>
      </c>
      <c r="B2041" s="96">
        <f>'review 1 - annotator 2 - eval'!T117</f>
        <v>0</v>
      </c>
    </row>
    <row r="2042">
      <c r="A2042" s="95">
        <f>'review 1 - annotator 1 - eval'!T118</f>
        <v>0</v>
      </c>
      <c r="B2042" s="96">
        <f>'review 1 - annotator 2 - eval'!T118</f>
        <v>0</v>
      </c>
    </row>
    <row r="2043">
      <c r="A2043" s="95">
        <f>'review 1 - annotator 1 - eval'!T119</f>
        <v>0</v>
      </c>
      <c r="B2043" s="96">
        <f>'review 1 - annotator 2 - eval'!T119</f>
        <v>0</v>
      </c>
    </row>
    <row r="2044">
      <c r="A2044" s="95">
        <f>'review 1 - annotator 1 - eval'!T120</f>
        <v>0</v>
      </c>
      <c r="B2044" s="96">
        <f>'review 1 - annotator 2 - eval'!T120</f>
        <v>0</v>
      </c>
    </row>
    <row r="2045">
      <c r="A2045" s="95">
        <f>'review 1 - annotator 1 - eval'!T124</f>
        <v>1</v>
      </c>
      <c r="B2045" s="96">
        <f>'review 1 - annotator 2 - eval'!T124</f>
        <v>1</v>
      </c>
    </row>
    <row r="2046">
      <c r="A2046" s="95">
        <f>'review 1 - annotator 1 - eval'!T125</f>
        <v>1</v>
      </c>
      <c r="B2046" s="96">
        <f>'review 1 - annotator 2 - eval'!T125</f>
        <v>1</v>
      </c>
    </row>
    <row r="2047">
      <c r="A2047" s="95">
        <f>'review 1 - annotator 1 - eval'!T126</f>
        <v>1</v>
      </c>
      <c r="B2047" s="96">
        <f>'review 1 - annotator 2 - eval'!T126</f>
        <v>1</v>
      </c>
    </row>
    <row r="2048">
      <c r="A2048" s="95">
        <f>'review 1 - annotator 1 - eval'!T127</f>
        <v>1</v>
      </c>
      <c r="B2048" s="96">
        <f>'review 1 - annotator 2 - eval'!T127</f>
        <v>1</v>
      </c>
    </row>
    <row r="2049">
      <c r="A2049" s="95">
        <f>'review 1 - annotator 1 - eval'!T128</f>
        <v>1</v>
      </c>
      <c r="B2049" s="96">
        <f>'review 1 - annotator 2 - eval'!T128</f>
        <v>1</v>
      </c>
    </row>
    <row r="2050">
      <c r="A2050" s="95">
        <f>'review 1 - annotator 1 - eval'!T129</f>
        <v>1</v>
      </c>
      <c r="B2050" s="96">
        <f>'review 1 - annotator 2 - eval'!T129</f>
        <v>1</v>
      </c>
    </row>
    <row r="2051">
      <c r="A2051" s="95">
        <f>'review 1 - annotator 1 - eval'!T130</f>
        <v>1</v>
      </c>
      <c r="B2051" s="96">
        <f>'review 1 - annotator 2 - eval'!T130</f>
        <v>1</v>
      </c>
    </row>
    <row r="2052">
      <c r="A2052" s="95">
        <f>'review 1 - annotator 1 - eval'!T134</f>
        <v>1</v>
      </c>
      <c r="B2052" s="96">
        <f>'review 1 - annotator 2 - eval'!T134</f>
        <v>1</v>
      </c>
    </row>
    <row r="2053">
      <c r="A2053" s="95">
        <f>'review 1 - annotator 1 - eval'!T135</f>
        <v>1</v>
      </c>
      <c r="B2053" s="96">
        <f>'review 1 - annotator 2 - eval'!T135</f>
        <v>1</v>
      </c>
    </row>
    <row r="2054">
      <c r="A2054" s="95">
        <f>'review 1 - annotator 1 - eval'!T136</f>
        <v>1</v>
      </c>
      <c r="B2054" s="96">
        <f>'review 1 - annotator 2 - eval'!T136</f>
        <v>1</v>
      </c>
    </row>
    <row r="2055">
      <c r="A2055" s="95">
        <f>'review 1 - annotator 1 - eval'!T137</f>
        <v>1</v>
      </c>
      <c r="B2055" s="96">
        <f>'review 1 - annotator 2 - eval'!T137</f>
        <v>1</v>
      </c>
    </row>
    <row r="2056">
      <c r="A2056" s="95">
        <f>'review 1 - annotator 1 - eval'!T138</f>
        <v>1</v>
      </c>
      <c r="B2056" s="96">
        <f>'review 1 - annotator 2 - eval'!T138</f>
        <v>0</v>
      </c>
    </row>
    <row r="2057">
      <c r="A2057" s="95">
        <f>'review 1 - annotator 1 - eval'!T139</f>
        <v>1</v>
      </c>
      <c r="B2057" s="96">
        <f>'review 1 - annotator 2 - eval'!T139</f>
        <v>1</v>
      </c>
    </row>
    <row r="2058">
      <c r="A2058" s="95">
        <f>'review 1 - annotator 1 - eval'!T140</f>
        <v>1</v>
      </c>
      <c r="B2058" s="96">
        <f>'review 1 - annotator 2 - eval'!T140</f>
        <v>1</v>
      </c>
    </row>
    <row r="2059">
      <c r="A2059" s="95">
        <f>'review 1 - annotator 1 - eval'!T144</f>
        <v>1</v>
      </c>
      <c r="B2059" s="96">
        <f>'review 1 - annotator 2 - eval'!T144</f>
        <v>1</v>
      </c>
    </row>
    <row r="2060">
      <c r="A2060" s="95">
        <f>'review 1 - annotator 1 - eval'!T145</f>
        <v>1</v>
      </c>
      <c r="B2060" s="96">
        <f>'review 1 - annotator 2 - eval'!T145</f>
        <v>1</v>
      </c>
    </row>
    <row r="2061">
      <c r="A2061" s="95">
        <f>'review 1 - annotator 1 - eval'!T146</f>
        <v>0</v>
      </c>
      <c r="B2061" s="96">
        <f>'review 1 - annotator 2 - eval'!T146</f>
        <v>1</v>
      </c>
    </row>
    <row r="2062">
      <c r="A2062" s="95">
        <f>'review 1 - annotator 1 - eval'!T147</f>
        <v>1</v>
      </c>
      <c r="B2062" s="96">
        <f>'review 1 - annotator 2 - eval'!T147</f>
        <v>1</v>
      </c>
    </row>
    <row r="2063">
      <c r="A2063" s="95">
        <f>'review 1 - annotator 1 - eval'!T148</f>
        <v>1</v>
      </c>
      <c r="B2063" s="96">
        <f>'review 1 - annotator 2 - eval'!T148</f>
        <v>1</v>
      </c>
    </row>
    <row r="2064">
      <c r="A2064" s="95">
        <f>'review 1 - annotator 1 - eval'!T149</f>
        <v>1</v>
      </c>
      <c r="B2064" s="96">
        <f>'review 1 - annotator 2 - eval'!T149</f>
        <v>1</v>
      </c>
    </row>
    <row r="2065">
      <c r="A2065" s="95">
        <f>'review 1 - annotator 1 - eval'!T150</f>
        <v>1</v>
      </c>
      <c r="B2065" s="96">
        <f>'review 1 - annotator 2 - eval'!T150</f>
        <v>1</v>
      </c>
    </row>
    <row r="2066">
      <c r="A2066" s="95">
        <f>'review 1 - annotator 1 - eval'!T154</f>
        <v>1</v>
      </c>
      <c r="B2066" s="96">
        <f>'review 1 - annotator 2 - eval'!T154</f>
        <v>1</v>
      </c>
    </row>
    <row r="2067">
      <c r="A2067" s="95">
        <f>'review 1 - annotator 1 - eval'!T155</f>
        <v>1</v>
      </c>
      <c r="B2067" s="96">
        <f>'review 1 - annotator 2 - eval'!T155</f>
        <v>1</v>
      </c>
    </row>
    <row r="2068">
      <c r="A2068" s="95">
        <f>'review 1 - annotator 1 - eval'!T156</f>
        <v>1</v>
      </c>
      <c r="B2068" s="96">
        <f>'review 1 - annotator 2 - eval'!T156</f>
        <v>1</v>
      </c>
    </row>
    <row r="2069">
      <c r="A2069" s="95">
        <f>'review 1 - annotator 1 - eval'!T157</f>
        <v>1</v>
      </c>
      <c r="B2069" s="96">
        <f>'review 1 - annotator 2 - eval'!T157</f>
        <v>1</v>
      </c>
    </row>
    <row r="2070">
      <c r="A2070" s="95">
        <f>'review 1 - annotator 1 - eval'!T158</f>
        <v>1</v>
      </c>
      <c r="B2070" s="96">
        <f>'review 1 - annotator 2 - eval'!T158</f>
        <v>1</v>
      </c>
    </row>
    <row r="2071">
      <c r="A2071" s="95">
        <f>'review 1 - annotator 1 - eval'!T159</f>
        <v>1</v>
      </c>
      <c r="B2071" s="96">
        <f>'review 1 - annotator 2 - eval'!T159</f>
        <v>1</v>
      </c>
    </row>
    <row r="2072">
      <c r="A2072" s="95">
        <f>'review 1 - annotator 1 - eval'!T160</f>
        <v>1</v>
      </c>
      <c r="B2072" s="96">
        <f>'review 1 - annotator 2 - eval'!T160</f>
        <v>1</v>
      </c>
    </row>
    <row r="2073">
      <c r="A2073" s="95">
        <f>'review 1 - annotator 1 - eval'!T164</f>
        <v>1</v>
      </c>
      <c r="B2073" s="96">
        <f>'review 1 - annotator 2 - eval'!T164</f>
        <v>1</v>
      </c>
    </row>
    <row r="2074">
      <c r="A2074" s="95">
        <f>'review 1 - annotator 1 - eval'!T165</f>
        <v>1</v>
      </c>
      <c r="B2074" s="96">
        <f>'review 1 - annotator 2 - eval'!T165</f>
        <v>1</v>
      </c>
    </row>
    <row r="2075">
      <c r="A2075" s="95">
        <f>'review 1 - annotator 1 - eval'!T166</f>
        <v>1</v>
      </c>
      <c r="B2075" s="96">
        <f>'review 1 - annotator 2 - eval'!T166</f>
        <v>1</v>
      </c>
    </row>
    <row r="2076">
      <c r="A2076" s="95">
        <f>'review 1 - annotator 1 - eval'!T167</f>
        <v>1</v>
      </c>
      <c r="B2076" s="96">
        <f>'review 1 - annotator 2 - eval'!T167</f>
        <v>1</v>
      </c>
    </row>
    <row r="2077">
      <c r="A2077" s="95">
        <f>'review 1 - annotator 1 - eval'!T168</f>
        <v>1</v>
      </c>
      <c r="B2077" s="96">
        <f>'review 1 - annotator 2 - eval'!T168</f>
        <v>1</v>
      </c>
    </row>
    <row r="2078">
      <c r="A2078" s="95">
        <f>'review 1 - annotator 1 - eval'!T169</f>
        <v>1</v>
      </c>
      <c r="B2078" s="96">
        <f>'review 1 - annotator 2 - eval'!T169</f>
        <v>1</v>
      </c>
    </row>
    <row r="2079">
      <c r="A2079" s="95">
        <f>'review 1 - annotator 1 - eval'!T170</f>
        <v>1</v>
      </c>
      <c r="B2079" s="96">
        <f>'review 1 - annotator 2 - eval'!T170</f>
        <v>1</v>
      </c>
    </row>
    <row r="2080">
      <c r="A2080" s="95">
        <f>'review 1 - annotator 1 - eval'!T174</f>
        <v>1</v>
      </c>
      <c r="B2080" s="96">
        <f>'review 1 - annotator 2 - eval'!T174</f>
        <v>1</v>
      </c>
    </row>
    <row r="2081">
      <c r="A2081" s="95">
        <f>'review 1 - annotator 1 - eval'!T175</f>
        <v>1</v>
      </c>
      <c r="B2081" s="96">
        <f>'review 1 - annotator 2 - eval'!T175</f>
        <v>1</v>
      </c>
    </row>
    <row r="2082">
      <c r="A2082" s="95">
        <f>'review 1 - annotator 1 - eval'!T176</f>
        <v>1</v>
      </c>
      <c r="B2082" s="96">
        <f>'review 1 - annotator 2 - eval'!T176</f>
        <v>1</v>
      </c>
    </row>
    <row r="2083">
      <c r="A2083" s="95">
        <f>'review 1 - annotator 1 - eval'!T177</f>
        <v>1</v>
      </c>
      <c r="B2083" s="96">
        <f>'review 1 - annotator 2 - eval'!T177</f>
        <v>1</v>
      </c>
    </row>
    <row r="2084">
      <c r="A2084" s="95">
        <f>'review 1 - annotator 1 - eval'!T178</f>
        <v>1</v>
      </c>
      <c r="B2084" s="96">
        <f>'review 1 - annotator 2 - eval'!T178</f>
        <v>1</v>
      </c>
    </row>
    <row r="2085">
      <c r="A2085" s="95">
        <f>'review 1 - annotator 1 - eval'!T179</f>
        <v>1</v>
      </c>
      <c r="B2085" s="96">
        <f>'review 1 - annotator 2 - eval'!T179</f>
        <v>1</v>
      </c>
    </row>
    <row r="2086">
      <c r="A2086" s="95">
        <f>'review 1 - annotator 1 - eval'!T180</f>
        <v>1</v>
      </c>
      <c r="B2086" s="96">
        <f>'review 1 - annotator 2 - eval'!T180</f>
        <v>1</v>
      </c>
    </row>
    <row r="2087">
      <c r="A2087" s="95">
        <f>'review 1 - annotator 1 - eval'!T184</f>
        <v>1</v>
      </c>
      <c r="B2087" s="96">
        <f>'review 1 - annotator 2 - eval'!T184</f>
        <v>1</v>
      </c>
    </row>
    <row r="2088">
      <c r="A2088" s="95">
        <f>'review 1 - annotator 1 - eval'!T185</f>
        <v>1</v>
      </c>
      <c r="B2088" s="96">
        <f>'review 1 - annotator 2 - eval'!T185</f>
        <v>1</v>
      </c>
    </row>
    <row r="2089">
      <c r="A2089" s="95">
        <f>'review 1 - annotator 1 - eval'!T186</f>
        <v>1</v>
      </c>
      <c r="B2089" s="96">
        <f>'review 1 - annotator 2 - eval'!T186</f>
        <v>1</v>
      </c>
    </row>
    <row r="2090">
      <c r="A2090" s="95">
        <f>'review 1 - annotator 1 - eval'!T187</f>
        <v>1</v>
      </c>
      <c r="B2090" s="96">
        <f>'review 1 - annotator 2 - eval'!T187</f>
        <v>1</v>
      </c>
    </row>
    <row r="2091">
      <c r="A2091" s="95">
        <f>'review 1 - annotator 1 - eval'!T188</f>
        <v>1</v>
      </c>
      <c r="B2091" s="96">
        <f>'review 1 - annotator 2 - eval'!T188</f>
        <v>1</v>
      </c>
    </row>
    <row r="2092">
      <c r="A2092" s="95">
        <f>'review 1 - annotator 1 - eval'!T189</f>
        <v>1</v>
      </c>
      <c r="B2092" s="96">
        <f>'review 1 - annotator 2 - eval'!T189</f>
        <v>1</v>
      </c>
    </row>
    <row r="2093">
      <c r="A2093" s="95">
        <f>'review 1 - annotator 1 - eval'!T190</f>
        <v>1</v>
      </c>
      <c r="B2093" s="96">
        <f>'review 1 - annotator 2 - eval'!T190</f>
        <v>1</v>
      </c>
    </row>
    <row r="2094">
      <c r="A2094" s="95">
        <f>'review 1 - annotator 1 - eval'!T194</f>
        <v>1</v>
      </c>
      <c r="B2094" s="96">
        <f>'review 1 - annotator 2 - eval'!T194</f>
        <v>1</v>
      </c>
    </row>
    <row r="2095">
      <c r="A2095" s="95">
        <f>'review 1 - annotator 1 - eval'!T195</f>
        <v>1</v>
      </c>
      <c r="B2095" s="96">
        <f>'review 1 - annotator 2 - eval'!T195</f>
        <v>1</v>
      </c>
    </row>
    <row r="2096">
      <c r="A2096" s="95">
        <f>'review 1 - annotator 1 - eval'!T196</f>
        <v>1</v>
      </c>
      <c r="B2096" s="96">
        <f>'review 1 - annotator 2 - eval'!T196</f>
        <v>1</v>
      </c>
    </row>
    <row r="2097">
      <c r="A2097" s="95">
        <f>'review 1 - annotator 1 - eval'!T197</f>
        <v>1</v>
      </c>
      <c r="B2097" s="96">
        <f>'review 1 - annotator 2 - eval'!T197</f>
        <v>1</v>
      </c>
    </row>
    <row r="2098">
      <c r="A2098" s="95">
        <f>'review 1 - annotator 1 - eval'!T198</f>
        <v>1</v>
      </c>
      <c r="B2098" s="96">
        <f>'review 1 - annotator 2 - eval'!T198</f>
        <v>1</v>
      </c>
    </row>
    <row r="2099">
      <c r="A2099" s="95">
        <f>'review 1 - annotator 1 - eval'!T199</f>
        <v>1</v>
      </c>
      <c r="B2099" s="96">
        <f>'review 1 - annotator 2 - eval'!T199</f>
        <v>1</v>
      </c>
    </row>
    <row r="2100">
      <c r="A2100" s="95">
        <f>'review 1 - annotator 1 - eval'!T200</f>
        <v>1</v>
      </c>
      <c r="B2100" s="96">
        <f>'review 1 - annotator 2 - eval'!T200</f>
        <v>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25"/>
    <col customWidth="1" min="2" max="3" width="36.13"/>
    <col customWidth="1" min="4" max="4" width="93.0"/>
    <col customWidth="1" min="5" max="5" width="36.5"/>
    <col customWidth="1" min="6" max="6" width="56.63"/>
    <col customWidth="1" min="7" max="7" width="41.25"/>
    <col customWidth="1" min="8" max="8" width="31.38"/>
  </cols>
  <sheetData>
    <row r="1">
      <c r="A1" s="5" t="s">
        <v>0</v>
      </c>
      <c r="B1" s="2"/>
      <c r="C1" s="2"/>
      <c r="D1" s="2"/>
      <c r="E1" s="2"/>
      <c r="F1" s="2"/>
      <c r="G1" s="2"/>
      <c r="H1" s="2"/>
      <c r="I1" s="2"/>
      <c r="J1" s="2"/>
      <c r="K1" s="2"/>
      <c r="L1" s="2"/>
      <c r="M1" s="2"/>
      <c r="N1" s="2"/>
      <c r="O1" s="2"/>
      <c r="P1" s="2"/>
      <c r="Q1" s="2"/>
      <c r="R1" s="2"/>
      <c r="S1" s="2"/>
      <c r="T1" s="2"/>
      <c r="U1" s="2"/>
      <c r="V1" s="2"/>
      <c r="W1" s="2"/>
      <c r="X1" s="2"/>
      <c r="Y1" s="2"/>
      <c r="Z1" s="2"/>
      <c r="AA1" s="2"/>
      <c r="AB1" s="2"/>
    </row>
    <row r="2" ht="17.25" customHeight="1">
      <c r="A2" s="5" t="s">
        <v>1</v>
      </c>
      <c r="B2" s="5" t="s">
        <v>983</v>
      </c>
      <c r="C2" s="2"/>
      <c r="D2" s="2"/>
      <c r="E2" s="2"/>
      <c r="F2" s="2"/>
      <c r="G2" s="2"/>
      <c r="H2" s="2"/>
      <c r="I2" s="2"/>
      <c r="J2" s="2"/>
      <c r="K2" s="2"/>
      <c r="L2" s="2"/>
      <c r="M2" s="2"/>
      <c r="N2" s="2"/>
      <c r="O2" s="2"/>
      <c r="P2" s="2"/>
      <c r="Q2" s="2"/>
      <c r="R2" s="2"/>
      <c r="S2" s="2"/>
      <c r="T2" s="2"/>
      <c r="U2" s="2"/>
      <c r="V2" s="2"/>
      <c r="W2" s="2"/>
      <c r="X2" s="2"/>
      <c r="Y2" s="2"/>
      <c r="Z2" s="2"/>
      <c r="AA2" s="2"/>
      <c r="AB2" s="2"/>
    </row>
    <row r="3">
      <c r="A3" s="59">
        <v>32.0</v>
      </c>
      <c r="B3" s="59" t="s">
        <v>984</v>
      </c>
      <c r="C3" s="59" t="s">
        <v>3</v>
      </c>
      <c r="D3" s="59" t="s">
        <v>985</v>
      </c>
      <c r="E3" s="59" t="s">
        <v>986</v>
      </c>
      <c r="F3" s="59" t="s">
        <v>987</v>
      </c>
      <c r="G3" s="59" t="s">
        <v>988</v>
      </c>
      <c r="H3" s="98"/>
      <c r="I3" s="98"/>
      <c r="J3" s="98"/>
      <c r="K3" s="98"/>
      <c r="L3" s="98"/>
      <c r="M3" s="98"/>
      <c r="N3" s="98"/>
      <c r="O3" s="98"/>
      <c r="P3" s="98"/>
      <c r="Q3" s="98"/>
      <c r="R3" s="98"/>
      <c r="S3" s="98"/>
      <c r="T3" s="98"/>
      <c r="U3" s="98"/>
      <c r="V3" s="98"/>
      <c r="W3" s="98"/>
      <c r="X3" s="98"/>
      <c r="Y3" s="98"/>
      <c r="Z3" s="98"/>
      <c r="AA3" s="98"/>
      <c r="AB3" s="98"/>
    </row>
    <row r="4">
      <c r="C4" s="59" t="s">
        <v>9</v>
      </c>
      <c r="D4" s="59" t="s">
        <v>989</v>
      </c>
      <c r="E4" s="59" t="s">
        <v>990</v>
      </c>
      <c r="F4" s="59" t="s">
        <v>991</v>
      </c>
      <c r="G4" s="59" t="s">
        <v>992</v>
      </c>
      <c r="H4" s="98"/>
      <c r="I4" s="98"/>
      <c r="J4" s="98"/>
      <c r="K4" s="98"/>
      <c r="L4" s="98"/>
      <c r="M4" s="98"/>
      <c r="N4" s="98"/>
      <c r="O4" s="98"/>
      <c r="P4" s="98"/>
      <c r="Q4" s="98"/>
      <c r="R4" s="98"/>
      <c r="S4" s="98"/>
      <c r="T4" s="98"/>
      <c r="U4" s="98"/>
      <c r="V4" s="98"/>
      <c r="W4" s="98"/>
      <c r="X4" s="98"/>
      <c r="Y4" s="98"/>
      <c r="Z4" s="98"/>
      <c r="AA4" s="98"/>
      <c r="AB4" s="98"/>
    </row>
    <row r="5">
      <c r="C5" s="59" t="s">
        <v>15</v>
      </c>
      <c r="D5" s="59" t="s">
        <v>993</v>
      </c>
      <c r="E5" s="59" t="s">
        <v>994</v>
      </c>
      <c r="F5" s="59" t="s">
        <v>995</v>
      </c>
      <c r="G5" s="59" t="s">
        <v>996</v>
      </c>
      <c r="H5" s="98"/>
      <c r="I5" s="98"/>
      <c r="J5" s="98"/>
      <c r="K5" s="98"/>
      <c r="L5" s="98"/>
      <c r="M5" s="98"/>
      <c r="N5" s="98"/>
      <c r="O5" s="98"/>
      <c r="P5" s="98"/>
      <c r="Q5" s="98"/>
      <c r="R5" s="98"/>
      <c r="S5" s="98"/>
      <c r="T5" s="98"/>
      <c r="U5" s="98"/>
      <c r="V5" s="98"/>
      <c r="W5" s="98"/>
      <c r="X5" s="98"/>
      <c r="Y5" s="98"/>
      <c r="Z5" s="98"/>
      <c r="AA5" s="98"/>
      <c r="AB5" s="98"/>
    </row>
    <row r="6">
      <c r="C6" s="59" t="s">
        <v>21</v>
      </c>
      <c r="D6" s="59" t="s">
        <v>997</v>
      </c>
      <c r="E6" s="59" t="s">
        <v>23</v>
      </c>
      <c r="F6" s="59" t="s">
        <v>998</v>
      </c>
      <c r="G6" s="59" t="s">
        <v>999</v>
      </c>
      <c r="H6" s="98"/>
      <c r="I6" s="98"/>
      <c r="J6" s="98"/>
      <c r="K6" s="98"/>
      <c r="L6" s="98"/>
      <c r="M6" s="98"/>
      <c r="N6" s="98"/>
      <c r="O6" s="98"/>
      <c r="P6" s="98"/>
      <c r="Q6" s="98"/>
      <c r="R6" s="98"/>
      <c r="S6" s="98"/>
      <c r="T6" s="98"/>
      <c r="U6" s="98"/>
      <c r="V6" s="98"/>
      <c r="W6" s="98"/>
      <c r="X6" s="98"/>
      <c r="Y6" s="98"/>
      <c r="Z6" s="98"/>
      <c r="AA6" s="98"/>
      <c r="AB6" s="98"/>
    </row>
    <row r="7">
      <c r="C7" s="59" t="s">
        <v>26</v>
      </c>
      <c r="D7" s="59" t="s">
        <v>1000</v>
      </c>
      <c r="E7" s="98"/>
      <c r="F7" s="59" t="s">
        <v>1001</v>
      </c>
      <c r="G7" s="59" t="s">
        <v>1002</v>
      </c>
      <c r="H7" s="98"/>
      <c r="I7" s="98"/>
      <c r="J7" s="98"/>
      <c r="K7" s="98"/>
      <c r="L7" s="98"/>
      <c r="M7" s="98"/>
      <c r="N7" s="98"/>
      <c r="O7" s="98"/>
      <c r="P7" s="98"/>
      <c r="Q7" s="98"/>
      <c r="R7" s="98"/>
      <c r="S7" s="98"/>
      <c r="T7" s="98"/>
      <c r="U7" s="98"/>
      <c r="V7" s="98"/>
      <c r="W7" s="98"/>
      <c r="X7" s="98"/>
      <c r="Y7" s="98"/>
      <c r="Z7" s="98"/>
      <c r="AA7" s="98"/>
      <c r="AB7" s="98"/>
    </row>
    <row r="8">
      <c r="C8" s="59" t="s">
        <v>28</v>
      </c>
      <c r="D8" s="98"/>
      <c r="E8" s="98"/>
      <c r="F8" s="98"/>
      <c r="G8" s="98"/>
      <c r="H8" s="98"/>
      <c r="I8" s="98"/>
      <c r="J8" s="98"/>
      <c r="K8" s="98"/>
      <c r="L8" s="98"/>
      <c r="M8" s="98"/>
      <c r="N8" s="98"/>
      <c r="O8" s="98"/>
      <c r="P8" s="98"/>
      <c r="Q8" s="98"/>
      <c r="R8" s="98"/>
      <c r="S8" s="98"/>
      <c r="T8" s="98"/>
      <c r="U8" s="98"/>
      <c r="V8" s="98"/>
      <c r="W8" s="98"/>
      <c r="X8" s="98"/>
      <c r="Y8" s="98"/>
      <c r="Z8" s="98"/>
      <c r="AA8" s="98"/>
      <c r="AB8" s="98"/>
    </row>
    <row r="9">
      <c r="A9" s="5">
        <v>33.0</v>
      </c>
      <c r="B9" s="5" t="s">
        <v>1003</v>
      </c>
      <c r="C9" s="5" t="s">
        <v>3</v>
      </c>
      <c r="D9" s="5" t="s">
        <v>985</v>
      </c>
      <c r="E9" s="5" t="s">
        <v>986</v>
      </c>
      <c r="F9" s="5" t="s">
        <v>987</v>
      </c>
      <c r="G9" s="5" t="s">
        <v>988</v>
      </c>
      <c r="H9" s="2"/>
      <c r="I9" s="2"/>
      <c r="J9" s="2"/>
      <c r="K9" s="2"/>
      <c r="L9" s="2"/>
      <c r="M9" s="2"/>
      <c r="N9" s="2"/>
      <c r="O9" s="2"/>
      <c r="P9" s="2"/>
      <c r="Q9" s="2"/>
      <c r="R9" s="2"/>
      <c r="S9" s="2"/>
      <c r="T9" s="2"/>
      <c r="U9" s="2"/>
      <c r="V9" s="2"/>
      <c r="W9" s="2"/>
      <c r="X9" s="2"/>
      <c r="Y9" s="2"/>
      <c r="Z9" s="2"/>
      <c r="AA9" s="2"/>
      <c r="AB9" s="2"/>
    </row>
    <row r="10">
      <c r="C10" s="5" t="s">
        <v>9</v>
      </c>
      <c r="D10" s="5" t="s">
        <v>1004</v>
      </c>
      <c r="E10" s="5" t="s">
        <v>1005</v>
      </c>
      <c r="F10" s="5" t="s">
        <v>1006</v>
      </c>
      <c r="G10" s="5" t="s">
        <v>1005</v>
      </c>
      <c r="H10" s="2"/>
      <c r="I10" s="2"/>
      <c r="J10" s="2"/>
      <c r="K10" s="2"/>
      <c r="L10" s="2"/>
      <c r="M10" s="2"/>
      <c r="N10" s="2"/>
      <c r="O10" s="2"/>
      <c r="P10" s="2"/>
      <c r="Q10" s="2"/>
      <c r="R10" s="2"/>
      <c r="S10" s="2"/>
      <c r="T10" s="2"/>
      <c r="U10" s="2"/>
      <c r="V10" s="2"/>
      <c r="W10" s="2"/>
      <c r="X10" s="2"/>
      <c r="Y10" s="2"/>
      <c r="Z10" s="2"/>
      <c r="AA10" s="2"/>
      <c r="AB10" s="2"/>
    </row>
    <row r="11">
      <c r="C11" s="5" t="s">
        <v>15</v>
      </c>
      <c r="D11" s="5" t="s">
        <v>1007</v>
      </c>
      <c r="E11" s="5" t="s">
        <v>1008</v>
      </c>
      <c r="F11" s="5" t="s">
        <v>1009</v>
      </c>
      <c r="G11" s="5" t="s">
        <v>1010</v>
      </c>
      <c r="H11" s="2"/>
      <c r="I11" s="2"/>
      <c r="J11" s="2"/>
      <c r="K11" s="2"/>
      <c r="L11" s="2"/>
      <c r="M11" s="2"/>
      <c r="N11" s="2"/>
      <c r="O11" s="2"/>
      <c r="P11" s="2"/>
      <c r="Q11" s="2"/>
      <c r="R11" s="2"/>
      <c r="S11" s="2"/>
      <c r="T11" s="2"/>
      <c r="U11" s="2"/>
      <c r="V11" s="2"/>
      <c r="W11" s="2"/>
      <c r="X11" s="2"/>
      <c r="Y11" s="2"/>
      <c r="Z11" s="2"/>
      <c r="AA11" s="2"/>
      <c r="AB11" s="2"/>
    </row>
    <row r="12">
      <c r="C12" s="5" t="s">
        <v>21</v>
      </c>
      <c r="D12" s="5" t="s">
        <v>997</v>
      </c>
      <c r="E12" s="5" t="s">
        <v>23</v>
      </c>
      <c r="F12" s="5" t="s">
        <v>1011</v>
      </c>
      <c r="G12" s="5" t="s">
        <v>999</v>
      </c>
      <c r="H12" s="2"/>
      <c r="I12" s="2"/>
      <c r="J12" s="2"/>
      <c r="K12" s="2"/>
      <c r="L12" s="2"/>
      <c r="M12" s="2"/>
      <c r="N12" s="2"/>
      <c r="O12" s="2"/>
      <c r="P12" s="2"/>
      <c r="Q12" s="2"/>
      <c r="R12" s="2"/>
      <c r="S12" s="2"/>
      <c r="T12" s="2"/>
      <c r="U12" s="2"/>
      <c r="V12" s="2"/>
      <c r="W12" s="2"/>
      <c r="X12" s="2"/>
      <c r="Y12" s="2"/>
      <c r="Z12" s="2"/>
      <c r="AA12" s="2"/>
      <c r="AB12" s="2"/>
    </row>
    <row r="13">
      <c r="C13" s="5" t="s">
        <v>26</v>
      </c>
      <c r="D13" s="5" t="s">
        <v>1000</v>
      </c>
      <c r="E13" s="2"/>
      <c r="F13" s="5" t="s">
        <v>1009</v>
      </c>
      <c r="G13" s="5" t="s">
        <v>1010</v>
      </c>
      <c r="H13" s="2"/>
      <c r="I13" s="2"/>
      <c r="J13" s="2"/>
      <c r="K13" s="2"/>
      <c r="L13" s="2"/>
      <c r="M13" s="2"/>
      <c r="N13" s="2"/>
      <c r="O13" s="2"/>
      <c r="P13" s="2"/>
      <c r="Q13" s="2"/>
      <c r="R13" s="2"/>
      <c r="S13" s="2"/>
      <c r="T13" s="2"/>
      <c r="U13" s="2"/>
      <c r="V13" s="2"/>
      <c r="W13" s="2"/>
      <c r="X13" s="2"/>
      <c r="Y13" s="2"/>
      <c r="Z13" s="2"/>
      <c r="AA13" s="2"/>
      <c r="AB13" s="2"/>
    </row>
    <row r="14">
      <c r="C14" s="5" t="s">
        <v>28</v>
      </c>
      <c r="D14" s="2"/>
      <c r="E14" s="2"/>
      <c r="F14" s="2"/>
      <c r="G14" s="2"/>
      <c r="H14" s="2"/>
      <c r="I14" s="2"/>
      <c r="J14" s="2"/>
      <c r="K14" s="2"/>
      <c r="L14" s="2"/>
      <c r="M14" s="2"/>
      <c r="N14" s="2"/>
      <c r="O14" s="2"/>
      <c r="P14" s="2"/>
      <c r="Q14" s="2"/>
      <c r="R14" s="2"/>
      <c r="S14" s="2"/>
      <c r="T14" s="2"/>
      <c r="U14" s="2"/>
      <c r="V14" s="2"/>
      <c r="W14" s="2"/>
      <c r="X14" s="2"/>
      <c r="Y14" s="2"/>
      <c r="Z14" s="2"/>
      <c r="AA14" s="2"/>
      <c r="AB14" s="2"/>
    </row>
    <row r="15">
      <c r="A15" s="59">
        <v>34.0</v>
      </c>
      <c r="B15" s="59" t="s">
        <v>1012</v>
      </c>
      <c r="C15" s="59" t="s">
        <v>3</v>
      </c>
      <c r="D15" s="59" t="s">
        <v>985</v>
      </c>
      <c r="E15" s="59" t="s">
        <v>986</v>
      </c>
      <c r="F15" s="59" t="s">
        <v>987</v>
      </c>
      <c r="G15" s="59" t="s">
        <v>988</v>
      </c>
      <c r="H15" s="98"/>
      <c r="I15" s="98"/>
      <c r="J15" s="98"/>
      <c r="K15" s="98"/>
      <c r="L15" s="98"/>
      <c r="M15" s="98"/>
      <c r="N15" s="98"/>
      <c r="O15" s="98"/>
      <c r="P15" s="98"/>
      <c r="Q15" s="98"/>
      <c r="R15" s="98"/>
      <c r="S15" s="98"/>
      <c r="T15" s="98"/>
      <c r="U15" s="98"/>
      <c r="V15" s="98"/>
      <c r="W15" s="98"/>
      <c r="X15" s="98"/>
      <c r="Y15" s="98"/>
      <c r="Z15" s="98"/>
      <c r="AA15" s="98"/>
      <c r="AB15" s="98"/>
    </row>
    <row r="16" ht="287.25" customHeight="1">
      <c r="C16" s="59" t="s">
        <v>9</v>
      </c>
      <c r="D16" s="59" t="s">
        <v>1013</v>
      </c>
      <c r="E16" s="59" t="s">
        <v>1014</v>
      </c>
      <c r="F16" s="59" t="s">
        <v>1015</v>
      </c>
      <c r="G16" s="59" t="s">
        <v>1016</v>
      </c>
      <c r="H16" s="98"/>
      <c r="I16" s="98"/>
      <c r="J16" s="98"/>
      <c r="K16" s="98"/>
      <c r="L16" s="98"/>
      <c r="M16" s="98"/>
      <c r="N16" s="98"/>
      <c r="O16" s="98"/>
      <c r="P16" s="98"/>
      <c r="Q16" s="98"/>
      <c r="R16" s="98"/>
      <c r="S16" s="98"/>
      <c r="T16" s="98"/>
      <c r="U16" s="98"/>
      <c r="V16" s="98"/>
      <c r="W16" s="98"/>
      <c r="X16" s="98"/>
      <c r="Y16" s="98"/>
      <c r="Z16" s="98"/>
      <c r="AA16" s="98"/>
      <c r="AB16" s="98"/>
    </row>
    <row r="17">
      <c r="C17" s="59" t="s">
        <v>15</v>
      </c>
      <c r="D17" s="59" t="s">
        <v>1017</v>
      </c>
      <c r="E17" s="59" t="s">
        <v>1018</v>
      </c>
      <c r="F17" s="59" t="s">
        <v>1019</v>
      </c>
      <c r="G17" s="59" t="s">
        <v>1020</v>
      </c>
      <c r="H17" s="98"/>
      <c r="I17" s="98"/>
      <c r="J17" s="98"/>
      <c r="K17" s="98"/>
      <c r="L17" s="98"/>
      <c r="M17" s="98"/>
      <c r="N17" s="98"/>
      <c r="O17" s="98"/>
      <c r="P17" s="98"/>
      <c r="Q17" s="98"/>
      <c r="R17" s="98"/>
      <c r="S17" s="98"/>
      <c r="T17" s="98"/>
      <c r="U17" s="98"/>
      <c r="V17" s="98"/>
      <c r="W17" s="98"/>
      <c r="X17" s="98"/>
      <c r="Y17" s="98"/>
      <c r="Z17" s="98"/>
      <c r="AA17" s="98"/>
      <c r="AB17" s="98"/>
    </row>
    <row r="18">
      <c r="C18" s="59" t="s">
        <v>21</v>
      </c>
      <c r="D18" s="59" t="s">
        <v>997</v>
      </c>
      <c r="E18" s="59" t="s">
        <v>23</v>
      </c>
      <c r="F18" s="59" t="s">
        <v>1011</v>
      </c>
      <c r="G18" s="59" t="s">
        <v>999</v>
      </c>
      <c r="H18" s="98"/>
      <c r="I18" s="98"/>
      <c r="J18" s="98"/>
      <c r="K18" s="98"/>
      <c r="L18" s="98"/>
      <c r="M18" s="98"/>
      <c r="N18" s="98"/>
      <c r="O18" s="98"/>
      <c r="P18" s="98"/>
      <c r="Q18" s="98"/>
      <c r="R18" s="98"/>
      <c r="S18" s="98"/>
      <c r="T18" s="98"/>
      <c r="U18" s="98"/>
      <c r="V18" s="98"/>
      <c r="W18" s="98"/>
      <c r="X18" s="98"/>
      <c r="Y18" s="98"/>
      <c r="Z18" s="98"/>
      <c r="AA18" s="98"/>
      <c r="AB18" s="98"/>
    </row>
    <row r="19">
      <c r="C19" s="59" t="s">
        <v>26</v>
      </c>
      <c r="D19" s="59" t="s">
        <v>1000</v>
      </c>
      <c r="E19" s="98"/>
      <c r="F19" s="59" t="s">
        <v>1019</v>
      </c>
      <c r="G19" s="59" t="s">
        <v>1021</v>
      </c>
      <c r="H19" s="98"/>
      <c r="I19" s="98"/>
      <c r="J19" s="98"/>
      <c r="K19" s="98"/>
      <c r="L19" s="98"/>
      <c r="M19" s="98"/>
      <c r="N19" s="98"/>
      <c r="O19" s="98"/>
      <c r="P19" s="98"/>
      <c r="Q19" s="98"/>
      <c r="R19" s="98"/>
      <c r="S19" s="98"/>
      <c r="T19" s="98"/>
      <c r="U19" s="98"/>
      <c r="V19" s="98"/>
      <c r="W19" s="98"/>
      <c r="X19" s="98"/>
      <c r="Y19" s="98"/>
      <c r="Z19" s="98"/>
      <c r="AA19" s="98"/>
      <c r="AB19" s="98"/>
    </row>
    <row r="20">
      <c r="C20" s="59" t="s">
        <v>28</v>
      </c>
      <c r="D20" s="98"/>
      <c r="E20" s="98"/>
      <c r="F20" s="98"/>
      <c r="G20" s="98"/>
      <c r="H20" s="98"/>
      <c r="I20" s="98"/>
      <c r="J20" s="98"/>
      <c r="K20" s="98"/>
      <c r="L20" s="98"/>
      <c r="M20" s="98"/>
      <c r="N20" s="98"/>
      <c r="O20" s="98"/>
      <c r="P20" s="98"/>
      <c r="Q20" s="98"/>
      <c r="R20" s="98"/>
      <c r="S20" s="98"/>
      <c r="T20" s="98"/>
      <c r="U20" s="98"/>
      <c r="V20" s="98"/>
      <c r="W20" s="98"/>
      <c r="X20" s="98"/>
      <c r="Y20" s="98"/>
      <c r="Z20" s="98"/>
      <c r="AA20" s="98"/>
      <c r="AB20" s="98"/>
    </row>
    <row r="21">
      <c r="A21" s="5">
        <v>35.0</v>
      </c>
      <c r="B21" s="5" t="s">
        <v>1022</v>
      </c>
      <c r="C21" s="5" t="s">
        <v>3</v>
      </c>
      <c r="D21" s="5" t="s">
        <v>985</v>
      </c>
      <c r="E21" s="5" t="s">
        <v>986</v>
      </c>
      <c r="F21" s="5" t="s">
        <v>987</v>
      </c>
      <c r="G21" s="5" t="s">
        <v>988</v>
      </c>
      <c r="H21" s="2"/>
      <c r="I21" s="2"/>
      <c r="J21" s="2"/>
      <c r="K21" s="2"/>
      <c r="L21" s="2"/>
      <c r="M21" s="2"/>
      <c r="N21" s="2"/>
      <c r="O21" s="2"/>
      <c r="P21" s="2"/>
      <c r="Q21" s="2"/>
      <c r="R21" s="2"/>
      <c r="S21" s="2"/>
      <c r="T21" s="2"/>
      <c r="U21" s="2"/>
      <c r="V21" s="2"/>
      <c r="W21" s="2"/>
      <c r="X21" s="2"/>
      <c r="Y21" s="2"/>
      <c r="Z21" s="2"/>
      <c r="AA21" s="2"/>
      <c r="AB21" s="2"/>
    </row>
    <row r="22">
      <c r="C22" s="5" t="s">
        <v>9</v>
      </c>
      <c r="D22" s="5" t="s">
        <v>1023</v>
      </c>
      <c r="E22" s="5" t="s">
        <v>1024</v>
      </c>
      <c r="F22" s="5" t="s">
        <v>1025</v>
      </c>
      <c r="G22" s="5" t="s">
        <v>1026</v>
      </c>
      <c r="H22" s="2"/>
      <c r="I22" s="2"/>
      <c r="J22" s="2"/>
      <c r="K22" s="2"/>
      <c r="L22" s="2"/>
      <c r="M22" s="2"/>
      <c r="N22" s="2"/>
      <c r="O22" s="2"/>
      <c r="P22" s="2"/>
      <c r="Q22" s="2"/>
      <c r="R22" s="2"/>
      <c r="S22" s="2"/>
      <c r="T22" s="2"/>
      <c r="U22" s="2"/>
      <c r="V22" s="2"/>
      <c r="W22" s="2"/>
      <c r="X22" s="2"/>
      <c r="Y22" s="2"/>
      <c r="Z22" s="2"/>
      <c r="AA22" s="2"/>
      <c r="AB22" s="2"/>
    </row>
    <row r="23">
      <c r="C23" s="5" t="s">
        <v>15</v>
      </c>
      <c r="D23" s="5" t="s">
        <v>1027</v>
      </c>
      <c r="E23" s="5" t="s">
        <v>1028</v>
      </c>
      <c r="F23" s="5" t="s">
        <v>1029</v>
      </c>
      <c r="G23" s="5" t="s">
        <v>1030</v>
      </c>
      <c r="H23" s="2"/>
      <c r="I23" s="2"/>
      <c r="J23" s="2"/>
      <c r="K23" s="2"/>
      <c r="L23" s="2"/>
      <c r="M23" s="2"/>
      <c r="N23" s="2"/>
      <c r="O23" s="2"/>
      <c r="P23" s="2"/>
      <c r="Q23" s="2"/>
      <c r="R23" s="2"/>
      <c r="S23" s="2"/>
      <c r="T23" s="2"/>
      <c r="U23" s="2"/>
      <c r="V23" s="2"/>
      <c r="W23" s="2"/>
      <c r="X23" s="2"/>
      <c r="Y23" s="2"/>
      <c r="Z23" s="2"/>
      <c r="AA23" s="2"/>
      <c r="AB23" s="2"/>
    </row>
    <row r="24">
      <c r="C24" s="5" t="s">
        <v>21</v>
      </c>
      <c r="D24" s="5" t="s">
        <v>997</v>
      </c>
      <c r="E24" s="5" t="s">
        <v>23</v>
      </c>
      <c r="F24" s="5" t="s">
        <v>1011</v>
      </c>
      <c r="G24" s="5" t="s">
        <v>999</v>
      </c>
      <c r="H24" s="2"/>
      <c r="I24" s="2"/>
      <c r="J24" s="2"/>
      <c r="K24" s="2"/>
      <c r="L24" s="2"/>
      <c r="M24" s="2"/>
      <c r="N24" s="2"/>
      <c r="O24" s="2"/>
      <c r="P24" s="2"/>
      <c r="Q24" s="2"/>
      <c r="R24" s="2"/>
      <c r="S24" s="2"/>
      <c r="T24" s="2"/>
      <c r="U24" s="2"/>
      <c r="V24" s="2"/>
      <c r="W24" s="2"/>
      <c r="X24" s="2"/>
      <c r="Y24" s="2"/>
      <c r="Z24" s="2"/>
      <c r="AA24" s="2"/>
      <c r="AB24" s="2"/>
    </row>
    <row r="25">
      <c r="C25" s="5" t="s">
        <v>26</v>
      </c>
      <c r="D25" s="5" t="s">
        <v>1000</v>
      </c>
      <c r="E25" s="2"/>
      <c r="F25" s="5" t="s">
        <v>1031</v>
      </c>
      <c r="G25" s="5" t="s">
        <v>1032</v>
      </c>
      <c r="H25" s="2"/>
      <c r="I25" s="2"/>
      <c r="J25" s="2"/>
      <c r="K25" s="2"/>
      <c r="L25" s="2"/>
      <c r="M25" s="2"/>
      <c r="N25" s="2"/>
      <c r="O25" s="2"/>
      <c r="P25" s="2"/>
      <c r="Q25" s="2"/>
      <c r="R25" s="2"/>
      <c r="S25" s="2"/>
      <c r="T25" s="2"/>
      <c r="U25" s="2"/>
      <c r="V25" s="2"/>
      <c r="W25" s="2"/>
      <c r="X25" s="2"/>
      <c r="Y25" s="2"/>
      <c r="Z25" s="2"/>
      <c r="AA25" s="2"/>
      <c r="AB25" s="2"/>
    </row>
    <row r="26">
      <c r="C26" s="5" t="s">
        <v>28</v>
      </c>
      <c r="D26" s="2"/>
      <c r="E26" s="2"/>
      <c r="F26" s="2"/>
      <c r="G26" s="2"/>
      <c r="H26" s="2"/>
      <c r="I26" s="2"/>
      <c r="J26" s="2"/>
      <c r="K26" s="2"/>
      <c r="L26" s="2"/>
      <c r="M26" s="2"/>
      <c r="N26" s="2"/>
      <c r="O26" s="2"/>
      <c r="P26" s="2"/>
      <c r="Q26" s="2"/>
      <c r="R26" s="2"/>
      <c r="S26" s="2"/>
      <c r="T26" s="2"/>
      <c r="U26" s="2"/>
      <c r="V26" s="2"/>
      <c r="W26" s="2"/>
      <c r="X26" s="2"/>
      <c r="Y26" s="2"/>
      <c r="Z26" s="2"/>
      <c r="AA26" s="2"/>
      <c r="AB26" s="2"/>
    </row>
    <row r="27">
      <c r="A27" s="59">
        <v>36.0</v>
      </c>
      <c r="B27" s="59" t="s">
        <v>1033</v>
      </c>
      <c r="C27" s="59" t="s">
        <v>3</v>
      </c>
      <c r="D27" s="59" t="s">
        <v>985</v>
      </c>
      <c r="E27" s="59" t="s">
        <v>986</v>
      </c>
      <c r="F27" s="59" t="s">
        <v>987</v>
      </c>
      <c r="G27" s="59" t="s">
        <v>988</v>
      </c>
      <c r="H27" s="98"/>
      <c r="I27" s="98"/>
      <c r="J27" s="98"/>
      <c r="K27" s="98"/>
      <c r="L27" s="98"/>
      <c r="M27" s="98"/>
      <c r="N27" s="98"/>
      <c r="O27" s="98"/>
      <c r="P27" s="98"/>
      <c r="Q27" s="98"/>
      <c r="R27" s="98"/>
      <c r="S27" s="98"/>
      <c r="T27" s="98"/>
      <c r="U27" s="98"/>
      <c r="V27" s="98"/>
      <c r="W27" s="98"/>
      <c r="X27" s="98"/>
      <c r="Y27" s="98"/>
      <c r="Z27" s="98"/>
      <c r="AA27" s="98"/>
      <c r="AB27" s="98"/>
    </row>
    <row r="28">
      <c r="C28" s="59" t="s">
        <v>9</v>
      </c>
      <c r="D28" s="59" t="s">
        <v>1034</v>
      </c>
      <c r="E28" s="59" t="s">
        <v>1035</v>
      </c>
      <c r="F28" s="59" t="s">
        <v>1036</v>
      </c>
      <c r="G28" s="59" t="s">
        <v>1037</v>
      </c>
      <c r="H28" s="98"/>
      <c r="I28" s="98"/>
      <c r="J28" s="98"/>
      <c r="K28" s="98"/>
      <c r="L28" s="98"/>
      <c r="M28" s="98"/>
      <c r="N28" s="98"/>
      <c r="O28" s="98"/>
      <c r="P28" s="98"/>
      <c r="Q28" s="98"/>
      <c r="R28" s="98"/>
      <c r="S28" s="98"/>
      <c r="T28" s="98"/>
      <c r="U28" s="98"/>
      <c r="V28" s="98"/>
      <c r="W28" s="98"/>
      <c r="X28" s="98"/>
      <c r="Y28" s="98"/>
      <c r="Z28" s="98"/>
      <c r="AA28" s="98"/>
      <c r="AB28" s="98"/>
    </row>
    <row r="29">
      <c r="C29" s="59" t="s">
        <v>15</v>
      </c>
      <c r="D29" s="59" t="s">
        <v>1038</v>
      </c>
      <c r="E29" s="59" t="s">
        <v>1039</v>
      </c>
      <c r="F29" s="59" t="s">
        <v>1040</v>
      </c>
      <c r="G29" s="59" t="s">
        <v>1041</v>
      </c>
      <c r="H29" s="98"/>
      <c r="I29" s="98"/>
      <c r="J29" s="98"/>
      <c r="K29" s="98"/>
      <c r="L29" s="98"/>
      <c r="M29" s="98"/>
      <c r="N29" s="98"/>
      <c r="O29" s="98"/>
      <c r="P29" s="98"/>
      <c r="Q29" s="98"/>
      <c r="R29" s="98"/>
      <c r="S29" s="98"/>
      <c r="T29" s="98"/>
      <c r="U29" s="98"/>
      <c r="V29" s="98"/>
      <c r="W29" s="98"/>
      <c r="X29" s="98"/>
      <c r="Y29" s="98"/>
      <c r="Z29" s="98"/>
      <c r="AA29" s="98"/>
      <c r="AB29" s="98"/>
    </row>
    <row r="30">
      <c r="C30" s="59" t="s">
        <v>21</v>
      </c>
      <c r="D30" s="59" t="s">
        <v>997</v>
      </c>
      <c r="E30" s="59" t="s">
        <v>23</v>
      </c>
      <c r="F30" s="59" t="s">
        <v>1011</v>
      </c>
      <c r="G30" s="59" t="s">
        <v>999</v>
      </c>
      <c r="H30" s="98"/>
      <c r="I30" s="98"/>
      <c r="J30" s="98"/>
      <c r="K30" s="98"/>
      <c r="L30" s="98"/>
      <c r="M30" s="98"/>
      <c r="N30" s="98"/>
      <c r="O30" s="98"/>
      <c r="P30" s="98"/>
      <c r="Q30" s="98"/>
      <c r="R30" s="98"/>
      <c r="S30" s="98"/>
      <c r="T30" s="98"/>
      <c r="U30" s="98"/>
      <c r="V30" s="98"/>
      <c r="W30" s="98"/>
      <c r="X30" s="98"/>
      <c r="Y30" s="98"/>
      <c r="Z30" s="98"/>
      <c r="AA30" s="98"/>
      <c r="AB30" s="98"/>
    </row>
    <row r="31">
      <c r="C31" s="59" t="s">
        <v>26</v>
      </c>
      <c r="D31" s="59" t="s">
        <v>1000</v>
      </c>
      <c r="E31" s="98"/>
      <c r="F31" s="59" t="s">
        <v>1042</v>
      </c>
      <c r="G31" s="59" t="s">
        <v>1032</v>
      </c>
      <c r="H31" s="98"/>
      <c r="I31" s="98"/>
      <c r="J31" s="98"/>
      <c r="K31" s="98"/>
      <c r="L31" s="98"/>
      <c r="M31" s="98"/>
      <c r="N31" s="98"/>
      <c r="O31" s="98"/>
      <c r="P31" s="98"/>
      <c r="Q31" s="98"/>
      <c r="R31" s="98"/>
      <c r="S31" s="98"/>
      <c r="T31" s="98"/>
      <c r="U31" s="98"/>
      <c r="V31" s="98"/>
      <c r="W31" s="98"/>
      <c r="X31" s="98"/>
      <c r="Y31" s="98"/>
      <c r="Z31" s="98"/>
      <c r="AA31" s="98"/>
      <c r="AB31" s="98"/>
    </row>
    <row r="32">
      <c r="C32" s="59" t="s">
        <v>28</v>
      </c>
      <c r="D32" s="98"/>
      <c r="E32" s="98"/>
      <c r="F32" s="98"/>
      <c r="G32" s="98"/>
      <c r="H32" s="98"/>
      <c r="I32" s="98"/>
      <c r="J32" s="98"/>
      <c r="K32" s="98"/>
      <c r="L32" s="98"/>
      <c r="M32" s="98"/>
      <c r="N32" s="98"/>
      <c r="O32" s="98"/>
      <c r="P32" s="98"/>
      <c r="Q32" s="98"/>
      <c r="R32" s="98"/>
      <c r="S32" s="98"/>
      <c r="T32" s="98"/>
      <c r="U32" s="98"/>
      <c r="V32" s="98"/>
      <c r="W32" s="98"/>
      <c r="X32" s="98"/>
      <c r="Y32" s="98"/>
      <c r="Z32" s="98"/>
      <c r="AA32" s="98"/>
      <c r="AB32" s="98"/>
    </row>
    <row r="33">
      <c r="A33" s="5">
        <v>37.0</v>
      </c>
      <c r="B33" s="5" t="s">
        <v>1043</v>
      </c>
      <c r="C33" s="5" t="s">
        <v>3</v>
      </c>
      <c r="D33" s="5" t="s">
        <v>985</v>
      </c>
      <c r="E33" s="5" t="s">
        <v>986</v>
      </c>
      <c r="F33" s="5" t="s">
        <v>987</v>
      </c>
      <c r="G33" s="5" t="s">
        <v>988</v>
      </c>
      <c r="H33" s="2"/>
      <c r="I33" s="2"/>
      <c r="J33" s="2"/>
      <c r="K33" s="2"/>
      <c r="L33" s="2"/>
      <c r="M33" s="2"/>
      <c r="N33" s="2"/>
      <c r="O33" s="2"/>
      <c r="P33" s="2"/>
      <c r="Q33" s="2"/>
      <c r="R33" s="2"/>
      <c r="S33" s="2"/>
      <c r="T33" s="2"/>
      <c r="U33" s="2"/>
      <c r="V33" s="2"/>
      <c r="W33" s="2"/>
      <c r="X33" s="2"/>
      <c r="Y33" s="2"/>
      <c r="Z33" s="2"/>
      <c r="AA33" s="2"/>
      <c r="AB33" s="2"/>
    </row>
    <row r="34">
      <c r="C34" s="5" t="s">
        <v>9</v>
      </c>
      <c r="D34" s="5" t="s">
        <v>1044</v>
      </c>
      <c r="E34" s="5" t="s">
        <v>1045</v>
      </c>
      <c r="F34" s="5" t="s">
        <v>1046</v>
      </c>
      <c r="G34" s="2"/>
      <c r="H34" s="2"/>
      <c r="I34" s="2"/>
      <c r="J34" s="2"/>
      <c r="K34" s="2"/>
      <c r="L34" s="2"/>
      <c r="M34" s="2"/>
      <c r="N34" s="2"/>
      <c r="O34" s="2"/>
      <c r="P34" s="2"/>
      <c r="Q34" s="2"/>
      <c r="R34" s="2"/>
      <c r="S34" s="2"/>
      <c r="T34" s="2"/>
      <c r="U34" s="2"/>
      <c r="V34" s="2"/>
      <c r="W34" s="2"/>
      <c r="X34" s="2"/>
      <c r="Y34" s="2"/>
      <c r="Z34" s="2"/>
      <c r="AA34" s="2"/>
      <c r="AB34" s="2"/>
    </row>
    <row r="35">
      <c r="C35" s="5" t="s">
        <v>15</v>
      </c>
      <c r="D35" s="5" t="s">
        <v>1047</v>
      </c>
      <c r="E35" s="5" t="s">
        <v>1048</v>
      </c>
      <c r="F35" s="5" t="s">
        <v>1049</v>
      </c>
      <c r="G35" s="5" t="s">
        <v>1050</v>
      </c>
      <c r="H35" s="2"/>
      <c r="I35" s="2"/>
      <c r="J35" s="2"/>
      <c r="K35" s="2"/>
      <c r="L35" s="2"/>
      <c r="M35" s="2"/>
      <c r="N35" s="2"/>
      <c r="O35" s="2"/>
      <c r="P35" s="2"/>
      <c r="Q35" s="2"/>
      <c r="R35" s="2"/>
      <c r="S35" s="2"/>
      <c r="T35" s="2"/>
      <c r="U35" s="2"/>
      <c r="V35" s="2"/>
      <c r="W35" s="2"/>
      <c r="X35" s="2"/>
      <c r="Y35" s="2"/>
      <c r="Z35" s="2"/>
      <c r="AA35" s="2"/>
      <c r="AB35" s="2"/>
    </row>
    <row r="36">
      <c r="C36" s="5" t="s">
        <v>21</v>
      </c>
      <c r="D36" s="5" t="s">
        <v>997</v>
      </c>
      <c r="E36" s="5" t="s">
        <v>23</v>
      </c>
      <c r="F36" s="5" t="s">
        <v>1011</v>
      </c>
      <c r="G36" s="5" t="s">
        <v>999</v>
      </c>
      <c r="H36" s="2"/>
      <c r="I36" s="2"/>
      <c r="J36" s="2"/>
      <c r="K36" s="2"/>
      <c r="L36" s="2"/>
      <c r="M36" s="2"/>
      <c r="N36" s="2"/>
      <c r="O36" s="2"/>
      <c r="P36" s="2"/>
      <c r="Q36" s="2"/>
      <c r="R36" s="2"/>
      <c r="S36" s="2"/>
      <c r="T36" s="2"/>
      <c r="U36" s="2"/>
      <c r="V36" s="2"/>
      <c r="W36" s="2"/>
      <c r="X36" s="2"/>
      <c r="Y36" s="2"/>
      <c r="Z36" s="2"/>
      <c r="AA36" s="2"/>
      <c r="AB36" s="2"/>
    </row>
    <row r="37">
      <c r="C37" s="5" t="s">
        <v>26</v>
      </c>
      <c r="D37" s="5" t="s">
        <v>1000</v>
      </c>
      <c r="E37" s="2"/>
      <c r="F37" s="5" t="s">
        <v>1019</v>
      </c>
      <c r="G37" s="5" t="s">
        <v>1050</v>
      </c>
      <c r="H37" s="2"/>
      <c r="I37" s="2"/>
      <c r="J37" s="2"/>
      <c r="K37" s="2"/>
      <c r="L37" s="2"/>
      <c r="M37" s="2"/>
      <c r="N37" s="2"/>
      <c r="O37" s="2"/>
      <c r="P37" s="2"/>
      <c r="Q37" s="2"/>
      <c r="R37" s="2"/>
      <c r="S37" s="2"/>
      <c r="T37" s="2"/>
      <c r="U37" s="2"/>
      <c r="V37" s="2"/>
      <c r="W37" s="2"/>
      <c r="X37" s="2"/>
      <c r="Y37" s="2"/>
      <c r="Z37" s="2"/>
      <c r="AA37" s="2"/>
      <c r="AB37" s="2"/>
    </row>
    <row r="38">
      <c r="C38" s="5" t="s">
        <v>28</v>
      </c>
      <c r="D38" s="2"/>
      <c r="E38" s="2"/>
      <c r="F38" s="5"/>
      <c r="G38" s="2"/>
      <c r="H38" s="2"/>
      <c r="I38" s="2"/>
      <c r="J38" s="2"/>
      <c r="K38" s="2"/>
      <c r="L38" s="2"/>
      <c r="M38" s="2"/>
      <c r="N38" s="2"/>
      <c r="O38" s="2"/>
      <c r="P38" s="2"/>
      <c r="Q38" s="2"/>
      <c r="R38" s="2"/>
      <c r="S38" s="2"/>
      <c r="T38" s="2"/>
      <c r="U38" s="2"/>
      <c r="V38" s="2"/>
      <c r="W38" s="2"/>
      <c r="X38" s="2"/>
      <c r="Y38" s="2"/>
      <c r="Z38" s="2"/>
      <c r="AA38" s="2"/>
      <c r="AB38" s="2"/>
    </row>
    <row r="39">
      <c r="A39" s="59">
        <v>41.0</v>
      </c>
      <c r="B39" s="59" t="s">
        <v>1051</v>
      </c>
      <c r="C39" s="59" t="s">
        <v>3</v>
      </c>
      <c r="D39" s="59" t="s">
        <v>985</v>
      </c>
      <c r="E39" s="59" t="s">
        <v>986</v>
      </c>
      <c r="F39" s="59" t="s">
        <v>987</v>
      </c>
      <c r="G39" s="59" t="s">
        <v>988</v>
      </c>
      <c r="H39" s="98"/>
      <c r="I39" s="98"/>
      <c r="J39" s="98"/>
      <c r="K39" s="98"/>
      <c r="L39" s="98"/>
      <c r="M39" s="98"/>
      <c r="N39" s="98"/>
      <c r="O39" s="98"/>
      <c r="P39" s="98"/>
      <c r="Q39" s="98"/>
      <c r="R39" s="98"/>
      <c r="S39" s="98"/>
      <c r="T39" s="98"/>
      <c r="U39" s="98"/>
      <c r="V39" s="98"/>
      <c r="W39" s="98"/>
      <c r="X39" s="98"/>
      <c r="Y39" s="98"/>
      <c r="Z39" s="98"/>
      <c r="AA39" s="98"/>
      <c r="AB39" s="98"/>
    </row>
    <row r="40">
      <c r="C40" s="59" t="s">
        <v>9</v>
      </c>
      <c r="D40" s="59" t="s">
        <v>1052</v>
      </c>
      <c r="E40" s="99" t="s">
        <v>1053</v>
      </c>
      <c r="F40" s="59" t="s">
        <v>1054</v>
      </c>
      <c r="G40" s="59" t="s">
        <v>1055</v>
      </c>
      <c r="H40" s="98"/>
      <c r="I40" s="98"/>
      <c r="J40" s="98"/>
      <c r="K40" s="98"/>
      <c r="L40" s="98"/>
      <c r="M40" s="98"/>
      <c r="N40" s="98"/>
      <c r="O40" s="98"/>
      <c r="P40" s="98"/>
      <c r="Q40" s="98"/>
      <c r="R40" s="98"/>
      <c r="S40" s="98"/>
      <c r="T40" s="98"/>
      <c r="U40" s="98"/>
      <c r="V40" s="98"/>
      <c r="W40" s="98"/>
      <c r="X40" s="98"/>
      <c r="Y40" s="98"/>
      <c r="Z40" s="98"/>
      <c r="AA40" s="98"/>
      <c r="AB40" s="98"/>
    </row>
    <row r="41">
      <c r="C41" s="59" t="s">
        <v>15</v>
      </c>
      <c r="D41" s="59" t="s">
        <v>1056</v>
      </c>
      <c r="E41" s="59" t="s">
        <v>1057</v>
      </c>
      <c r="F41" s="59" t="s">
        <v>1058</v>
      </c>
      <c r="G41" s="59" t="s">
        <v>1059</v>
      </c>
      <c r="H41" s="98"/>
      <c r="I41" s="98"/>
      <c r="J41" s="98"/>
      <c r="K41" s="98"/>
      <c r="L41" s="98"/>
      <c r="M41" s="98"/>
      <c r="N41" s="98"/>
      <c r="O41" s="98"/>
      <c r="P41" s="98"/>
      <c r="Q41" s="98"/>
      <c r="R41" s="98"/>
      <c r="S41" s="98"/>
      <c r="T41" s="98"/>
      <c r="U41" s="98"/>
      <c r="V41" s="98"/>
      <c r="W41" s="98"/>
      <c r="X41" s="98"/>
      <c r="Y41" s="98"/>
      <c r="Z41" s="98"/>
      <c r="AA41" s="98"/>
      <c r="AB41" s="98"/>
    </row>
    <row r="42">
      <c r="C42" s="59" t="s">
        <v>21</v>
      </c>
      <c r="D42" s="59" t="s">
        <v>997</v>
      </c>
      <c r="E42" s="59" t="s">
        <v>23</v>
      </c>
      <c r="F42" s="59" t="s">
        <v>1011</v>
      </c>
      <c r="G42" s="59" t="s">
        <v>999</v>
      </c>
      <c r="H42" s="98"/>
      <c r="I42" s="98"/>
      <c r="J42" s="98"/>
      <c r="K42" s="98"/>
      <c r="L42" s="98"/>
      <c r="M42" s="98"/>
      <c r="N42" s="98"/>
      <c r="O42" s="98"/>
      <c r="P42" s="98"/>
      <c r="Q42" s="98"/>
      <c r="R42" s="98"/>
      <c r="S42" s="98"/>
      <c r="T42" s="98"/>
      <c r="U42" s="98"/>
      <c r="V42" s="98"/>
      <c r="W42" s="98"/>
      <c r="X42" s="98"/>
      <c r="Y42" s="98"/>
      <c r="Z42" s="98"/>
      <c r="AA42" s="98"/>
      <c r="AB42" s="98"/>
    </row>
    <row r="43">
      <c r="C43" s="59" t="s">
        <v>26</v>
      </c>
      <c r="D43" s="59" t="s">
        <v>1056</v>
      </c>
      <c r="E43" s="98"/>
      <c r="F43" s="98"/>
      <c r="G43" s="98"/>
      <c r="H43" s="98"/>
      <c r="I43" s="98"/>
      <c r="J43" s="98"/>
      <c r="K43" s="98"/>
      <c r="L43" s="98"/>
      <c r="M43" s="98"/>
      <c r="N43" s="98"/>
      <c r="O43" s="98"/>
      <c r="P43" s="98"/>
      <c r="Q43" s="98"/>
      <c r="R43" s="98"/>
      <c r="S43" s="98"/>
      <c r="T43" s="98"/>
      <c r="U43" s="98"/>
      <c r="V43" s="98"/>
      <c r="W43" s="98"/>
      <c r="X43" s="98"/>
      <c r="Y43" s="98"/>
      <c r="Z43" s="98"/>
      <c r="AA43" s="98"/>
      <c r="AB43" s="98"/>
    </row>
    <row r="44">
      <c r="C44" s="59" t="s">
        <v>28</v>
      </c>
      <c r="D44" s="98"/>
      <c r="E44" s="98"/>
      <c r="F44" s="98"/>
      <c r="G44" s="98"/>
      <c r="H44" s="98"/>
      <c r="I44" s="98"/>
      <c r="J44" s="98"/>
      <c r="K44" s="98"/>
      <c r="L44" s="98"/>
      <c r="M44" s="98"/>
      <c r="N44" s="98"/>
      <c r="O44" s="98"/>
      <c r="P44" s="98"/>
      <c r="Q44" s="98"/>
      <c r="R44" s="98"/>
      <c r="S44" s="98"/>
      <c r="T44" s="98"/>
      <c r="U44" s="98"/>
      <c r="V44" s="98"/>
      <c r="W44" s="98"/>
      <c r="X44" s="98"/>
      <c r="Y44" s="98"/>
      <c r="Z44" s="98"/>
      <c r="AA44" s="98"/>
      <c r="AB44" s="98"/>
    </row>
    <row r="45">
      <c r="A45" s="5">
        <v>42.0</v>
      </c>
      <c r="B45" s="5" t="s">
        <v>1060</v>
      </c>
      <c r="C45" s="5" t="s">
        <v>3</v>
      </c>
      <c r="D45" s="5" t="s">
        <v>985</v>
      </c>
      <c r="E45" s="5" t="s">
        <v>986</v>
      </c>
      <c r="F45" s="5" t="s">
        <v>987</v>
      </c>
      <c r="G45" s="5" t="s">
        <v>988</v>
      </c>
      <c r="H45" s="2"/>
      <c r="I45" s="2"/>
      <c r="J45" s="2"/>
      <c r="K45" s="2"/>
      <c r="L45" s="2"/>
      <c r="M45" s="2"/>
      <c r="N45" s="2"/>
      <c r="O45" s="2"/>
      <c r="P45" s="2"/>
      <c r="Q45" s="2"/>
      <c r="R45" s="2"/>
      <c r="S45" s="2"/>
      <c r="T45" s="2"/>
      <c r="U45" s="2"/>
      <c r="V45" s="2"/>
      <c r="W45" s="2"/>
      <c r="X45" s="2"/>
      <c r="Y45" s="2"/>
      <c r="Z45" s="2"/>
      <c r="AA45" s="2"/>
      <c r="AB45" s="2"/>
    </row>
    <row r="46">
      <c r="C46" s="5" t="s">
        <v>9</v>
      </c>
      <c r="D46" s="5" t="s">
        <v>1061</v>
      </c>
      <c r="E46" s="5" t="s">
        <v>1062</v>
      </c>
      <c r="F46" s="5" t="s">
        <v>1063</v>
      </c>
      <c r="G46" s="5" t="s">
        <v>1064</v>
      </c>
      <c r="H46" s="2"/>
      <c r="I46" s="2"/>
      <c r="J46" s="2"/>
      <c r="K46" s="2"/>
      <c r="L46" s="2"/>
      <c r="M46" s="2"/>
      <c r="N46" s="2"/>
      <c r="O46" s="2"/>
      <c r="P46" s="2"/>
      <c r="Q46" s="2"/>
      <c r="R46" s="2"/>
      <c r="S46" s="2"/>
      <c r="T46" s="2"/>
      <c r="U46" s="2"/>
      <c r="V46" s="2"/>
      <c r="W46" s="2"/>
      <c r="X46" s="2"/>
      <c r="Y46" s="2"/>
      <c r="Z46" s="2"/>
      <c r="AA46" s="2"/>
      <c r="AB46" s="2"/>
    </row>
    <row r="47">
      <c r="C47" s="5" t="s">
        <v>15</v>
      </c>
      <c r="D47" s="5" t="s">
        <v>1065</v>
      </c>
      <c r="E47" s="5" t="s">
        <v>1066</v>
      </c>
      <c r="F47" s="5" t="s">
        <v>1067</v>
      </c>
      <c r="G47" s="5" t="s">
        <v>1068</v>
      </c>
      <c r="H47" s="2"/>
      <c r="I47" s="2"/>
      <c r="J47" s="2"/>
      <c r="K47" s="2"/>
      <c r="L47" s="2"/>
      <c r="M47" s="2"/>
      <c r="N47" s="2"/>
      <c r="O47" s="2"/>
      <c r="P47" s="2"/>
      <c r="Q47" s="2"/>
      <c r="R47" s="2"/>
      <c r="S47" s="2"/>
      <c r="T47" s="2"/>
      <c r="U47" s="2"/>
      <c r="V47" s="2"/>
      <c r="W47" s="2"/>
      <c r="X47" s="2"/>
      <c r="Y47" s="2"/>
      <c r="Z47" s="2"/>
      <c r="AA47" s="2"/>
      <c r="AB47" s="2"/>
    </row>
    <row r="48">
      <c r="C48" s="5" t="s">
        <v>21</v>
      </c>
      <c r="D48" s="5" t="s">
        <v>997</v>
      </c>
      <c r="E48" s="5" t="s">
        <v>23</v>
      </c>
      <c r="F48" s="5" t="s">
        <v>1011</v>
      </c>
      <c r="G48" s="5" t="s">
        <v>999</v>
      </c>
      <c r="H48" s="2"/>
      <c r="I48" s="2"/>
      <c r="J48" s="2"/>
      <c r="K48" s="2"/>
      <c r="L48" s="2"/>
      <c r="M48" s="2"/>
      <c r="N48" s="2"/>
      <c r="O48" s="2"/>
      <c r="P48" s="2"/>
      <c r="Q48" s="2"/>
      <c r="R48" s="2"/>
      <c r="S48" s="2"/>
      <c r="T48" s="2"/>
      <c r="U48" s="2"/>
      <c r="V48" s="2"/>
      <c r="W48" s="2"/>
      <c r="X48" s="2"/>
      <c r="Y48" s="2"/>
      <c r="Z48" s="2"/>
      <c r="AA48" s="2"/>
      <c r="AB48" s="2"/>
    </row>
    <row r="49">
      <c r="C49" s="5" t="s">
        <v>26</v>
      </c>
      <c r="D49" s="5" t="s">
        <v>1056</v>
      </c>
      <c r="E49" s="2"/>
      <c r="F49" s="5" t="s">
        <v>1067</v>
      </c>
      <c r="G49" s="5" t="s">
        <v>1021</v>
      </c>
      <c r="H49" s="2"/>
      <c r="I49" s="2"/>
      <c r="J49" s="2"/>
      <c r="K49" s="2"/>
      <c r="L49" s="2"/>
      <c r="M49" s="2"/>
      <c r="N49" s="2"/>
      <c r="O49" s="2"/>
      <c r="P49" s="2"/>
      <c r="Q49" s="2"/>
      <c r="R49" s="2"/>
      <c r="S49" s="2"/>
      <c r="T49" s="2"/>
      <c r="U49" s="2"/>
      <c r="V49" s="2"/>
      <c r="W49" s="2"/>
      <c r="X49" s="2"/>
      <c r="Y49" s="2"/>
      <c r="Z49" s="2"/>
      <c r="AA49" s="2"/>
      <c r="AB49" s="2"/>
    </row>
    <row r="50">
      <c r="C50" s="5" t="s">
        <v>28</v>
      </c>
      <c r="D50" s="2"/>
      <c r="E50" s="2"/>
      <c r="F50" s="2"/>
      <c r="G50" s="2"/>
      <c r="H50" s="2"/>
      <c r="I50" s="2"/>
      <c r="J50" s="2"/>
      <c r="K50" s="2"/>
      <c r="L50" s="2"/>
      <c r="M50" s="2"/>
      <c r="N50" s="2"/>
      <c r="O50" s="2"/>
      <c r="P50" s="2"/>
      <c r="Q50" s="2"/>
      <c r="R50" s="2"/>
      <c r="S50" s="2"/>
      <c r="T50" s="2"/>
      <c r="U50" s="2"/>
      <c r="V50" s="2"/>
      <c r="W50" s="2"/>
      <c r="X50" s="2"/>
      <c r="Y50" s="2"/>
      <c r="Z50" s="2"/>
      <c r="AA50" s="2"/>
      <c r="AB50" s="2"/>
    </row>
    <row r="51">
      <c r="A51" s="59">
        <v>44.0</v>
      </c>
      <c r="B51" s="59" t="s">
        <v>1069</v>
      </c>
      <c r="C51" s="59" t="s">
        <v>3</v>
      </c>
      <c r="D51" s="59" t="s">
        <v>985</v>
      </c>
      <c r="E51" s="59" t="s">
        <v>986</v>
      </c>
      <c r="F51" s="59" t="s">
        <v>987</v>
      </c>
      <c r="G51" s="59" t="s">
        <v>988</v>
      </c>
      <c r="H51" s="98"/>
      <c r="I51" s="98"/>
      <c r="J51" s="98"/>
      <c r="K51" s="98"/>
      <c r="L51" s="98"/>
      <c r="M51" s="98"/>
      <c r="N51" s="98"/>
      <c r="O51" s="98"/>
      <c r="P51" s="98"/>
      <c r="Q51" s="98"/>
      <c r="R51" s="98"/>
      <c r="S51" s="98"/>
      <c r="T51" s="98"/>
      <c r="U51" s="98"/>
      <c r="V51" s="98"/>
      <c r="W51" s="98"/>
      <c r="X51" s="98"/>
      <c r="Y51" s="98"/>
      <c r="Z51" s="98"/>
      <c r="AA51" s="98"/>
      <c r="AB51" s="98"/>
    </row>
    <row r="52">
      <c r="C52" s="59" t="s">
        <v>9</v>
      </c>
      <c r="D52" s="59" t="s">
        <v>1070</v>
      </c>
      <c r="E52" s="99" t="s">
        <v>1071</v>
      </c>
      <c r="F52" s="99" t="s">
        <v>1072</v>
      </c>
      <c r="G52" s="59" t="s">
        <v>1073</v>
      </c>
      <c r="H52" s="98"/>
      <c r="I52" s="98"/>
      <c r="J52" s="98"/>
      <c r="K52" s="98"/>
      <c r="L52" s="98"/>
      <c r="M52" s="98"/>
      <c r="N52" s="98"/>
      <c r="O52" s="98"/>
      <c r="P52" s="98"/>
      <c r="Q52" s="98"/>
      <c r="R52" s="98"/>
      <c r="S52" s="98"/>
      <c r="T52" s="98"/>
      <c r="U52" s="98"/>
      <c r="V52" s="98"/>
      <c r="W52" s="98"/>
      <c r="X52" s="98"/>
      <c r="Y52" s="98"/>
      <c r="Z52" s="98"/>
      <c r="AA52" s="98"/>
      <c r="AB52" s="98"/>
    </row>
    <row r="53">
      <c r="C53" s="59" t="s">
        <v>15</v>
      </c>
      <c r="D53" s="59" t="s">
        <v>1074</v>
      </c>
      <c r="E53" s="59" t="s">
        <v>1075</v>
      </c>
      <c r="F53" s="59" t="s">
        <v>1076</v>
      </c>
      <c r="G53" s="59" t="s">
        <v>1077</v>
      </c>
      <c r="H53" s="98"/>
      <c r="I53" s="98"/>
      <c r="J53" s="98"/>
      <c r="K53" s="98"/>
      <c r="L53" s="98"/>
      <c r="M53" s="98"/>
      <c r="N53" s="98"/>
      <c r="O53" s="98"/>
      <c r="P53" s="98"/>
      <c r="Q53" s="98"/>
      <c r="R53" s="98"/>
      <c r="S53" s="98"/>
      <c r="T53" s="98"/>
      <c r="U53" s="98"/>
      <c r="V53" s="98"/>
      <c r="W53" s="98"/>
      <c r="X53" s="98"/>
      <c r="Y53" s="98"/>
      <c r="Z53" s="98"/>
      <c r="AA53" s="98"/>
      <c r="AB53" s="98"/>
    </row>
    <row r="54">
      <c r="C54" s="59" t="s">
        <v>21</v>
      </c>
      <c r="D54" s="59" t="s">
        <v>997</v>
      </c>
      <c r="E54" s="59" t="s">
        <v>1078</v>
      </c>
      <c r="F54" s="59" t="s">
        <v>1011</v>
      </c>
      <c r="G54" s="59" t="s">
        <v>999</v>
      </c>
      <c r="H54" s="98"/>
      <c r="I54" s="98"/>
      <c r="J54" s="98"/>
      <c r="K54" s="98"/>
      <c r="L54" s="98"/>
      <c r="M54" s="98"/>
      <c r="N54" s="98"/>
      <c r="O54" s="98"/>
      <c r="P54" s="98"/>
      <c r="Q54" s="98"/>
      <c r="R54" s="98"/>
      <c r="S54" s="98"/>
      <c r="T54" s="98"/>
      <c r="U54" s="98"/>
      <c r="V54" s="98"/>
      <c r="W54" s="98"/>
      <c r="X54" s="98"/>
      <c r="Y54" s="98"/>
      <c r="Z54" s="98"/>
      <c r="AA54" s="98"/>
      <c r="AB54" s="98"/>
    </row>
    <row r="55">
      <c r="C55" s="59" t="s">
        <v>26</v>
      </c>
      <c r="D55" s="59" t="s">
        <v>1056</v>
      </c>
      <c r="E55" s="98"/>
      <c r="F55" s="98"/>
      <c r="G55" s="59" t="s">
        <v>1079</v>
      </c>
      <c r="H55" s="98"/>
      <c r="I55" s="98"/>
      <c r="J55" s="98"/>
      <c r="K55" s="98"/>
      <c r="L55" s="98"/>
      <c r="M55" s="98"/>
      <c r="N55" s="98"/>
      <c r="O55" s="98"/>
      <c r="P55" s="98"/>
      <c r="Q55" s="98"/>
      <c r="R55" s="98"/>
      <c r="S55" s="98"/>
      <c r="T55" s="98"/>
      <c r="U55" s="98"/>
      <c r="V55" s="98"/>
      <c r="W55" s="98"/>
      <c r="X55" s="98"/>
      <c r="Y55" s="98"/>
      <c r="Z55" s="98"/>
      <c r="AA55" s="98"/>
      <c r="AB55" s="98"/>
    </row>
    <row r="56">
      <c r="C56" s="59" t="s">
        <v>28</v>
      </c>
      <c r="D56" s="98"/>
      <c r="E56" s="98"/>
      <c r="F56" s="98"/>
      <c r="G56" s="98"/>
      <c r="H56" s="98"/>
      <c r="I56" s="98"/>
      <c r="J56" s="98"/>
      <c r="K56" s="98"/>
      <c r="L56" s="98"/>
      <c r="M56" s="98"/>
      <c r="N56" s="98"/>
      <c r="O56" s="98"/>
      <c r="P56" s="98"/>
      <c r="Q56" s="98"/>
      <c r="R56" s="98"/>
      <c r="S56" s="98"/>
      <c r="T56" s="98"/>
      <c r="U56" s="98"/>
      <c r="V56" s="98"/>
      <c r="W56" s="98"/>
      <c r="X56" s="98"/>
      <c r="Y56" s="98"/>
      <c r="Z56" s="98"/>
      <c r="AA56" s="98"/>
      <c r="AB56" s="98"/>
    </row>
    <row r="57">
      <c r="A57" s="5">
        <v>47.0</v>
      </c>
      <c r="B57" s="5" t="s">
        <v>1080</v>
      </c>
      <c r="C57" s="5" t="s">
        <v>3</v>
      </c>
      <c r="D57" s="5" t="s">
        <v>985</v>
      </c>
      <c r="E57" s="5" t="s">
        <v>986</v>
      </c>
      <c r="F57" s="5" t="s">
        <v>987</v>
      </c>
      <c r="G57" s="5" t="s">
        <v>988</v>
      </c>
      <c r="H57" s="2"/>
      <c r="I57" s="2"/>
      <c r="J57" s="2"/>
      <c r="K57" s="2"/>
      <c r="L57" s="2"/>
      <c r="M57" s="2"/>
      <c r="N57" s="2"/>
      <c r="O57" s="2"/>
      <c r="P57" s="2"/>
      <c r="Q57" s="2"/>
      <c r="R57" s="2"/>
      <c r="S57" s="2"/>
      <c r="T57" s="2"/>
      <c r="U57" s="2"/>
      <c r="V57" s="2"/>
      <c r="W57" s="2"/>
      <c r="X57" s="2"/>
      <c r="Y57" s="2"/>
      <c r="Z57" s="2"/>
      <c r="AA57" s="2"/>
      <c r="AB57" s="2"/>
    </row>
    <row r="58">
      <c r="C58" s="5" t="s">
        <v>9</v>
      </c>
      <c r="D58" s="5" t="s">
        <v>1081</v>
      </c>
      <c r="E58" s="5" t="s">
        <v>1082</v>
      </c>
      <c r="F58" s="5" t="s">
        <v>1083</v>
      </c>
      <c r="G58" s="5" t="s">
        <v>1084</v>
      </c>
      <c r="H58" s="2"/>
      <c r="I58" s="2"/>
      <c r="J58" s="2"/>
      <c r="K58" s="2"/>
      <c r="L58" s="2"/>
      <c r="M58" s="2"/>
      <c r="N58" s="2"/>
      <c r="O58" s="2"/>
      <c r="P58" s="2"/>
      <c r="Q58" s="2"/>
      <c r="R58" s="2"/>
      <c r="S58" s="2"/>
      <c r="T58" s="2"/>
      <c r="U58" s="2"/>
      <c r="V58" s="2"/>
      <c r="W58" s="2"/>
      <c r="X58" s="2"/>
      <c r="Y58" s="2"/>
      <c r="Z58" s="2"/>
      <c r="AA58" s="2"/>
      <c r="AB58" s="2"/>
    </row>
    <row r="59">
      <c r="C59" s="5" t="s">
        <v>15</v>
      </c>
      <c r="D59" s="5" t="s">
        <v>1085</v>
      </c>
      <c r="E59" s="5" t="s">
        <v>1086</v>
      </c>
      <c r="F59" s="5" t="s">
        <v>1087</v>
      </c>
      <c r="G59" s="5" t="s">
        <v>1032</v>
      </c>
      <c r="H59" s="2"/>
      <c r="I59" s="2"/>
      <c r="J59" s="2"/>
      <c r="K59" s="2"/>
      <c r="L59" s="2"/>
      <c r="M59" s="2"/>
      <c r="N59" s="2"/>
      <c r="O59" s="2"/>
      <c r="P59" s="2"/>
      <c r="Q59" s="2"/>
      <c r="R59" s="2"/>
      <c r="S59" s="2"/>
      <c r="T59" s="2"/>
      <c r="U59" s="2"/>
      <c r="V59" s="2"/>
      <c r="W59" s="2"/>
      <c r="X59" s="2"/>
      <c r="Y59" s="2"/>
      <c r="Z59" s="2"/>
      <c r="AA59" s="2"/>
      <c r="AB59" s="2"/>
    </row>
    <row r="60">
      <c r="C60" s="5" t="s">
        <v>21</v>
      </c>
      <c r="D60" s="5" t="s">
        <v>997</v>
      </c>
      <c r="E60" s="5" t="s">
        <v>23</v>
      </c>
      <c r="F60" s="5" t="s">
        <v>1011</v>
      </c>
      <c r="G60" s="5" t="s">
        <v>999</v>
      </c>
      <c r="H60" s="2"/>
      <c r="I60" s="2"/>
      <c r="J60" s="2"/>
      <c r="K60" s="2"/>
      <c r="L60" s="2"/>
      <c r="M60" s="2"/>
      <c r="N60" s="2"/>
      <c r="O60" s="2"/>
      <c r="P60" s="2"/>
      <c r="Q60" s="2"/>
      <c r="R60" s="2"/>
      <c r="S60" s="2"/>
      <c r="T60" s="2"/>
      <c r="U60" s="2"/>
      <c r="V60" s="2"/>
      <c r="W60" s="2"/>
      <c r="X60" s="2"/>
      <c r="Y60" s="2"/>
      <c r="Z60" s="2"/>
      <c r="AA60" s="2"/>
      <c r="AB60" s="2"/>
    </row>
    <row r="61">
      <c r="C61" s="5" t="s">
        <v>26</v>
      </c>
      <c r="D61" s="5" t="s">
        <v>1088</v>
      </c>
      <c r="E61" s="5"/>
      <c r="F61" s="5" t="s">
        <v>1019</v>
      </c>
      <c r="G61" s="5" t="s">
        <v>1032</v>
      </c>
      <c r="H61" s="2"/>
      <c r="I61" s="2"/>
      <c r="J61" s="2"/>
      <c r="K61" s="2"/>
      <c r="L61" s="2"/>
      <c r="M61" s="2"/>
      <c r="N61" s="2"/>
      <c r="O61" s="2"/>
      <c r="P61" s="2"/>
      <c r="Q61" s="2"/>
      <c r="R61" s="2"/>
      <c r="S61" s="2"/>
      <c r="T61" s="2"/>
      <c r="U61" s="2"/>
      <c r="V61" s="2"/>
      <c r="W61" s="2"/>
      <c r="X61" s="2"/>
      <c r="Y61" s="2"/>
      <c r="Z61" s="2"/>
      <c r="AA61" s="2"/>
      <c r="AB61" s="2"/>
    </row>
    <row r="62">
      <c r="C62" s="5" t="s">
        <v>28</v>
      </c>
      <c r="D62" s="2"/>
      <c r="E62" s="2"/>
      <c r="F62" s="2"/>
      <c r="G62" s="2"/>
      <c r="H62" s="2"/>
      <c r="I62" s="2"/>
      <c r="J62" s="2"/>
      <c r="K62" s="2"/>
      <c r="L62" s="2"/>
      <c r="M62" s="2"/>
      <c r="N62" s="2"/>
      <c r="O62" s="2"/>
      <c r="P62" s="2"/>
      <c r="Q62" s="2"/>
      <c r="R62" s="2"/>
      <c r="S62" s="2"/>
      <c r="T62" s="2"/>
      <c r="U62" s="2"/>
      <c r="V62" s="2"/>
      <c r="W62" s="2"/>
      <c r="X62" s="2"/>
      <c r="Y62" s="2"/>
      <c r="Z62" s="2"/>
      <c r="AA62" s="2"/>
      <c r="AB62" s="2"/>
    </row>
    <row r="63">
      <c r="A63" s="59">
        <v>48.0</v>
      </c>
      <c r="B63" s="59" t="s">
        <v>1089</v>
      </c>
      <c r="C63" s="59" t="s">
        <v>3</v>
      </c>
      <c r="D63" s="59" t="s">
        <v>985</v>
      </c>
      <c r="E63" s="59" t="s">
        <v>986</v>
      </c>
      <c r="F63" s="59" t="s">
        <v>987</v>
      </c>
      <c r="G63" s="59" t="s">
        <v>988</v>
      </c>
      <c r="H63" s="98"/>
      <c r="I63" s="98"/>
      <c r="J63" s="98"/>
      <c r="K63" s="98"/>
      <c r="L63" s="98"/>
      <c r="M63" s="98"/>
      <c r="N63" s="98"/>
      <c r="O63" s="98"/>
      <c r="P63" s="98"/>
      <c r="Q63" s="98"/>
      <c r="R63" s="98"/>
      <c r="S63" s="98"/>
      <c r="T63" s="98"/>
      <c r="U63" s="98"/>
      <c r="V63" s="98"/>
      <c r="W63" s="98"/>
      <c r="X63" s="98"/>
      <c r="Y63" s="98"/>
      <c r="Z63" s="98"/>
      <c r="AA63" s="98"/>
      <c r="AB63" s="98"/>
    </row>
    <row r="64">
      <c r="C64" s="59" t="s">
        <v>9</v>
      </c>
      <c r="D64" s="59" t="s">
        <v>1090</v>
      </c>
      <c r="E64" s="59" t="s">
        <v>1091</v>
      </c>
      <c r="F64" s="59" t="s">
        <v>1092</v>
      </c>
      <c r="G64" s="59" t="s">
        <v>1093</v>
      </c>
      <c r="H64" s="98"/>
      <c r="I64" s="98"/>
      <c r="J64" s="98"/>
      <c r="K64" s="98"/>
      <c r="L64" s="98"/>
      <c r="M64" s="98"/>
      <c r="N64" s="98"/>
      <c r="O64" s="98"/>
      <c r="P64" s="98"/>
      <c r="Q64" s="98"/>
      <c r="R64" s="98"/>
      <c r="S64" s="98"/>
      <c r="T64" s="98"/>
      <c r="U64" s="98"/>
      <c r="V64" s="98"/>
      <c r="W64" s="98"/>
      <c r="X64" s="98"/>
      <c r="Y64" s="98"/>
      <c r="Z64" s="98"/>
      <c r="AA64" s="98"/>
      <c r="AB64" s="98"/>
    </row>
    <row r="65">
      <c r="C65" s="59" t="s">
        <v>15</v>
      </c>
      <c r="D65" s="59" t="s">
        <v>1094</v>
      </c>
      <c r="E65" s="59" t="s">
        <v>1095</v>
      </c>
      <c r="F65" s="59" t="s">
        <v>1019</v>
      </c>
      <c r="G65" s="59" t="s">
        <v>1096</v>
      </c>
      <c r="H65" s="98"/>
      <c r="I65" s="98"/>
      <c r="J65" s="98"/>
      <c r="K65" s="98"/>
      <c r="L65" s="98"/>
      <c r="M65" s="98"/>
      <c r="N65" s="98"/>
      <c r="O65" s="98"/>
      <c r="P65" s="98"/>
      <c r="Q65" s="98"/>
      <c r="R65" s="98"/>
      <c r="S65" s="98"/>
      <c r="T65" s="98"/>
      <c r="U65" s="98"/>
      <c r="V65" s="98"/>
      <c r="W65" s="98"/>
      <c r="X65" s="98"/>
      <c r="Y65" s="98"/>
      <c r="Z65" s="98"/>
      <c r="AA65" s="98"/>
      <c r="AB65" s="98"/>
    </row>
    <row r="66">
      <c r="C66" s="59" t="s">
        <v>21</v>
      </c>
      <c r="D66" s="59" t="s">
        <v>997</v>
      </c>
      <c r="E66" s="59" t="s">
        <v>1097</v>
      </c>
      <c r="F66" s="59" t="s">
        <v>1011</v>
      </c>
      <c r="G66" s="59" t="s">
        <v>1098</v>
      </c>
      <c r="H66" s="98"/>
      <c r="I66" s="98"/>
      <c r="J66" s="98"/>
      <c r="K66" s="98"/>
      <c r="L66" s="98"/>
      <c r="M66" s="98"/>
      <c r="N66" s="98"/>
      <c r="O66" s="98"/>
      <c r="P66" s="98"/>
      <c r="Q66" s="98"/>
      <c r="R66" s="98"/>
      <c r="S66" s="98"/>
      <c r="T66" s="98"/>
      <c r="U66" s="98"/>
      <c r="V66" s="98"/>
      <c r="W66" s="98"/>
      <c r="X66" s="98"/>
      <c r="Y66" s="98"/>
      <c r="Z66" s="98"/>
      <c r="AA66" s="98"/>
      <c r="AB66" s="98"/>
    </row>
    <row r="67">
      <c r="C67" s="59" t="s">
        <v>26</v>
      </c>
      <c r="D67" s="59" t="s">
        <v>1099</v>
      </c>
      <c r="E67" s="98"/>
      <c r="F67" s="59" t="s">
        <v>1019</v>
      </c>
      <c r="G67" s="59" t="s">
        <v>1021</v>
      </c>
      <c r="H67" s="98"/>
      <c r="I67" s="98"/>
      <c r="J67" s="98"/>
      <c r="K67" s="98"/>
      <c r="L67" s="98"/>
      <c r="M67" s="98"/>
      <c r="N67" s="98"/>
      <c r="O67" s="98"/>
      <c r="P67" s="98"/>
      <c r="Q67" s="98"/>
      <c r="R67" s="98"/>
      <c r="S67" s="98"/>
      <c r="T67" s="98"/>
      <c r="U67" s="98"/>
      <c r="V67" s="98"/>
      <c r="W67" s="98"/>
      <c r="X67" s="98"/>
      <c r="Y67" s="98"/>
      <c r="Z67" s="98"/>
      <c r="AA67" s="98"/>
      <c r="AB67" s="98"/>
    </row>
    <row r="68">
      <c r="C68" s="59" t="s">
        <v>28</v>
      </c>
      <c r="D68" s="98"/>
      <c r="E68" s="98"/>
      <c r="F68" s="98"/>
      <c r="G68" s="98"/>
      <c r="H68" s="98"/>
      <c r="I68" s="98"/>
      <c r="J68" s="98"/>
      <c r="K68" s="98"/>
      <c r="L68" s="98"/>
      <c r="M68" s="98"/>
      <c r="N68" s="98"/>
      <c r="O68" s="98"/>
      <c r="P68" s="98"/>
      <c r="Q68" s="98"/>
      <c r="R68" s="98"/>
      <c r="S68" s="98"/>
      <c r="T68" s="98"/>
      <c r="U68" s="98"/>
      <c r="V68" s="98"/>
      <c r="W68" s="98"/>
      <c r="X68" s="98"/>
      <c r="Y68" s="98"/>
      <c r="Z68" s="98"/>
      <c r="AA68" s="98"/>
      <c r="AB68" s="98"/>
    </row>
    <row r="69">
      <c r="A69" s="5">
        <v>49.0</v>
      </c>
      <c r="B69" s="5" t="s">
        <v>1100</v>
      </c>
      <c r="C69" s="5" t="s">
        <v>3</v>
      </c>
      <c r="D69" s="5" t="s">
        <v>985</v>
      </c>
      <c r="E69" s="5" t="s">
        <v>986</v>
      </c>
      <c r="F69" s="5" t="s">
        <v>987</v>
      </c>
      <c r="G69" s="5" t="s">
        <v>988</v>
      </c>
      <c r="H69" s="2"/>
      <c r="I69" s="2"/>
      <c r="J69" s="2"/>
      <c r="K69" s="2"/>
      <c r="L69" s="2"/>
      <c r="M69" s="2"/>
      <c r="N69" s="2"/>
      <c r="O69" s="2"/>
      <c r="P69" s="2"/>
      <c r="Q69" s="2"/>
      <c r="R69" s="2"/>
      <c r="S69" s="2"/>
      <c r="T69" s="2"/>
      <c r="U69" s="2"/>
      <c r="V69" s="2"/>
      <c r="W69" s="2"/>
      <c r="X69" s="2"/>
      <c r="Y69" s="2"/>
      <c r="Z69" s="2"/>
      <c r="AA69" s="2"/>
      <c r="AB69" s="2"/>
    </row>
    <row r="70">
      <c r="C70" s="5" t="s">
        <v>9</v>
      </c>
      <c r="D70" s="5" t="s">
        <v>1101</v>
      </c>
      <c r="E70" s="5" t="s">
        <v>1102</v>
      </c>
      <c r="F70" s="5" t="s">
        <v>1103</v>
      </c>
      <c r="G70" s="5" t="s">
        <v>1104</v>
      </c>
      <c r="H70" s="2"/>
      <c r="I70" s="2"/>
      <c r="J70" s="2"/>
      <c r="K70" s="2"/>
      <c r="L70" s="2"/>
      <c r="M70" s="2"/>
      <c r="N70" s="2"/>
      <c r="O70" s="2"/>
      <c r="P70" s="2"/>
      <c r="Q70" s="2"/>
      <c r="R70" s="2"/>
      <c r="S70" s="2"/>
      <c r="T70" s="2"/>
      <c r="U70" s="2"/>
      <c r="V70" s="2"/>
      <c r="W70" s="2"/>
      <c r="X70" s="2"/>
      <c r="Y70" s="2"/>
      <c r="Z70" s="2"/>
      <c r="AA70" s="2"/>
      <c r="AB70" s="2"/>
    </row>
    <row r="71">
      <c r="C71" s="5" t="s">
        <v>15</v>
      </c>
      <c r="D71" s="5" t="s">
        <v>1105</v>
      </c>
      <c r="E71" s="5" t="s">
        <v>1106</v>
      </c>
      <c r="F71" s="5" t="s">
        <v>1019</v>
      </c>
      <c r="G71" s="5" t="s">
        <v>1107</v>
      </c>
      <c r="H71" s="2"/>
      <c r="I71" s="2"/>
      <c r="J71" s="2"/>
      <c r="K71" s="2"/>
      <c r="L71" s="2"/>
      <c r="M71" s="2"/>
      <c r="N71" s="2"/>
      <c r="O71" s="2"/>
      <c r="P71" s="2"/>
      <c r="Q71" s="2"/>
      <c r="R71" s="2"/>
      <c r="S71" s="2"/>
      <c r="T71" s="2"/>
      <c r="U71" s="2"/>
      <c r="V71" s="2"/>
      <c r="W71" s="2"/>
      <c r="X71" s="2"/>
      <c r="Y71" s="2"/>
      <c r="Z71" s="2"/>
      <c r="AA71" s="2"/>
      <c r="AB71" s="2"/>
    </row>
    <row r="72">
      <c r="C72" s="5" t="s">
        <v>21</v>
      </c>
      <c r="D72" s="5" t="s">
        <v>997</v>
      </c>
      <c r="E72" s="5" t="s">
        <v>23</v>
      </c>
      <c r="F72" s="5" t="s">
        <v>1011</v>
      </c>
      <c r="G72" s="5" t="s">
        <v>999</v>
      </c>
      <c r="H72" s="2"/>
      <c r="I72" s="2"/>
      <c r="J72" s="2"/>
      <c r="K72" s="2"/>
      <c r="L72" s="2"/>
      <c r="M72" s="2"/>
      <c r="N72" s="2"/>
      <c r="O72" s="2"/>
      <c r="P72" s="2"/>
      <c r="Q72" s="2"/>
      <c r="R72" s="2"/>
      <c r="S72" s="2"/>
      <c r="T72" s="2"/>
      <c r="U72" s="2"/>
      <c r="V72" s="2"/>
      <c r="W72" s="2"/>
      <c r="X72" s="2"/>
      <c r="Y72" s="2"/>
      <c r="Z72" s="2"/>
      <c r="AA72" s="2"/>
      <c r="AB72" s="2"/>
    </row>
    <row r="73">
      <c r="C73" s="5" t="s">
        <v>26</v>
      </c>
      <c r="D73" s="5" t="s">
        <v>1108</v>
      </c>
      <c r="E73" s="2"/>
      <c r="F73" s="5" t="s">
        <v>1019</v>
      </c>
      <c r="G73" s="2"/>
      <c r="H73" s="2"/>
      <c r="I73" s="2"/>
      <c r="J73" s="2"/>
      <c r="K73" s="2"/>
      <c r="L73" s="2"/>
      <c r="M73" s="2"/>
      <c r="N73" s="2"/>
      <c r="O73" s="2"/>
      <c r="P73" s="2"/>
      <c r="Q73" s="2"/>
      <c r="R73" s="2"/>
      <c r="S73" s="2"/>
      <c r="T73" s="2"/>
      <c r="U73" s="2"/>
      <c r="V73" s="2"/>
      <c r="W73" s="2"/>
      <c r="X73" s="2"/>
      <c r="Y73" s="2"/>
      <c r="Z73" s="2"/>
      <c r="AA73" s="2"/>
      <c r="AB73" s="2"/>
    </row>
    <row r="74">
      <c r="C74" s="5" t="s">
        <v>28</v>
      </c>
      <c r="D74" s="2"/>
      <c r="E74" s="2"/>
      <c r="F74" s="2"/>
      <c r="G74" s="2"/>
      <c r="H74" s="2"/>
      <c r="I74" s="2"/>
      <c r="J74" s="2"/>
      <c r="K74" s="2"/>
      <c r="L74" s="2"/>
      <c r="M74" s="2"/>
      <c r="N74" s="2"/>
      <c r="O74" s="2"/>
      <c r="P74" s="2"/>
      <c r="Q74" s="2"/>
      <c r="R74" s="2"/>
      <c r="S74" s="2"/>
      <c r="T74" s="2"/>
      <c r="U74" s="2"/>
      <c r="V74" s="2"/>
      <c r="W74" s="2"/>
      <c r="X74" s="2"/>
      <c r="Y74" s="2"/>
      <c r="Z74" s="2"/>
      <c r="AA74" s="2"/>
      <c r="AB74" s="2"/>
    </row>
    <row r="75">
      <c r="A75" s="59">
        <v>50.0</v>
      </c>
      <c r="B75" s="59" t="s">
        <v>1109</v>
      </c>
      <c r="C75" s="59" t="s">
        <v>3</v>
      </c>
      <c r="D75" s="59" t="s">
        <v>985</v>
      </c>
      <c r="E75" s="59" t="s">
        <v>986</v>
      </c>
      <c r="F75" s="59" t="s">
        <v>987</v>
      </c>
      <c r="G75" s="59" t="s">
        <v>988</v>
      </c>
      <c r="H75" s="98"/>
      <c r="I75" s="98"/>
      <c r="J75" s="98"/>
      <c r="K75" s="98"/>
      <c r="L75" s="98"/>
      <c r="M75" s="98"/>
      <c r="N75" s="98"/>
      <c r="O75" s="98"/>
      <c r="P75" s="98"/>
      <c r="Q75" s="98"/>
      <c r="R75" s="98"/>
      <c r="S75" s="98"/>
      <c r="T75" s="98"/>
      <c r="U75" s="98"/>
      <c r="V75" s="98"/>
      <c r="W75" s="98"/>
      <c r="X75" s="98"/>
      <c r="Y75" s="98"/>
      <c r="Z75" s="98"/>
      <c r="AA75" s="98"/>
      <c r="AB75" s="98"/>
    </row>
    <row r="76">
      <c r="C76" s="59" t="s">
        <v>9</v>
      </c>
      <c r="D76" s="59" t="s">
        <v>1110</v>
      </c>
      <c r="E76" s="59" t="s">
        <v>1111</v>
      </c>
      <c r="F76" s="59" t="s">
        <v>1112</v>
      </c>
      <c r="G76" s="59" t="s">
        <v>1113</v>
      </c>
      <c r="H76" s="98"/>
      <c r="I76" s="98"/>
      <c r="J76" s="98"/>
      <c r="K76" s="98"/>
      <c r="L76" s="98"/>
      <c r="M76" s="98"/>
      <c r="N76" s="98"/>
      <c r="O76" s="98"/>
      <c r="P76" s="98"/>
      <c r="Q76" s="98"/>
      <c r="R76" s="98"/>
      <c r="S76" s="98"/>
      <c r="T76" s="98"/>
      <c r="U76" s="98"/>
      <c r="V76" s="98"/>
      <c r="W76" s="98"/>
      <c r="X76" s="98"/>
      <c r="Y76" s="98"/>
      <c r="Z76" s="98"/>
      <c r="AA76" s="98"/>
      <c r="AB76" s="98"/>
    </row>
    <row r="77">
      <c r="C77" s="59" t="s">
        <v>15</v>
      </c>
      <c r="D77" s="59" t="s">
        <v>1108</v>
      </c>
      <c r="E77" s="59" t="s">
        <v>1114</v>
      </c>
      <c r="F77" s="59" t="s">
        <v>1115</v>
      </c>
      <c r="G77" s="59" t="s">
        <v>1116</v>
      </c>
      <c r="H77" s="98"/>
      <c r="I77" s="98"/>
      <c r="J77" s="98"/>
      <c r="K77" s="98"/>
      <c r="L77" s="98"/>
      <c r="M77" s="98"/>
      <c r="N77" s="98"/>
      <c r="O77" s="98"/>
      <c r="P77" s="98"/>
      <c r="Q77" s="98"/>
      <c r="R77" s="98"/>
      <c r="S77" s="98"/>
      <c r="T77" s="98"/>
      <c r="U77" s="98"/>
      <c r="V77" s="98"/>
      <c r="W77" s="98"/>
      <c r="X77" s="98"/>
      <c r="Y77" s="98"/>
      <c r="Z77" s="98"/>
      <c r="AA77" s="98"/>
      <c r="AB77" s="98"/>
    </row>
    <row r="78">
      <c r="C78" s="59" t="s">
        <v>21</v>
      </c>
      <c r="D78" s="59" t="s">
        <v>997</v>
      </c>
      <c r="E78" s="59" t="s">
        <v>23</v>
      </c>
      <c r="F78" s="59" t="s">
        <v>1011</v>
      </c>
      <c r="G78" s="59" t="s">
        <v>999</v>
      </c>
      <c r="H78" s="98"/>
      <c r="I78" s="98"/>
      <c r="J78" s="98"/>
      <c r="K78" s="98"/>
      <c r="L78" s="98"/>
      <c r="M78" s="98"/>
      <c r="N78" s="98"/>
      <c r="O78" s="98"/>
      <c r="P78" s="98"/>
      <c r="Q78" s="98"/>
      <c r="R78" s="98"/>
      <c r="S78" s="98"/>
      <c r="T78" s="98"/>
      <c r="U78" s="98"/>
      <c r="V78" s="98"/>
      <c r="W78" s="98"/>
      <c r="X78" s="98"/>
      <c r="Y78" s="98"/>
      <c r="Z78" s="98"/>
      <c r="AA78" s="98"/>
      <c r="AB78" s="98"/>
    </row>
    <row r="79">
      <c r="C79" s="59" t="s">
        <v>26</v>
      </c>
      <c r="D79" s="59" t="s">
        <v>1088</v>
      </c>
      <c r="E79" s="98"/>
      <c r="F79" s="59" t="s">
        <v>1115</v>
      </c>
      <c r="G79" s="59" t="s">
        <v>1117</v>
      </c>
      <c r="H79" s="98"/>
      <c r="I79" s="98"/>
      <c r="J79" s="98"/>
      <c r="K79" s="98"/>
      <c r="L79" s="98"/>
      <c r="M79" s="98"/>
      <c r="N79" s="98"/>
      <c r="O79" s="98"/>
      <c r="P79" s="98"/>
      <c r="Q79" s="98"/>
      <c r="R79" s="98"/>
      <c r="S79" s="98"/>
      <c r="T79" s="98"/>
      <c r="U79" s="98"/>
      <c r="V79" s="98"/>
      <c r="W79" s="98"/>
      <c r="X79" s="98"/>
      <c r="Y79" s="98"/>
      <c r="Z79" s="98"/>
      <c r="AA79" s="98"/>
      <c r="AB79" s="98"/>
    </row>
    <row r="80">
      <c r="C80" s="59" t="s">
        <v>28</v>
      </c>
      <c r="D80" s="98"/>
      <c r="E80" s="98"/>
      <c r="F80" s="98"/>
      <c r="G80" s="98"/>
      <c r="H80" s="98"/>
      <c r="I80" s="98"/>
      <c r="J80" s="98"/>
      <c r="K80" s="98"/>
      <c r="L80" s="98"/>
      <c r="M80" s="98"/>
      <c r="N80" s="98"/>
      <c r="O80" s="98"/>
      <c r="P80" s="98"/>
      <c r="Q80" s="98"/>
      <c r="R80" s="98"/>
      <c r="S80" s="98"/>
      <c r="T80" s="98"/>
      <c r="U80" s="98"/>
      <c r="V80" s="98"/>
      <c r="W80" s="98"/>
      <c r="X80" s="98"/>
      <c r="Y80" s="98"/>
      <c r="Z80" s="98"/>
      <c r="AA80" s="98"/>
      <c r="AB80" s="98"/>
    </row>
    <row r="81">
      <c r="A81" s="5">
        <v>51.0</v>
      </c>
      <c r="B81" s="5" t="s">
        <v>1118</v>
      </c>
      <c r="C81" s="5" t="s">
        <v>3</v>
      </c>
      <c r="D81" s="5" t="s">
        <v>985</v>
      </c>
      <c r="E81" s="5" t="s">
        <v>986</v>
      </c>
      <c r="F81" s="5" t="s">
        <v>987</v>
      </c>
      <c r="G81" s="5" t="s">
        <v>988</v>
      </c>
      <c r="H81" s="2"/>
      <c r="I81" s="2"/>
      <c r="J81" s="2"/>
      <c r="K81" s="2"/>
      <c r="L81" s="2"/>
      <c r="M81" s="2"/>
      <c r="N81" s="2"/>
      <c r="O81" s="2"/>
      <c r="P81" s="2"/>
      <c r="Q81" s="2"/>
      <c r="R81" s="2"/>
      <c r="S81" s="2"/>
      <c r="T81" s="2"/>
      <c r="U81" s="2"/>
      <c r="V81" s="2"/>
      <c r="W81" s="2"/>
      <c r="X81" s="2"/>
      <c r="Y81" s="2"/>
      <c r="Z81" s="2"/>
      <c r="AA81" s="2"/>
      <c r="AB81" s="2"/>
    </row>
    <row r="82">
      <c r="C82" s="5" t="s">
        <v>9</v>
      </c>
      <c r="D82" s="5" t="s">
        <v>1119</v>
      </c>
      <c r="E82" s="5" t="s">
        <v>1120</v>
      </c>
      <c r="F82" s="5" t="s">
        <v>1121</v>
      </c>
      <c r="G82" s="5" t="s">
        <v>1122</v>
      </c>
      <c r="H82" s="2"/>
      <c r="I82" s="2"/>
      <c r="J82" s="2"/>
      <c r="K82" s="2"/>
      <c r="L82" s="2"/>
      <c r="M82" s="2"/>
      <c r="N82" s="2"/>
      <c r="O82" s="2"/>
      <c r="P82" s="2"/>
      <c r="Q82" s="2"/>
      <c r="R82" s="2"/>
      <c r="S82" s="2"/>
      <c r="T82" s="2"/>
      <c r="U82" s="2"/>
      <c r="V82" s="2"/>
      <c r="W82" s="2"/>
      <c r="X82" s="2"/>
      <c r="Y82" s="2"/>
      <c r="Z82" s="2"/>
      <c r="AA82" s="2"/>
      <c r="AB82" s="2"/>
    </row>
    <row r="83">
      <c r="C83" s="5" t="s">
        <v>15</v>
      </c>
      <c r="D83" s="5" t="s">
        <v>1108</v>
      </c>
      <c r="E83" s="5" t="s">
        <v>1123</v>
      </c>
      <c r="F83" s="5" t="s">
        <v>1115</v>
      </c>
      <c r="G83" s="5" t="s">
        <v>1124</v>
      </c>
      <c r="H83" s="2"/>
      <c r="I83" s="2"/>
      <c r="J83" s="2"/>
      <c r="K83" s="2"/>
      <c r="L83" s="2"/>
      <c r="M83" s="2"/>
      <c r="N83" s="2"/>
      <c r="O83" s="2"/>
      <c r="P83" s="2"/>
      <c r="Q83" s="2"/>
      <c r="R83" s="2"/>
      <c r="S83" s="2"/>
      <c r="T83" s="2"/>
      <c r="U83" s="2"/>
      <c r="V83" s="2"/>
      <c r="W83" s="2"/>
      <c r="X83" s="2"/>
      <c r="Y83" s="2"/>
      <c r="Z83" s="2"/>
      <c r="AA83" s="2"/>
      <c r="AB83" s="2"/>
    </row>
    <row r="84">
      <c r="C84" s="5" t="s">
        <v>21</v>
      </c>
      <c r="D84" s="5" t="s">
        <v>997</v>
      </c>
      <c r="E84" s="5" t="s">
        <v>23</v>
      </c>
      <c r="F84" s="5" t="s">
        <v>1011</v>
      </c>
      <c r="G84" s="5" t="s">
        <v>999</v>
      </c>
      <c r="H84" s="2"/>
      <c r="I84" s="2"/>
      <c r="J84" s="2"/>
      <c r="K84" s="2"/>
      <c r="L84" s="2"/>
      <c r="M84" s="2"/>
      <c r="N84" s="2"/>
      <c r="O84" s="2"/>
      <c r="P84" s="2"/>
      <c r="Q84" s="2"/>
      <c r="R84" s="2"/>
      <c r="S84" s="2"/>
      <c r="T84" s="2"/>
      <c r="U84" s="2"/>
      <c r="V84" s="2"/>
      <c r="W84" s="2"/>
      <c r="X84" s="2"/>
      <c r="Y84" s="2"/>
      <c r="Z84" s="2"/>
      <c r="AA84" s="2"/>
      <c r="AB84" s="2"/>
    </row>
    <row r="85">
      <c r="C85" s="5" t="s">
        <v>26</v>
      </c>
      <c r="D85" s="5" t="s">
        <v>1108</v>
      </c>
      <c r="E85" s="2"/>
      <c r="F85" s="5" t="s">
        <v>1115</v>
      </c>
      <c r="G85" s="5" t="s">
        <v>1021</v>
      </c>
      <c r="H85" s="2"/>
      <c r="I85" s="2"/>
      <c r="J85" s="2"/>
      <c r="K85" s="2"/>
      <c r="L85" s="2"/>
      <c r="M85" s="2"/>
      <c r="N85" s="2"/>
      <c r="O85" s="2"/>
      <c r="P85" s="2"/>
      <c r="Q85" s="2"/>
      <c r="R85" s="2"/>
      <c r="S85" s="2"/>
      <c r="T85" s="2"/>
      <c r="U85" s="2"/>
      <c r="V85" s="2"/>
      <c r="W85" s="2"/>
      <c r="X85" s="2"/>
      <c r="Y85" s="2"/>
      <c r="Z85" s="2"/>
      <c r="AA85" s="2"/>
      <c r="AB85" s="2"/>
    </row>
    <row r="86">
      <c r="C86" s="5" t="s">
        <v>28</v>
      </c>
      <c r="D86" s="2"/>
      <c r="E86" s="2"/>
      <c r="F86" s="2"/>
      <c r="G86" s="2"/>
      <c r="H86" s="2"/>
      <c r="I86" s="2"/>
      <c r="J86" s="2"/>
      <c r="K86" s="2"/>
      <c r="L86" s="2"/>
      <c r="M86" s="2"/>
      <c r="N86" s="2"/>
      <c r="O86" s="2"/>
      <c r="P86" s="2"/>
      <c r="Q86" s="2"/>
      <c r="R86" s="2"/>
      <c r="S86" s="2"/>
      <c r="T86" s="2"/>
      <c r="U86" s="2"/>
      <c r="V86" s="2"/>
      <c r="W86" s="2"/>
      <c r="X86" s="2"/>
      <c r="Y86" s="2"/>
      <c r="Z86" s="2"/>
      <c r="AA86" s="2"/>
      <c r="AB86" s="2"/>
    </row>
    <row r="87">
      <c r="A87" s="59">
        <v>53.0</v>
      </c>
      <c r="B87" s="59" t="s">
        <v>1125</v>
      </c>
      <c r="C87" s="59" t="s">
        <v>3</v>
      </c>
      <c r="D87" s="59" t="s">
        <v>985</v>
      </c>
      <c r="E87" s="59" t="s">
        <v>986</v>
      </c>
      <c r="F87" s="59" t="s">
        <v>987</v>
      </c>
      <c r="G87" s="59" t="s">
        <v>988</v>
      </c>
      <c r="H87" s="98"/>
      <c r="I87" s="98"/>
      <c r="J87" s="98"/>
      <c r="K87" s="98"/>
      <c r="L87" s="98"/>
      <c r="M87" s="98"/>
      <c r="N87" s="98"/>
      <c r="O87" s="98"/>
      <c r="P87" s="98"/>
      <c r="Q87" s="98"/>
      <c r="R87" s="98"/>
      <c r="S87" s="98"/>
      <c r="T87" s="98"/>
      <c r="U87" s="98"/>
      <c r="V87" s="98"/>
      <c r="W87" s="98"/>
      <c r="X87" s="98"/>
      <c r="Y87" s="98"/>
      <c r="Z87" s="98"/>
      <c r="AA87" s="98"/>
      <c r="AB87" s="98"/>
    </row>
    <row r="88">
      <c r="C88" s="59" t="s">
        <v>9</v>
      </c>
      <c r="D88" s="59" t="s">
        <v>1126</v>
      </c>
      <c r="E88" s="59" t="s">
        <v>1127</v>
      </c>
      <c r="F88" s="59" t="s">
        <v>1128</v>
      </c>
      <c r="G88" s="59" t="s">
        <v>1129</v>
      </c>
      <c r="H88" s="98"/>
      <c r="I88" s="98"/>
      <c r="J88" s="98"/>
      <c r="K88" s="98"/>
      <c r="L88" s="98"/>
      <c r="M88" s="98"/>
      <c r="N88" s="98"/>
      <c r="O88" s="98"/>
      <c r="P88" s="98"/>
      <c r="Q88" s="98"/>
      <c r="R88" s="98"/>
      <c r="S88" s="98"/>
      <c r="T88" s="98"/>
      <c r="U88" s="98"/>
      <c r="V88" s="98"/>
      <c r="W88" s="98"/>
      <c r="X88" s="98"/>
      <c r="Y88" s="98"/>
      <c r="Z88" s="98"/>
      <c r="AA88" s="98"/>
      <c r="AB88" s="98"/>
    </row>
    <row r="89">
      <c r="C89" s="59" t="s">
        <v>15</v>
      </c>
      <c r="D89" s="59" t="s">
        <v>1130</v>
      </c>
      <c r="E89" s="59" t="s">
        <v>1131</v>
      </c>
      <c r="F89" s="59" t="s">
        <v>1132</v>
      </c>
      <c r="G89" s="59" t="s">
        <v>1133</v>
      </c>
      <c r="H89" s="98"/>
      <c r="I89" s="98"/>
      <c r="J89" s="98"/>
      <c r="K89" s="98"/>
      <c r="L89" s="98"/>
      <c r="M89" s="98"/>
      <c r="N89" s="98"/>
      <c r="O89" s="98"/>
      <c r="P89" s="98"/>
      <c r="Q89" s="98"/>
      <c r="R89" s="98"/>
      <c r="S89" s="98"/>
      <c r="T89" s="98"/>
      <c r="U89" s="98"/>
      <c r="V89" s="98"/>
      <c r="W89" s="98"/>
      <c r="X89" s="98"/>
      <c r="Y89" s="98"/>
      <c r="Z89" s="98"/>
      <c r="AA89" s="98"/>
      <c r="AB89" s="98"/>
    </row>
    <row r="90">
      <c r="C90" s="59" t="s">
        <v>21</v>
      </c>
      <c r="D90" s="59" t="s">
        <v>997</v>
      </c>
      <c r="E90" s="59" t="s">
        <v>23</v>
      </c>
      <c r="F90" s="59" t="s">
        <v>1011</v>
      </c>
      <c r="G90" s="59" t="s">
        <v>999</v>
      </c>
      <c r="H90" s="98"/>
      <c r="I90" s="98"/>
      <c r="J90" s="98"/>
      <c r="K90" s="98"/>
      <c r="L90" s="98"/>
      <c r="M90" s="98"/>
      <c r="N90" s="98"/>
      <c r="O90" s="98"/>
      <c r="P90" s="98"/>
      <c r="Q90" s="98"/>
      <c r="R90" s="98"/>
      <c r="S90" s="98"/>
      <c r="T90" s="98"/>
      <c r="U90" s="98"/>
      <c r="V90" s="98"/>
      <c r="W90" s="98"/>
      <c r="X90" s="98"/>
      <c r="Y90" s="98"/>
      <c r="Z90" s="98"/>
      <c r="AA90" s="98"/>
      <c r="AB90" s="98"/>
    </row>
    <row r="91">
      <c r="C91" s="59" t="s">
        <v>26</v>
      </c>
      <c r="D91" s="59" t="s">
        <v>1088</v>
      </c>
      <c r="E91" s="98"/>
      <c r="F91" s="59" t="s">
        <v>1134</v>
      </c>
      <c r="G91" s="59" t="s">
        <v>1079</v>
      </c>
      <c r="H91" s="98"/>
      <c r="I91" s="98"/>
      <c r="J91" s="98"/>
      <c r="K91" s="98"/>
      <c r="L91" s="98"/>
      <c r="M91" s="98"/>
      <c r="N91" s="98"/>
      <c r="O91" s="98"/>
      <c r="P91" s="98"/>
      <c r="Q91" s="98"/>
      <c r="R91" s="98"/>
      <c r="S91" s="98"/>
      <c r="T91" s="98"/>
      <c r="U91" s="98"/>
      <c r="V91" s="98"/>
      <c r="W91" s="98"/>
      <c r="X91" s="98"/>
      <c r="Y91" s="98"/>
      <c r="Z91" s="98"/>
      <c r="AA91" s="98"/>
      <c r="AB91" s="98"/>
    </row>
    <row r="92">
      <c r="C92" s="59" t="s">
        <v>28</v>
      </c>
      <c r="D92" s="98"/>
      <c r="E92" s="98"/>
      <c r="F92" s="98"/>
      <c r="G92" s="98"/>
      <c r="H92" s="98"/>
      <c r="I92" s="98"/>
      <c r="J92" s="98"/>
      <c r="K92" s="98"/>
      <c r="L92" s="98"/>
      <c r="M92" s="98"/>
      <c r="N92" s="98"/>
      <c r="O92" s="98"/>
      <c r="P92" s="98"/>
      <c r="Q92" s="98"/>
      <c r="R92" s="98"/>
      <c r="S92" s="98"/>
      <c r="T92" s="98"/>
      <c r="U92" s="98"/>
      <c r="V92" s="98"/>
      <c r="W92" s="98"/>
      <c r="X92" s="98"/>
      <c r="Y92" s="98"/>
      <c r="Z92" s="98"/>
      <c r="AA92" s="98"/>
      <c r="AB92" s="98"/>
    </row>
    <row r="93">
      <c r="A93" s="5">
        <v>54.0</v>
      </c>
      <c r="B93" s="5" t="s">
        <v>1135</v>
      </c>
      <c r="C93" s="5" t="s">
        <v>3</v>
      </c>
      <c r="D93" s="5" t="s">
        <v>985</v>
      </c>
      <c r="E93" s="5" t="s">
        <v>986</v>
      </c>
      <c r="F93" s="5" t="s">
        <v>987</v>
      </c>
      <c r="G93" s="5" t="s">
        <v>988</v>
      </c>
      <c r="H93" s="2"/>
      <c r="I93" s="2"/>
      <c r="J93" s="2"/>
      <c r="K93" s="2"/>
      <c r="L93" s="2"/>
      <c r="M93" s="2"/>
      <c r="N93" s="2"/>
      <c r="O93" s="2"/>
      <c r="P93" s="2"/>
      <c r="Q93" s="2"/>
      <c r="R93" s="2"/>
      <c r="S93" s="2"/>
      <c r="T93" s="2"/>
      <c r="U93" s="2"/>
      <c r="V93" s="2"/>
      <c r="W93" s="2"/>
      <c r="X93" s="2"/>
      <c r="Y93" s="2"/>
      <c r="Z93" s="2"/>
      <c r="AA93" s="2"/>
      <c r="AB93" s="2"/>
    </row>
    <row r="94">
      <c r="C94" s="5" t="s">
        <v>9</v>
      </c>
      <c r="D94" s="5" t="s">
        <v>1136</v>
      </c>
      <c r="E94" s="5" t="s">
        <v>1137</v>
      </c>
      <c r="F94" s="5" t="s">
        <v>1138</v>
      </c>
      <c r="G94" s="5" t="s">
        <v>1139</v>
      </c>
      <c r="H94" s="2"/>
      <c r="I94" s="2"/>
      <c r="J94" s="2"/>
      <c r="K94" s="2"/>
      <c r="L94" s="2"/>
      <c r="M94" s="2"/>
      <c r="N94" s="2"/>
      <c r="O94" s="2"/>
      <c r="P94" s="2"/>
      <c r="Q94" s="2"/>
      <c r="R94" s="2"/>
      <c r="S94" s="2"/>
      <c r="T94" s="2"/>
      <c r="U94" s="2"/>
      <c r="V94" s="2"/>
      <c r="W94" s="2"/>
      <c r="X94" s="2"/>
      <c r="Y94" s="2"/>
      <c r="Z94" s="2"/>
      <c r="AA94" s="2"/>
      <c r="AB94" s="2"/>
    </row>
    <row r="95">
      <c r="C95" s="5" t="s">
        <v>15</v>
      </c>
      <c r="D95" s="5" t="s">
        <v>1140</v>
      </c>
      <c r="E95" s="5" t="s">
        <v>1141</v>
      </c>
      <c r="F95" s="5" t="s">
        <v>1142</v>
      </c>
      <c r="G95" s="5" t="s">
        <v>1143</v>
      </c>
      <c r="H95" s="2"/>
      <c r="I95" s="2"/>
      <c r="J95" s="2"/>
      <c r="K95" s="2"/>
      <c r="L95" s="2"/>
      <c r="M95" s="2"/>
      <c r="N95" s="2"/>
      <c r="O95" s="2"/>
      <c r="P95" s="2"/>
      <c r="Q95" s="2"/>
      <c r="R95" s="2"/>
      <c r="S95" s="2"/>
      <c r="T95" s="2"/>
      <c r="U95" s="2"/>
      <c r="V95" s="2"/>
      <c r="W95" s="2"/>
      <c r="X95" s="2"/>
      <c r="Y95" s="2"/>
      <c r="Z95" s="2"/>
      <c r="AA95" s="2"/>
      <c r="AB95" s="2"/>
    </row>
    <row r="96">
      <c r="C96" s="5" t="s">
        <v>21</v>
      </c>
      <c r="D96" s="5" t="s">
        <v>997</v>
      </c>
      <c r="E96" s="5" t="s">
        <v>23</v>
      </c>
      <c r="F96" s="5" t="s">
        <v>1011</v>
      </c>
      <c r="G96" s="5" t="s">
        <v>999</v>
      </c>
      <c r="H96" s="2"/>
      <c r="I96" s="2"/>
      <c r="J96" s="2"/>
      <c r="K96" s="2"/>
      <c r="L96" s="2"/>
      <c r="M96" s="2"/>
      <c r="N96" s="2"/>
      <c r="O96" s="2"/>
      <c r="P96" s="2"/>
      <c r="Q96" s="2"/>
      <c r="R96" s="2"/>
      <c r="S96" s="2"/>
      <c r="T96" s="2"/>
      <c r="U96" s="2"/>
      <c r="V96" s="2"/>
      <c r="W96" s="2"/>
      <c r="X96" s="2"/>
      <c r="Y96" s="2"/>
      <c r="Z96" s="2"/>
      <c r="AA96" s="2"/>
      <c r="AB96" s="2"/>
    </row>
    <row r="97">
      <c r="C97" s="5" t="s">
        <v>26</v>
      </c>
      <c r="D97" s="5" t="s">
        <v>1144</v>
      </c>
      <c r="E97" s="2"/>
      <c r="F97" s="5" t="s">
        <v>1145</v>
      </c>
      <c r="G97" s="5" t="s">
        <v>1002</v>
      </c>
      <c r="H97" s="2"/>
      <c r="I97" s="2"/>
      <c r="J97" s="2"/>
      <c r="K97" s="2"/>
      <c r="L97" s="2"/>
      <c r="M97" s="2"/>
      <c r="N97" s="2"/>
      <c r="O97" s="2"/>
      <c r="P97" s="2"/>
      <c r="Q97" s="2"/>
      <c r="R97" s="2"/>
      <c r="S97" s="2"/>
      <c r="T97" s="2"/>
      <c r="U97" s="2"/>
      <c r="V97" s="2"/>
      <c r="W97" s="2"/>
      <c r="X97" s="2"/>
      <c r="Y97" s="2"/>
      <c r="Z97" s="2"/>
      <c r="AA97" s="2"/>
      <c r="AB97" s="2"/>
    </row>
    <row r="98">
      <c r="C98" s="5" t="s">
        <v>28</v>
      </c>
      <c r="D98" s="5" t="s">
        <v>1146</v>
      </c>
      <c r="E98" s="2"/>
      <c r="F98" s="2"/>
      <c r="G98" s="2"/>
      <c r="H98" s="2"/>
      <c r="I98" s="2"/>
      <c r="J98" s="2"/>
      <c r="K98" s="2"/>
      <c r="L98" s="2"/>
      <c r="M98" s="2"/>
      <c r="N98" s="2"/>
      <c r="O98" s="2"/>
      <c r="P98" s="2"/>
      <c r="Q98" s="2"/>
      <c r="R98" s="2"/>
      <c r="S98" s="2"/>
      <c r="T98" s="2"/>
      <c r="U98" s="2"/>
      <c r="V98" s="2"/>
      <c r="W98" s="2"/>
      <c r="X98" s="2"/>
      <c r="Y98" s="2"/>
      <c r="Z98" s="2"/>
      <c r="AA98" s="2"/>
      <c r="AB98" s="2"/>
    </row>
    <row r="99">
      <c r="A99" s="59">
        <v>58.0</v>
      </c>
      <c r="B99" s="59" t="s">
        <v>1147</v>
      </c>
      <c r="C99" s="59" t="s">
        <v>3</v>
      </c>
      <c r="D99" s="59" t="s">
        <v>985</v>
      </c>
      <c r="E99" s="59" t="s">
        <v>986</v>
      </c>
      <c r="F99" s="59" t="s">
        <v>987</v>
      </c>
      <c r="G99" s="59" t="s">
        <v>988</v>
      </c>
      <c r="H99" s="98"/>
      <c r="I99" s="98"/>
      <c r="J99" s="98"/>
      <c r="K99" s="98"/>
      <c r="L99" s="98"/>
      <c r="M99" s="98"/>
      <c r="N99" s="98"/>
      <c r="O99" s="98"/>
      <c r="P99" s="98"/>
      <c r="Q99" s="98"/>
      <c r="R99" s="98"/>
      <c r="S99" s="98"/>
      <c r="T99" s="98"/>
      <c r="U99" s="98"/>
      <c r="V99" s="98"/>
      <c r="W99" s="98"/>
      <c r="X99" s="98"/>
      <c r="Y99" s="98"/>
      <c r="Z99" s="98"/>
      <c r="AA99" s="98"/>
      <c r="AB99" s="98"/>
    </row>
    <row r="100">
      <c r="C100" s="59" t="s">
        <v>9</v>
      </c>
      <c r="D100" s="59" t="s">
        <v>1148</v>
      </c>
      <c r="E100" s="59" t="s">
        <v>1149</v>
      </c>
      <c r="F100" s="59" t="s">
        <v>1150</v>
      </c>
      <c r="G100" s="59" t="s">
        <v>1151</v>
      </c>
      <c r="H100" s="98"/>
      <c r="I100" s="98"/>
      <c r="J100" s="98"/>
      <c r="K100" s="98"/>
      <c r="L100" s="98"/>
      <c r="M100" s="98"/>
      <c r="N100" s="98"/>
      <c r="O100" s="98"/>
      <c r="P100" s="98"/>
      <c r="Q100" s="98"/>
      <c r="R100" s="98"/>
      <c r="S100" s="98"/>
      <c r="T100" s="98"/>
      <c r="U100" s="98"/>
      <c r="V100" s="98"/>
      <c r="W100" s="98"/>
      <c r="X100" s="98"/>
      <c r="Y100" s="98"/>
      <c r="Z100" s="98"/>
      <c r="AA100" s="98"/>
      <c r="AB100" s="98"/>
    </row>
    <row r="101">
      <c r="C101" s="59" t="s">
        <v>15</v>
      </c>
      <c r="D101" s="59" t="s">
        <v>1152</v>
      </c>
      <c r="E101" s="98" t="s">
        <v>1153</v>
      </c>
      <c r="F101" s="59" t="s">
        <v>1154</v>
      </c>
      <c r="G101" s="59" t="s">
        <v>1155</v>
      </c>
      <c r="H101" s="98"/>
      <c r="I101" s="98"/>
      <c r="J101" s="98"/>
      <c r="K101" s="98"/>
      <c r="L101" s="98"/>
      <c r="M101" s="98"/>
      <c r="N101" s="98"/>
      <c r="O101" s="98"/>
      <c r="P101" s="98"/>
      <c r="Q101" s="98"/>
      <c r="R101" s="98"/>
      <c r="S101" s="98"/>
      <c r="T101" s="98"/>
      <c r="U101" s="98"/>
      <c r="V101" s="98"/>
      <c r="W101" s="98"/>
      <c r="X101" s="98"/>
      <c r="Y101" s="98"/>
      <c r="Z101" s="98"/>
      <c r="AA101" s="98"/>
      <c r="AB101" s="98"/>
    </row>
    <row r="102">
      <c r="C102" s="59" t="s">
        <v>21</v>
      </c>
      <c r="D102" s="59" t="s">
        <v>997</v>
      </c>
      <c r="E102" s="59" t="s">
        <v>23</v>
      </c>
      <c r="F102" s="59" t="s">
        <v>1011</v>
      </c>
      <c r="G102" s="59" t="s">
        <v>999</v>
      </c>
      <c r="H102" s="98"/>
      <c r="I102" s="98"/>
      <c r="J102" s="98"/>
      <c r="K102" s="98"/>
      <c r="L102" s="98"/>
      <c r="M102" s="98"/>
      <c r="N102" s="98"/>
      <c r="O102" s="98"/>
      <c r="P102" s="98"/>
      <c r="Q102" s="98"/>
      <c r="R102" s="98"/>
      <c r="S102" s="98"/>
      <c r="T102" s="98"/>
      <c r="U102" s="98"/>
      <c r="V102" s="98"/>
      <c r="W102" s="98"/>
      <c r="X102" s="98"/>
      <c r="Y102" s="98"/>
      <c r="Z102" s="98"/>
      <c r="AA102" s="98"/>
      <c r="AB102" s="98"/>
    </row>
    <row r="103">
      <c r="C103" s="59" t="s">
        <v>26</v>
      </c>
      <c r="D103" s="59" t="s">
        <v>1156</v>
      </c>
      <c r="E103" s="98"/>
      <c r="F103" s="59" t="s">
        <v>1157</v>
      </c>
      <c r="G103" s="59" t="s">
        <v>1158</v>
      </c>
      <c r="H103" s="98"/>
      <c r="I103" s="98"/>
      <c r="J103" s="98"/>
      <c r="K103" s="98"/>
      <c r="L103" s="98"/>
      <c r="M103" s="98"/>
      <c r="N103" s="98"/>
      <c r="O103" s="98"/>
      <c r="P103" s="98"/>
      <c r="Q103" s="98"/>
      <c r="R103" s="98"/>
      <c r="S103" s="98"/>
      <c r="T103" s="98"/>
      <c r="U103" s="98"/>
      <c r="V103" s="98"/>
      <c r="W103" s="98"/>
      <c r="X103" s="98"/>
      <c r="Y103" s="98"/>
      <c r="Z103" s="98"/>
      <c r="AA103" s="98"/>
      <c r="AB103" s="98"/>
    </row>
    <row r="104">
      <c r="C104" s="59" t="s">
        <v>28</v>
      </c>
      <c r="D104" s="59" t="s">
        <v>1159</v>
      </c>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row>
    <row r="105">
      <c r="A105" s="5">
        <v>59.0</v>
      </c>
      <c r="B105" s="5" t="s">
        <v>1160</v>
      </c>
      <c r="C105" s="5" t="s">
        <v>3</v>
      </c>
      <c r="D105" s="5" t="s">
        <v>985</v>
      </c>
      <c r="E105" s="5" t="s">
        <v>986</v>
      </c>
      <c r="F105" s="5" t="s">
        <v>987</v>
      </c>
      <c r="G105" s="5" t="s">
        <v>988</v>
      </c>
      <c r="H105" s="2"/>
      <c r="I105" s="2"/>
      <c r="J105" s="2"/>
      <c r="K105" s="2"/>
      <c r="L105" s="2"/>
      <c r="M105" s="2"/>
      <c r="N105" s="2"/>
      <c r="O105" s="2"/>
      <c r="P105" s="2"/>
      <c r="Q105" s="2"/>
      <c r="R105" s="2"/>
      <c r="S105" s="2"/>
      <c r="T105" s="2"/>
      <c r="U105" s="2"/>
      <c r="V105" s="2"/>
      <c r="W105" s="2"/>
      <c r="X105" s="2"/>
      <c r="Y105" s="2"/>
      <c r="Z105" s="2"/>
      <c r="AA105" s="2"/>
      <c r="AB105" s="2"/>
    </row>
    <row r="106">
      <c r="C106" s="5" t="s">
        <v>9</v>
      </c>
      <c r="D106" s="5" t="s">
        <v>1161</v>
      </c>
      <c r="E106" s="5" t="s">
        <v>1162</v>
      </c>
      <c r="F106" s="5" t="s">
        <v>1163</v>
      </c>
      <c r="G106" s="5" t="s">
        <v>1164</v>
      </c>
      <c r="H106" s="2"/>
      <c r="I106" s="2"/>
      <c r="J106" s="2"/>
      <c r="K106" s="2"/>
      <c r="L106" s="2"/>
      <c r="M106" s="2"/>
      <c r="N106" s="2"/>
      <c r="O106" s="2"/>
      <c r="P106" s="2"/>
      <c r="Q106" s="2"/>
      <c r="R106" s="2"/>
      <c r="S106" s="2"/>
      <c r="T106" s="2"/>
      <c r="U106" s="2"/>
      <c r="V106" s="2"/>
      <c r="W106" s="2"/>
      <c r="X106" s="2"/>
      <c r="Y106" s="2"/>
      <c r="Z106" s="2"/>
      <c r="AA106" s="2"/>
      <c r="AB106" s="2"/>
    </row>
    <row r="107">
      <c r="C107" s="5" t="s">
        <v>15</v>
      </c>
      <c r="D107" s="5" t="s">
        <v>1165</v>
      </c>
      <c r="E107" s="5" t="s">
        <v>1166</v>
      </c>
      <c r="F107" s="5" t="s">
        <v>1167</v>
      </c>
      <c r="G107" s="5" t="s">
        <v>1168</v>
      </c>
      <c r="H107" s="2"/>
      <c r="I107" s="2"/>
      <c r="J107" s="2"/>
      <c r="K107" s="2"/>
      <c r="L107" s="2"/>
      <c r="M107" s="2"/>
      <c r="N107" s="2"/>
      <c r="O107" s="2"/>
      <c r="P107" s="2"/>
      <c r="Q107" s="2"/>
      <c r="R107" s="2"/>
      <c r="S107" s="2"/>
      <c r="T107" s="2"/>
      <c r="U107" s="2"/>
      <c r="V107" s="2"/>
      <c r="W107" s="2"/>
      <c r="X107" s="2"/>
      <c r="Y107" s="2"/>
      <c r="Z107" s="2"/>
      <c r="AA107" s="2"/>
      <c r="AB107" s="2"/>
    </row>
    <row r="108">
      <c r="C108" s="5" t="s">
        <v>21</v>
      </c>
      <c r="D108" s="5" t="s">
        <v>997</v>
      </c>
      <c r="E108" s="5" t="s">
        <v>23</v>
      </c>
      <c r="F108" s="5" t="s">
        <v>1011</v>
      </c>
      <c r="G108" s="5" t="s">
        <v>999</v>
      </c>
      <c r="H108" s="2"/>
      <c r="I108" s="2"/>
      <c r="J108" s="2"/>
      <c r="K108" s="2"/>
      <c r="L108" s="2"/>
      <c r="M108" s="2"/>
      <c r="N108" s="2"/>
      <c r="O108" s="2"/>
      <c r="P108" s="2"/>
      <c r="Q108" s="2"/>
      <c r="R108" s="2"/>
      <c r="S108" s="2"/>
      <c r="T108" s="2"/>
      <c r="U108" s="2"/>
      <c r="V108" s="2"/>
      <c r="W108" s="2"/>
      <c r="X108" s="2"/>
      <c r="Y108" s="2"/>
      <c r="Z108" s="2"/>
      <c r="AA108" s="2"/>
      <c r="AB108" s="2"/>
    </row>
    <row r="109">
      <c r="C109" s="5" t="s">
        <v>26</v>
      </c>
      <c r="D109" s="5" t="s">
        <v>1156</v>
      </c>
      <c r="E109" s="2"/>
      <c r="F109" s="5" t="s">
        <v>1169</v>
      </c>
      <c r="G109" s="5" t="s">
        <v>1021</v>
      </c>
      <c r="H109" s="2"/>
      <c r="I109" s="2"/>
      <c r="J109" s="2"/>
      <c r="K109" s="2"/>
      <c r="L109" s="2"/>
      <c r="M109" s="2"/>
      <c r="N109" s="2"/>
      <c r="O109" s="2"/>
      <c r="P109" s="2"/>
      <c r="Q109" s="2"/>
      <c r="R109" s="2"/>
      <c r="S109" s="2"/>
      <c r="T109" s="2"/>
      <c r="U109" s="2"/>
      <c r="V109" s="2"/>
      <c r="W109" s="2"/>
      <c r="X109" s="2"/>
      <c r="Y109" s="2"/>
      <c r="Z109" s="2"/>
      <c r="AA109" s="2"/>
      <c r="AB109" s="2"/>
    </row>
    <row r="110">
      <c r="C110" s="5" t="s">
        <v>28</v>
      </c>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59">
        <v>60.0</v>
      </c>
      <c r="B111" s="59" t="s">
        <v>1170</v>
      </c>
      <c r="C111" s="59" t="s">
        <v>3</v>
      </c>
      <c r="D111" s="59" t="s">
        <v>985</v>
      </c>
      <c r="E111" s="59" t="s">
        <v>986</v>
      </c>
      <c r="F111" s="59" t="s">
        <v>987</v>
      </c>
      <c r="G111" s="59" t="s">
        <v>988</v>
      </c>
      <c r="H111" s="98"/>
      <c r="I111" s="98"/>
      <c r="J111" s="98"/>
      <c r="K111" s="98"/>
      <c r="L111" s="98"/>
      <c r="M111" s="98"/>
      <c r="N111" s="98"/>
      <c r="O111" s="98"/>
      <c r="P111" s="98"/>
      <c r="Q111" s="98"/>
      <c r="R111" s="98"/>
      <c r="S111" s="98"/>
      <c r="T111" s="98"/>
      <c r="U111" s="98"/>
      <c r="V111" s="98"/>
      <c r="W111" s="98"/>
      <c r="X111" s="98"/>
      <c r="Y111" s="98"/>
      <c r="Z111" s="98"/>
      <c r="AA111" s="98"/>
      <c r="AB111" s="98"/>
    </row>
    <row r="112">
      <c r="C112" s="59" t="s">
        <v>9</v>
      </c>
      <c r="D112" s="59" t="s">
        <v>1171</v>
      </c>
      <c r="E112" s="59" t="s">
        <v>1172</v>
      </c>
      <c r="F112" s="59" t="s">
        <v>1173</v>
      </c>
      <c r="G112" s="59" t="s">
        <v>1174</v>
      </c>
      <c r="H112" s="98"/>
      <c r="I112" s="98"/>
      <c r="J112" s="98"/>
      <c r="K112" s="98"/>
      <c r="L112" s="98"/>
      <c r="M112" s="98"/>
      <c r="N112" s="98"/>
      <c r="O112" s="98"/>
      <c r="P112" s="98"/>
      <c r="Q112" s="98"/>
      <c r="R112" s="98"/>
      <c r="S112" s="98"/>
      <c r="T112" s="98"/>
      <c r="U112" s="98"/>
      <c r="V112" s="98"/>
      <c r="W112" s="98"/>
      <c r="X112" s="98"/>
      <c r="Y112" s="98"/>
      <c r="Z112" s="98"/>
      <c r="AA112" s="98"/>
      <c r="AB112" s="98"/>
    </row>
    <row r="113">
      <c r="C113" s="59" t="s">
        <v>15</v>
      </c>
      <c r="D113" s="59" t="s">
        <v>1175</v>
      </c>
      <c r="E113" s="59" t="s">
        <v>1176</v>
      </c>
      <c r="F113" s="59" t="s">
        <v>1177</v>
      </c>
      <c r="G113" s="59" t="s">
        <v>1178</v>
      </c>
      <c r="H113" s="98"/>
      <c r="I113" s="98"/>
      <c r="J113" s="98"/>
      <c r="K113" s="98"/>
      <c r="L113" s="98"/>
      <c r="M113" s="98"/>
      <c r="N113" s="98"/>
      <c r="O113" s="98"/>
      <c r="P113" s="98"/>
      <c r="Q113" s="98"/>
      <c r="R113" s="98"/>
      <c r="S113" s="98"/>
      <c r="T113" s="98"/>
      <c r="U113" s="98"/>
      <c r="V113" s="98"/>
      <c r="W113" s="98"/>
      <c r="X113" s="98"/>
      <c r="Y113" s="98"/>
      <c r="Z113" s="98"/>
      <c r="AA113" s="98"/>
      <c r="AB113" s="98"/>
    </row>
    <row r="114">
      <c r="C114" s="59" t="s">
        <v>21</v>
      </c>
      <c r="D114" s="59" t="s">
        <v>997</v>
      </c>
      <c r="E114" s="59" t="s">
        <v>23</v>
      </c>
      <c r="F114" s="59" t="s">
        <v>1011</v>
      </c>
      <c r="G114" s="59" t="s">
        <v>999</v>
      </c>
      <c r="H114" s="98"/>
      <c r="I114" s="98"/>
      <c r="J114" s="98"/>
      <c r="K114" s="98"/>
      <c r="L114" s="98"/>
      <c r="M114" s="98"/>
      <c r="N114" s="98"/>
      <c r="O114" s="98"/>
      <c r="P114" s="98"/>
      <c r="Q114" s="98"/>
      <c r="R114" s="98"/>
      <c r="S114" s="98"/>
      <c r="T114" s="98"/>
      <c r="U114" s="98"/>
      <c r="V114" s="98"/>
      <c r="W114" s="98"/>
      <c r="X114" s="98"/>
      <c r="Y114" s="98"/>
      <c r="Z114" s="98"/>
      <c r="AA114" s="98"/>
      <c r="AB114" s="98"/>
    </row>
    <row r="115">
      <c r="C115" s="59" t="s">
        <v>26</v>
      </c>
      <c r="D115" s="59" t="s">
        <v>1156</v>
      </c>
      <c r="E115" s="98"/>
      <c r="F115" s="59" t="s">
        <v>1019</v>
      </c>
      <c r="G115" s="98"/>
      <c r="H115" s="98"/>
      <c r="I115" s="98"/>
      <c r="J115" s="98"/>
      <c r="K115" s="98"/>
      <c r="L115" s="98"/>
      <c r="M115" s="98"/>
      <c r="N115" s="98"/>
      <c r="O115" s="98"/>
      <c r="P115" s="98"/>
      <c r="Q115" s="98"/>
      <c r="R115" s="98"/>
      <c r="S115" s="98"/>
      <c r="T115" s="98"/>
      <c r="U115" s="98"/>
      <c r="V115" s="98"/>
      <c r="W115" s="98"/>
      <c r="X115" s="98"/>
      <c r="Y115" s="98"/>
      <c r="Z115" s="98"/>
      <c r="AA115" s="98"/>
      <c r="AB115" s="98"/>
    </row>
    <row r="116">
      <c r="C116" s="59" t="s">
        <v>28</v>
      </c>
      <c r="D116" s="98"/>
      <c r="E116" s="98"/>
      <c r="F116" s="59"/>
      <c r="G116" s="98"/>
      <c r="H116" s="98"/>
      <c r="I116" s="98"/>
      <c r="J116" s="98"/>
      <c r="K116" s="98"/>
      <c r="L116" s="98"/>
      <c r="M116" s="98"/>
      <c r="N116" s="98"/>
      <c r="O116" s="98"/>
      <c r="P116" s="98"/>
      <c r="Q116" s="98"/>
      <c r="R116" s="98"/>
      <c r="S116" s="98"/>
      <c r="T116" s="98"/>
      <c r="U116" s="98"/>
      <c r="V116" s="98"/>
      <c r="W116" s="98"/>
      <c r="X116" s="98"/>
      <c r="Y116" s="98"/>
      <c r="Z116" s="98"/>
      <c r="AA116" s="98"/>
      <c r="AB116" s="98"/>
    </row>
    <row r="117">
      <c r="A117" s="5">
        <v>62.0</v>
      </c>
      <c r="B117" s="5" t="s">
        <v>1179</v>
      </c>
      <c r="C117" s="5" t="s">
        <v>3</v>
      </c>
      <c r="D117" s="5" t="s">
        <v>985</v>
      </c>
      <c r="E117" s="5" t="s">
        <v>986</v>
      </c>
      <c r="F117" s="5" t="s">
        <v>987</v>
      </c>
      <c r="G117" s="5" t="s">
        <v>988</v>
      </c>
      <c r="H117" s="2"/>
      <c r="I117" s="2"/>
      <c r="J117" s="2"/>
      <c r="K117" s="2"/>
      <c r="L117" s="2"/>
      <c r="M117" s="2"/>
      <c r="N117" s="2"/>
      <c r="O117" s="2"/>
      <c r="P117" s="2"/>
      <c r="Q117" s="2"/>
      <c r="R117" s="2"/>
      <c r="S117" s="2"/>
      <c r="T117" s="2"/>
      <c r="U117" s="2"/>
      <c r="V117" s="2"/>
      <c r="W117" s="2"/>
      <c r="X117" s="2"/>
      <c r="Y117" s="2"/>
      <c r="Z117" s="2"/>
      <c r="AA117" s="2"/>
      <c r="AB117" s="2"/>
    </row>
    <row r="118">
      <c r="C118" s="5" t="s">
        <v>9</v>
      </c>
      <c r="D118" s="5" t="s">
        <v>1180</v>
      </c>
      <c r="E118" s="5" t="s">
        <v>1181</v>
      </c>
      <c r="F118" s="5" t="s">
        <v>1182</v>
      </c>
      <c r="G118" s="5" t="s">
        <v>1183</v>
      </c>
      <c r="H118" s="2"/>
      <c r="I118" s="2"/>
      <c r="J118" s="2"/>
      <c r="K118" s="2"/>
      <c r="L118" s="2"/>
      <c r="M118" s="2"/>
      <c r="N118" s="2"/>
      <c r="O118" s="2"/>
      <c r="P118" s="2"/>
      <c r="Q118" s="2"/>
      <c r="R118" s="2"/>
      <c r="S118" s="2"/>
      <c r="T118" s="2"/>
      <c r="U118" s="2"/>
      <c r="V118" s="2"/>
      <c r="W118" s="2"/>
      <c r="X118" s="2"/>
      <c r="Y118" s="2"/>
      <c r="Z118" s="2"/>
      <c r="AA118" s="2"/>
      <c r="AB118" s="2"/>
    </row>
    <row r="119">
      <c r="C119" s="5" t="s">
        <v>15</v>
      </c>
      <c r="D119" s="5" t="s">
        <v>1184</v>
      </c>
      <c r="E119" s="5" t="s">
        <v>1185</v>
      </c>
      <c r="F119" s="5" t="s">
        <v>1019</v>
      </c>
      <c r="G119" s="5" t="s">
        <v>1186</v>
      </c>
      <c r="H119" s="2"/>
      <c r="I119" s="2"/>
      <c r="J119" s="2"/>
      <c r="K119" s="2"/>
      <c r="L119" s="2"/>
      <c r="M119" s="2"/>
      <c r="N119" s="2"/>
      <c r="O119" s="2"/>
      <c r="P119" s="2"/>
      <c r="Q119" s="2"/>
      <c r="R119" s="2"/>
      <c r="S119" s="2"/>
      <c r="T119" s="2"/>
      <c r="U119" s="2"/>
      <c r="V119" s="2"/>
      <c r="W119" s="2"/>
      <c r="X119" s="2"/>
      <c r="Y119" s="2"/>
      <c r="Z119" s="2"/>
      <c r="AA119" s="2"/>
      <c r="AB119" s="2"/>
    </row>
    <row r="120">
      <c r="C120" s="5" t="s">
        <v>21</v>
      </c>
      <c r="D120" s="5" t="s">
        <v>997</v>
      </c>
      <c r="E120" s="5" t="s">
        <v>23</v>
      </c>
      <c r="F120" s="5" t="s">
        <v>1011</v>
      </c>
      <c r="G120" s="5" t="s">
        <v>999</v>
      </c>
      <c r="H120" s="2"/>
      <c r="I120" s="2"/>
      <c r="J120" s="2"/>
      <c r="K120" s="2"/>
      <c r="L120" s="2"/>
      <c r="M120" s="2"/>
      <c r="N120" s="2"/>
      <c r="O120" s="2"/>
      <c r="P120" s="2"/>
      <c r="Q120" s="2"/>
      <c r="R120" s="2"/>
      <c r="S120" s="2"/>
      <c r="T120" s="2"/>
      <c r="U120" s="2"/>
      <c r="V120" s="2"/>
      <c r="W120" s="2"/>
      <c r="X120" s="2"/>
      <c r="Y120" s="2"/>
      <c r="Z120" s="2"/>
      <c r="AA120" s="2"/>
      <c r="AB120" s="2"/>
    </row>
    <row r="121">
      <c r="C121" s="5" t="s">
        <v>26</v>
      </c>
      <c r="D121" s="5" t="s">
        <v>1187</v>
      </c>
      <c r="E121" s="2"/>
      <c r="F121" s="5" t="s">
        <v>1019</v>
      </c>
      <c r="G121" s="2"/>
      <c r="H121" s="2"/>
      <c r="I121" s="2"/>
      <c r="J121" s="2"/>
      <c r="K121" s="2"/>
      <c r="L121" s="2"/>
      <c r="M121" s="2"/>
      <c r="N121" s="2"/>
      <c r="O121" s="2"/>
      <c r="P121" s="2"/>
      <c r="Q121" s="2"/>
      <c r="R121" s="2"/>
      <c r="S121" s="2"/>
      <c r="T121" s="2"/>
      <c r="U121" s="2"/>
      <c r="V121" s="2"/>
      <c r="W121" s="2"/>
      <c r="X121" s="2"/>
      <c r="Y121" s="2"/>
      <c r="Z121" s="2"/>
      <c r="AA121" s="2"/>
      <c r="AB121" s="2"/>
    </row>
    <row r="122">
      <c r="C122" s="5" t="s">
        <v>28</v>
      </c>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59">
        <v>68.0</v>
      </c>
      <c r="B123" s="59" t="s">
        <v>1188</v>
      </c>
      <c r="C123" s="59" t="s">
        <v>3</v>
      </c>
      <c r="D123" s="59" t="s">
        <v>985</v>
      </c>
      <c r="E123" s="59" t="s">
        <v>986</v>
      </c>
      <c r="F123" s="59" t="s">
        <v>987</v>
      </c>
      <c r="G123" s="59" t="s">
        <v>988</v>
      </c>
      <c r="H123" s="98"/>
      <c r="I123" s="98"/>
      <c r="J123" s="98"/>
      <c r="K123" s="98"/>
      <c r="L123" s="98"/>
      <c r="M123" s="98"/>
      <c r="N123" s="98"/>
      <c r="O123" s="98"/>
      <c r="P123" s="98"/>
      <c r="Q123" s="98"/>
      <c r="R123" s="98"/>
      <c r="S123" s="98"/>
      <c r="T123" s="98"/>
      <c r="U123" s="98"/>
      <c r="V123" s="98"/>
      <c r="W123" s="98"/>
      <c r="X123" s="98"/>
      <c r="Y123" s="98"/>
      <c r="Z123" s="98"/>
      <c r="AA123" s="98"/>
      <c r="AB123" s="98"/>
    </row>
    <row r="124">
      <c r="C124" s="59" t="s">
        <v>9</v>
      </c>
      <c r="D124" s="59" t="s">
        <v>1189</v>
      </c>
      <c r="E124" s="59" t="s">
        <v>1190</v>
      </c>
      <c r="F124" s="59" t="s">
        <v>1191</v>
      </c>
      <c r="G124" s="59" t="s">
        <v>1192</v>
      </c>
      <c r="H124" s="98"/>
      <c r="I124" s="98"/>
      <c r="J124" s="98"/>
      <c r="K124" s="98"/>
      <c r="L124" s="98"/>
      <c r="M124" s="98"/>
      <c r="N124" s="98"/>
      <c r="O124" s="98"/>
      <c r="P124" s="98"/>
      <c r="Q124" s="98"/>
      <c r="R124" s="98"/>
      <c r="S124" s="98"/>
      <c r="T124" s="98"/>
      <c r="U124" s="98"/>
      <c r="V124" s="98"/>
      <c r="W124" s="98"/>
      <c r="X124" s="98"/>
      <c r="Y124" s="98"/>
      <c r="Z124" s="98"/>
      <c r="AA124" s="98"/>
      <c r="AB124" s="98"/>
    </row>
    <row r="125">
      <c r="C125" s="59" t="s">
        <v>15</v>
      </c>
      <c r="D125" s="59" t="s">
        <v>1193</v>
      </c>
      <c r="E125" s="59" t="s">
        <v>1194</v>
      </c>
      <c r="F125" s="59" t="s">
        <v>1195</v>
      </c>
      <c r="G125" s="59" t="s">
        <v>1196</v>
      </c>
      <c r="H125" s="98"/>
      <c r="I125" s="98"/>
      <c r="J125" s="98"/>
      <c r="K125" s="98"/>
      <c r="L125" s="98"/>
      <c r="M125" s="98"/>
      <c r="N125" s="98"/>
      <c r="O125" s="98"/>
      <c r="P125" s="98"/>
      <c r="Q125" s="98"/>
      <c r="R125" s="98"/>
      <c r="S125" s="98"/>
      <c r="T125" s="98"/>
      <c r="U125" s="98"/>
      <c r="V125" s="98"/>
      <c r="W125" s="98"/>
      <c r="X125" s="98"/>
      <c r="Y125" s="98"/>
      <c r="Z125" s="98"/>
      <c r="AA125" s="98"/>
      <c r="AB125" s="98"/>
    </row>
    <row r="126">
      <c r="C126" s="59" t="s">
        <v>21</v>
      </c>
      <c r="D126" s="59" t="s">
        <v>997</v>
      </c>
      <c r="E126" s="59" t="s">
        <v>1197</v>
      </c>
      <c r="F126" s="59" t="s">
        <v>1011</v>
      </c>
      <c r="G126" s="59" t="s">
        <v>999</v>
      </c>
      <c r="H126" s="98"/>
      <c r="I126" s="98"/>
      <c r="J126" s="98"/>
      <c r="K126" s="98"/>
      <c r="L126" s="98"/>
      <c r="M126" s="98"/>
      <c r="N126" s="98"/>
      <c r="O126" s="98"/>
      <c r="P126" s="98"/>
      <c r="Q126" s="98"/>
      <c r="R126" s="98"/>
      <c r="S126" s="98"/>
      <c r="T126" s="98"/>
      <c r="U126" s="98"/>
      <c r="V126" s="98"/>
      <c r="W126" s="98"/>
      <c r="X126" s="98"/>
      <c r="Y126" s="98"/>
      <c r="Z126" s="98"/>
      <c r="AA126" s="98"/>
      <c r="AB126" s="98"/>
    </row>
    <row r="127">
      <c r="C127" s="59" t="s">
        <v>26</v>
      </c>
      <c r="D127" s="59" t="s">
        <v>1198</v>
      </c>
      <c r="E127" s="98"/>
      <c r="F127" s="59" t="s">
        <v>1195</v>
      </c>
      <c r="G127" s="59" t="s">
        <v>1032</v>
      </c>
      <c r="H127" s="98"/>
      <c r="I127" s="98"/>
      <c r="J127" s="98"/>
      <c r="K127" s="98"/>
      <c r="L127" s="98"/>
      <c r="M127" s="98"/>
      <c r="N127" s="98"/>
      <c r="O127" s="98"/>
      <c r="P127" s="98"/>
      <c r="Q127" s="98"/>
      <c r="R127" s="98"/>
      <c r="S127" s="98"/>
      <c r="T127" s="98"/>
      <c r="U127" s="98"/>
      <c r="V127" s="98"/>
      <c r="W127" s="98"/>
      <c r="X127" s="98"/>
      <c r="Y127" s="98"/>
      <c r="Z127" s="98"/>
      <c r="AA127" s="98"/>
      <c r="AB127" s="98"/>
    </row>
    <row r="128">
      <c r="C128" s="59" t="s">
        <v>28</v>
      </c>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row>
    <row r="129">
      <c r="A129" s="5">
        <v>69.0</v>
      </c>
      <c r="B129" s="5" t="s">
        <v>1199</v>
      </c>
      <c r="C129" s="5" t="s">
        <v>3</v>
      </c>
      <c r="D129" s="5" t="s">
        <v>985</v>
      </c>
      <c r="E129" s="5" t="s">
        <v>986</v>
      </c>
      <c r="F129" s="5" t="s">
        <v>987</v>
      </c>
      <c r="G129" s="5" t="s">
        <v>988</v>
      </c>
      <c r="H129" s="2"/>
      <c r="I129" s="2"/>
      <c r="J129" s="2"/>
      <c r="K129" s="2"/>
      <c r="L129" s="2"/>
      <c r="M129" s="2"/>
      <c r="N129" s="2"/>
      <c r="O129" s="2"/>
      <c r="P129" s="2"/>
      <c r="Q129" s="2"/>
      <c r="R129" s="2"/>
      <c r="S129" s="2"/>
      <c r="T129" s="2"/>
      <c r="U129" s="2"/>
      <c r="V129" s="2"/>
      <c r="W129" s="2"/>
      <c r="X129" s="2"/>
      <c r="Y129" s="2"/>
      <c r="Z129" s="2"/>
      <c r="AA129" s="2"/>
      <c r="AB129" s="2"/>
    </row>
    <row r="130">
      <c r="C130" s="5" t="s">
        <v>9</v>
      </c>
      <c r="D130" s="5" t="s">
        <v>1200</v>
      </c>
      <c r="E130" s="5" t="s">
        <v>1201</v>
      </c>
      <c r="F130" s="5" t="s">
        <v>1202</v>
      </c>
      <c r="G130" s="2"/>
      <c r="H130" s="2"/>
      <c r="I130" s="2"/>
      <c r="J130" s="2"/>
      <c r="K130" s="2"/>
      <c r="L130" s="2"/>
      <c r="M130" s="2"/>
      <c r="N130" s="2"/>
      <c r="O130" s="2"/>
      <c r="P130" s="2"/>
      <c r="Q130" s="2"/>
      <c r="R130" s="2"/>
      <c r="S130" s="2"/>
      <c r="T130" s="2"/>
      <c r="U130" s="2"/>
      <c r="V130" s="2"/>
      <c r="W130" s="2"/>
      <c r="X130" s="2"/>
      <c r="Y130" s="2"/>
      <c r="Z130" s="2"/>
      <c r="AA130" s="2"/>
      <c r="AB130" s="2"/>
    </row>
    <row r="131">
      <c r="C131" s="5" t="s">
        <v>15</v>
      </c>
      <c r="D131" s="5" t="s">
        <v>1203</v>
      </c>
      <c r="E131" s="5" t="s">
        <v>1204</v>
      </c>
      <c r="F131" s="5" t="s">
        <v>1205</v>
      </c>
      <c r="G131" s="5" t="s">
        <v>1206</v>
      </c>
      <c r="H131" s="2"/>
      <c r="I131" s="2"/>
      <c r="J131" s="2"/>
      <c r="K131" s="2"/>
      <c r="L131" s="2"/>
      <c r="M131" s="2"/>
      <c r="N131" s="2"/>
      <c r="O131" s="2"/>
      <c r="P131" s="2"/>
      <c r="Q131" s="2"/>
      <c r="R131" s="2"/>
      <c r="S131" s="2"/>
      <c r="T131" s="2"/>
      <c r="U131" s="2"/>
      <c r="V131" s="2"/>
      <c r="W131" s="2"/>
      <c r="X131" s="2"/>
      <c r="Y131" s="2"/>
      <c r="Z131" s="2"/>
      <c r="AA131" s="2"/>
      <c r="AB131" s="2"/>
    </row>
    <row r="132">
      <c r="C132" s="5" t="s">
        <v>21</v>
      </c>
      <c r="D132" s="5" t="s">
        <v>997</v>
      </c>
      <c r="E132" s="5" t="s">
        <v>23</v>
      </c>
      <c r="F132" s="5" t="s">
        <v>1011</v>
      </c>
      <c r="G132" s="5" t="s">
        <v>999</v>
      </c>
      <c r="H132" s="2"/>
      <c r="I132" s="2"/>
      <c r="J132" s="2"/>
      <c r="K132" s="2"/>
      <c r="L132" s="2"/>
      <c r="M132" s="2"/>
      <c r="N132" s="2"/>
      <c r="O132" s="2"/>
      <c r="P132" s="2"/>
      <c r="Q132" s="2"/>
      <c r="R132" s="2"/>
      <c r="S132" s="2"/>
      <c r="T132" s="2"/>
      <c r="U132" s="2"/>
      <c r="V132" s="2"/>
      <c r="W132" s="2"/>
      <c r="X132" s="2"/>
      <c r="Y132" s="2"/>
      <c r="Z132" s="2"/>
      <c r="AA132" s="2"/>
      <c r="AB132" s="2"/>
    </row>
    <row r="133">
      <c r="C133" s="5" t="s">
        <v>26</v>
      </c>
      <c r="D133" s="5" t="s">
        <v>1198</v>
      </c>
      <c r="E133" s="2"/>
      <c r="F133" s="5" t="s">
        <v>1207</v>
      </c>
      <c r="G133" s="5" t="s">
        <v>1208</v>
      </c>
      <c r="H133" s="2"/>
      <c r="I133" s="2"/>
      <c r="J133" s="2"/>
      <c r="K133" s="2"/>
      <c r="L133" s="2"/>
      <c r="M133" s="2"/>
      <c r="N133" s="2"/>
      <c r="O133" s="2"/>
      <c r="P133" s="2"/>
      <c r="Q133" s="2"/>
      <c r="R133" s="2"/>
      <c r="S133" s="2"/>
      <c r="T133" s="2"/>
      <c r="U133" s="2"/>
      <c r="V133" s="2"/>
      <c r="W133" s="2"/>
      <c r="X133" s="2"/>
      <c r="Y133" s="2"/>
      <c r="Z133" s="2"/>
      <c r="AA133" s="2"/>
      <c r="AB133" s="2"/>
    </row>
    <row r="134">
      <c r="C134" s="5" t="s">
        <v>28</v>
      </c>
      <c r="D134" s="2"/>
      <c r="E134" s="2"/>
      <c r="F134" s="5"/>
      <c r="G134" s="2"/>
      <c r="H134" s="2"/>
      <c r="I134" s="2"/>
      <c r="J134" s="2"/>
      <c r="K134" s="2"/>
      <c r="L134" s="2"/>
      <c r="M134" s="2"/>
      <c r="N134" s="2"/>
      <c r="O134" s="2"/>
      <c r="P134" s="2"/>
      <c r="Q134" s="2"/>
      <c r="R134" s="2"/>
      <c r="S134" s="2"/>
      <c r="T134" s="2"/>
      <c r="U134" s="2"/>
      <c r="V134" s="2"/>
      <c r="W134" s="2"/>
      <c r="X134" s="2"/>
      <c r="Y134" s="2"/>
      <c r="Z134" s="2"/>
      <c r="AA134" s="2"/>
      <c r="AB134" s="2"/>
    </row>
    <row r="135">
      <c r="A135" s="59">
        <v>70.0</v>
      </c>
      <c r="B135" s="59" t="s">
        <v>1209</v>
      </c>
      <c r="C135" s="59" t="s">
        <v>3</v>
      </c>
      <c r="D135" s="59" t="s">
        <v>985</v>
      </c>
      <c r="E135" s="59" t="s">
        <v>986</v>
      </c>
      <c r="F135" s="59" t="s">
        <v>987</v>
      </c>
      <c r="G135" s="59" t="s">
        <v>988</v>
      </c>
      <c r="H135" s="98"/>
      <c r="I135" s="98"/>
      <c r="J135" s="98"/>
      <c r="K135" s="98"/>
      <c r="L135" s="98"/>
      <c r="M135" s="98"/>
      <c r="N135" s="98"/>
      <c r="O135" s="98"/>
      <c r="P135" s="98"/>
      <c r="Q135" s="98"/>
      <c r="R135" s="98"/>
      <c r="S135" s="98"/>
      <c r="T135" s="98"/>
      <c r="U135" s="98"/>
      <c r="V135" s="98"/>
      <c r="W135" s="98"/>
      <c r="X135" s="98"/>
      <c r="Y135" s="98"/>
      <c r="Z135" s="98"/>
      <c r="AA135" s="98"/>
      <c r="AB135" s="98"/>
    </row>
    <row r="136">
      <c r="C136" s="59" t="s">
        <v>9</v>
      </c>
      <c r="D136" s="59" t="s">
        <v>1210</v>
      </c>
      <c r="E136" s="59" t="s">
        <v>1211</v>
      </c>
      <c r="F136" s="59" t="s">
        <v>1212</v>
      </c>
      <c r="G136" s="59" t="s">
        <v>1213</v>
      </c>
      <c r="H136" s="98"/>
      <c r="I136" s="98"/>
      <c r="J136" s="98"/>
      <c r="K136" s="98"/>
      <c r="L136" s="98"/>
      <c r="M136" s="98"/>
      <c r="N136" s="98"/>
      <c r="O136" s="98"/>
      <c r="P136" s="98"/>
      <c r="Q136" s="98"/>
      <c r="R136" s="98"/>
      <c r="S136" s="98"/>
      <c r="T136" s="98"/>
      <c r="U136" s="98"/>
      <c r="V136" s="98"/>
      <c r="W136" s="98"/>
      <c r="X136" s="98"/>
      <c r="Y136" s="98"/>
      <c r="Z136" s="98"/>
      <c r="AA136" s="98"/>
      <c r="AB136" s="98"/>
    </row>
    <row r="137">
      <c r="C137" s="59" t="s">
        <v>15</v>
      </c>
      <c r="D137" s="59" t="s">
        <v>1214</v>
      </c>
      <c r="E137" s="59" t="s">
        <v>1215</v>
      </c>
      <c r="F137" s="59" t="s">
        <v>1216</v>
      </c>
      <c r="G137" s="59" t="s">
        <v>1217</v>
      </c>
      <c r="H137" s="98"/>
      <c r="I137" s="98"/>
      <c r="J137" s="98"/>
      <c r="K137" s="98"/>
      <c r="L137" s="98"/>
      <c r="M137" s="98"/>
      <c r="N137" s="98"/>
      <c r="O137" s="98"/>
      <c r="P137" s="98"/>
      <c r="Q137" s="98"/>
      <c r="R137" s="98"/>
      <c r="S137" s="98"/>
      <c r="T137" s="98"/>
      <c r="U137" s="98"/>
      <c r="V137" s="98"/>
      <c r="W137" s="98"/>
      <c r="X137" s="98"/>
      <c r="Y137" s="98"/>
      <c r="Z137" s="98"/>
      <c r="AA137" s="98"/>
      <c r="AB137" s="98"/>
    </row>
    <row r="138">
      <c r="C138" s="59" t="s">
        <v>21</v>
      </c>
      <c r="D138" s="59" t="s">
        <v>997</v>
      </c>
      <c r="E138" s="59" t="s">
        <v>23</v>
      </c>
      <c r="F138" s="59" t="s">
        <v>1011</v>
      </c>
      <c r="G138" s="59" t="s">
        <v>999</v>
      </c>
      <c r="H138" s="98"/>
      <c r="I138" s="98"/>
      <c r="J138" s="98"/>
      <c r="K138" s="98"/>
      <c r="L138" s="98"/>
      <c r="M138" s="98"/>
      <c r="N138" s="98"/>
      <c r="O138" s="98"/>
      <c r="P138" s="98"/>
      <c r="Q138" s="98"/>
      <c r="R138" s="98"/>
      <c r="S138" s="98"/>
      <c r="T138" s="98"/>
      <c r="U138" s="98"/>
      <c r="V138" s="98"/>
      <c r="W138" s="98"/>
      <c r="X138" s="98"/>
      <c r="Y138" s="98"/>
      <c r="Z138" s="98"/>
      <c r="AA138" s="98"/>
      <c r="AB138" s="98"/>
    </row>
    <row r="139">
      <c r="C139" s="59" t="s">
        <v>26</v>
      </c>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row>
    <row r="140">
      <c r="C140" s="59" t="s">
        <v>28</v>
      </c>
      <c r="D140" s="98"/>
      <c r="E140" s="98"/>
      <c r="F140" s="98"/>
      <c r="G140" s="59" t="s">
        <v>1217</v>
      </c>
      <c r="H140" s="98"/>
      <c r="I140" s="98"/>
      <c r="J140" s="98"/>
      <c r="K140" s="98"/>
      <c r="L140" s="98"/>
      <c r="M140" s="98"/>
      <c r="N140" s="98"/>
      <c r="O140" s="98"/>
      <c r="P140" s="98"/>
      <c r="Q140" s="98"/>
      <c r="R140" s="98"/>
      <c r="S140" s="98"/>
      <c r="T140" s="98"/>
      <c r="U140" s="98"/>
      <c r="V140" s="98"/>
      <c r="W140" s="98"/>
      <c r="X140" s="98"/>
      <c r="Y140" s="98"/>
      <c r="Z140" s="98"/>
      <c r="AA140" s="98"/>
      <c r="AB140" s="98"/>
    </row>
    <row r="141">
      <c r="A141" s="5">
        <v>71.0</v>
      </c>
      <c r="B141" s="5" t="s">
        <v>1218</v>
      </c>
      <c r="C141" s="5" t="s">
        <v>3</v>
      </c>
      <c r="D141" s="5" t="s">
        <v>985</v>
      </c>
      <c r="E141" s="5" t="s">
        <v>986</v>
      </c>
      <c r="F141" s="5" t="s">
        <v>987</v>
      </c>
      <c r="G141" s="5" t="s">
        <v>988</v>
      </c>
      <c r="H141" s="2"/>
      <c r="I141" s="2"/>
      <c r="J141" s="2"/>
      <c r="K141" s="2"/>
      <c r="L141" s="2"/>
      <c r="M141" s="2"/>
      <c r="N141" s="2"/>
      <c r="O141" s="2"/>
      <c r="P141" s="2"/>
      <c r="Q141" s="2"/>
      <c r="R141" s="2"/>
      <c r="S141" s="2"/>
      <c r="T141" s="2"/>
      <c r="U141" s="2"/>
      <c r="V141" s="2"/>
      <c r="W141" s="2"/>
      <c r="X141" s="2"/>
      <c r="Y141" s="2"/>
      <c r="Z141" s="2"/>
      <c r="AA141" s="2"/>
      <c r="AB141" s="2"/>
    </row>
    <row r="142">
      <c r="C142" s="5" t="s">
        <v>9</v>
      </c>
      <c r="D142" s="5" t="s">
        <v>1219</v>
      </c>
      <c r="E142" s="5" t="s">
        <v>1220</v>
      </c>
      <c r="F142" s="5" t="s">
        <v>1221</v>
      </c>
      <c r="G142" s="5" t="s">
        <v>1222</v>
      </c>
      <c r="H142" s="2"/>
      <c r="I142" s="2"/>
      <c r="J142" s="2"/>
      <c r="K142" s="2"/>
      <c r="L142" s="2"/>
      <c r="M142" s="2"/>
      <c r="N142" s="2"/>
      <c r="O142" s="2"/>
      <c r="P142" s="2"/>
      <c r="Q142" s="2"/>
      <c r="R142" s="2"/>
      <c r="S142" s="2"/>
      <c r="T142" s="2"/>
      <c r="U142" s="2"/>
      <c r="V142" s="2"/>
      <c r="W142" s="2"/>
      <c r="X142" s="2"/>
      <c r="Y142" s="2"/>
      <c r="Z142" s="2"/>
      <c r="AA142" s="2"/>
      <c r="AB142" s="2"/>
    </row>
    <row r="143">
      <c r="C143" s="5" t="s">
        <v>15</v>
      </c>
      <c r="D143" s="5" t="s">
        <v>1223</v>
      </c>
      <c r="E143" s="5" t="s">
        <v>1224</v>
      </c>
      <c r="F143" s="5" t="s">
        <v>1225</v>
      </c>
      <c r="G143" s="5" t="s">
        <v>1226</v>
      </c>
      <c r="H143" s="2"/>
      <c r="I143" s="2"/>
      <c r="J143" s="2"/>
      <c r="K143" s="2"/>
      <c r="L143" s="2"/>
      <c r="M143" s="2"/>
      <c r="N143" s="2"/>
      <c r="O143" s="2"/>
      <c r="P143" s="2"/>
      <c r="Q143" s="2"/>
      <c r="R143" s="2"/>
      <c r="S143" s="2"/>
      <c r="T143" s="2"/>
      <c r="U143" s="2"/>
      <c r="V143" s="2"/>
      <c r="W143" s="2"/>
      <c r="X143" s="2"/>
      <c r="Y143" s="2"/>
      <c r="Z143" s="2"/>
      <c r="AA143" s="2"/>
      <c r="AB143" s="2"/>
    </row>
    <row r="144">
      <c r="C144" s="5" t="s">
        <v>21</v>
      </c>
      <c r="D144" s="5" t="s">
        <v>997</v>
      </c>
      <c r="E144" s="5" t="s">
        <v>23</v>
      </c>
      <c r="F144" s="5" t="s">
        <v>1011</v>
      </c>
      <c r="G144" s="5" t="s">
        <v>999</v>
      </c>
      <c r="H144" s="2"/>
      <c r="I144" s="2"/>
      <c r="J144" s="2"/>
      <c r="K144" s="2"/>
      <c r="L144" s="2"/>
      <c r="M144" s="2"/>
      <c r="N144" s="2"/>
      <c r="O144" s="2"/>
      <c r="P144" s="2"/>
      <c r="Q144" s="2"/>
      <c r="R144" s="2"/>
      <c r="S144" s="2"/>
      <c r="T144" s="2"/>
      <c r="U144" s="2"/>
      <c r="V144" s="2"/>
      <c r="W144" s="2"/>
      <c r="X144" s="2"/>
      <c r="Y144" s="2"/>
      <c r="Z144" s="2"/>
      <c r="AA144" s="2"/>
      <c r="AB144" s="2"/>
    </row>
    <row r="145">
      <c r="C145" s="5" t="s">
        <v>26</v>
      </c>
      <c r="D145" s="5" t="s">
        <v>1227</v>
      </c>
      <c r="E145" s="2"/>
      <c r="F145" s="5" t="s">
        <v>1228</v>
      </c>
      <c r="G145" s="5" t="s">
        <v>1229</v>
      </c>
      <c r="H145" s="2"/>
      <c r="I145" s="2"/>
      <c r="J145" s="2"/>
      <c r="K145" s="2"/>
      <c r="L145" s="2"/>
      <c r="M145" s="2"/>
      <c r="N145" s="2"/>
      <c r="O145" s="2"/>
      <c r="P145" s="2"/>
      <c r="Q145" s="2"/>
      <c r="R145" s="2"/>
      <c r="S145" s="2"/>
      <c r="T145" s="2"/>
      <c r="U145" s="2"/>
      <c r="V145" s="2"/>
      <c r="W145" s="2"/>
      <c r="X145" s="2"/>
      <c r="Y145" s="2"/>
      <c r="Z145" s="2"/>
      <c r="AA145" s="2"/>
      <c r="AB145" s="2"/>
    </row>
    <row r="146">
      <c r="C146" s="5" t="s">
        <v>28</v>
      </c>
      <c r="D146" s="2"/>
      <c r="E146" s="2"/>
      <c r="F146" s="5" t="s">
        <v>1230</v>
      </c>
      <c r="G146" s="2"/>
      <c r="H146" s="2"/>
      <c r="I146" s="2"/>
      <c r="J146" s="2"/>
      <c r="K146" s="2"/>
      <c r="L146" s="2"/>
      <c r="M146" s="2"/>
      <c r="N146" s="2"/>
      <c r="O146" s="2"/>
      <c r="P146" s="2"/>
      <c r="Q146" s="2"/>
      <c r="R146" s="2"/>
      <c r="S146" s="2"/>
      <c r="T146" s="2"/>
      <c r="U146" s="2"/>
      <c r="V146" s="2"/>
      <c r="W146" s="2"/>
      <c r="X146" s="2"/>
      <c r="Y146" s="2"/>
      <c r="Z146" s="2"/>
      <c r="AA146" s="2"/>
      <c r="AB146" s="2"/>
    </row>
    <row r="147">
      <c r="A147" s="59">
        <v>74.0</v>
      </c>
      <c r="B147" s="59" t="s">
        <v>1231</v>
      </c>
      <c r="C147" s="59" t="s">
        <v>3</v>
      </c>
      <c r="D147" s="59" t="s">
        <v>985</v>
      </c>
      <c r="E147" s="59" t="s">
        <v>986</v>
      </c>
      <c r="F147" s="59" t="s">
        <v>987</v>
      </c>
      <c r="G147" s="59" t="s">
        <v>988</v>
      </c>
      <c r="H147" s="98"/>
      <c r="I147" s="98"/>
      <c r="J147" s="98"/>
      <c r="K147" s="98"/>
      <c r="L147" s="98"/>
      <c r="M147" s="98"/>
      <c r="N147" s="98"/>
      <c r="O147" s="98"/>
      <c r="P147" s="98"/>
      <c r="Q147" s="98"/>
      <c r="R147" s="98"/>
      <c r="S147" s="98"/>
      <c r="T147" s="98"/>
      <c r="U147" s="98"/>
      <c r="V147" s="98"/>
      <c r="W147" s="98"/>
      <c r="X147" s="98"/>
      <c r="Y147" s="98"/>
      <c r="Z147" s="98"/>
      <c r="AA147" s="98"/>
      <c r="AB147" s="98"/>
    </row>
    <row r="148">
      <c r="C148" s="59" t="s">
        <v>9</v>
      </c>
      <c r="D148" s="59" t="s">
        <v>1232</v>
      </c>
      <c r="E148" s="59" t="s">
        <v>1233</v>
      </c>
      <c r="F148" s="59" t="s">
        <v>1234</v>
      </c>
      <c r="G148" s="59" t="s">
        <v>1235</v>
      </c>
      <c r="H148" s="98"/>
      <c r="I148" s="98"/>
      <c r="J148" s="98"/>
      <c r="K148" s="98"/>
      <c r="L148" s="98"/>
      <c r="M148" s="98"/>
      <c r="N148" s="98"/>
      <c r="O148" s="98"/>
      <c r="P148" s="98"/>
      <c r="Q148" s="98"/>
      <c r="R148" s="98"/>
      <c r="S148" s="98"/>
      <c r="T148" s="98"/>
      <c r="U148" s="98"/>
      <c r="V148" s="98"/>
      <c r="W148" s="98"/>
      <c r="X148" s="98"/>
      <c r="Y148" s="98"/>
      <c r="Z148" s="98"/>
      <c r="AA148" s="98"/>
      <c r="AB148" s="98"/>
    </row>
    <row r="149">
      <c r="C149" s="59" t="s">
        <v>15</v>
      </c>
      <c r="D149" s="59" t="s">
        <v>1236</v>
      </c>
      <c r="E149" s="59" t="s">
        <v>1237</v>
      </c>
      <c r="F149" s="59" t="s">
        <v>1238</v>
      </c>
      <c r="G149" s="59" t="s">
        <v>1239</v>
      </c>
      <c r="H149" s="98"/>
      <c r="I149" s="98"/>
      <c r="J149" s="98"/>
      <c r="K149" s="98"/>
      <c r="L149" s="98"/>
      <c r="M149" s="98"/>
      <c r="N149" s="98"/>
      <c r="O149" s="98"/>
      <c r="P149" s="98"/>
      <c r="Q149" s="98"/>
      <c r="R149" s="98"/>
      <c r="S149" s="98"/>
      <c r="T149" s="98"/>
      <c r="U149" s="98"/>
      <c r="V149" s="98"/>
      <c r="W149" s="98"/>
      <c r="X149" s="98"/>
      <c r="Y149" s="98"/>
      <c r="Z149" s="98"/>
      <c r="AA149" s="98"/>
      <c r="AB149" s="98"/>
    </row>
    <row r="150">
      <c r="C150" s="59" t="s">
        <v>21</v>
      </c>
      <c r="D150" s="59" t="s">
        <v>997</v>
      </c>
      <c r="E150" s="59" t="s">
        <v>23</v>
      </c>
      <c r="F150" s="59" t="s">
        <v>1011</v>
      </c>
      <c r="G150" s="59" t="s">
        <v>999</v>
      </c>
      <c r="H150" s="98"/>
      <c r="I150" s="98"/>
      <c r="J150" s="98"/>
      <c r="K150" s="98"/>
      <c r="L150" s="98"/>
      <c r="M150" s="98"/>
      <c r="N150" s="98"/>
      <c r="O150" s="98"/>
      <c r="P150" s="98"/>
      <c r="Q150" s="98"/>
      <c r="R150" s="98"/>
      <c r="S150" s="98"/>
      <c r="T150" s="98"/>
      <c r="U150" s="98"/>
      <c r="V150" s="98"/>
      <c r="W150" s="98"/>
      <c r="X150" s="98"/>
      <c r="Y150" s="98"/>
      <c r="Z150" s="98"/>
      <c r="AA150" s="98"/>
      <c r="AB150" s="98"/>
    </row>
    <row r="151">
      <c r="C151" s="59" t="s">
        <v>26</v>
      </c>
      <c r="D151" s="59" t="s">
        <v>1236</v>
      </c>
      <c r="E151" s="98"/>
      <c r="F151" s="59" t="s">
        <v>1240</v>
      </c>
      <c r="G151" s="59" t="s">
        <v>1079</v>
      </c>
      <c r="H151" s="98"/>
      <c r="I151" s="98"/>
      <c r="J151" s="98"/>
      <c r="K151" s="98"/>
      <c r="L151" s="98"/>
      <c r="M151" s="98"/>
      <c r="N151" s="98"/>
      <c r="O151" s="98"/>
      <c r="P151" s="98"/>
      <c r="Q151" s="98"/>
      <c r="R151" s="98"/>
      <c r="S151" s="98"/>
      <c r="T151" s="98"/>
      <c r="U151" s="98"/>
      <c r="V151" s="98"/>
      <c r="W151" s="98"/>
      <c r="X151" s="98"/>
      <c r="Y151" s="98"/>
      <c r="Z151" s="98"/>
      <c r="AA151" s="98"/>
      <c r="AB151" s="98"/>
    </row>
    <row r="152">
      <c r="C152" s="59" t="s">
        <v>28</v>
      </c>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row>
    <row r="153">
      <c r="A153" s="5">
        <v>75.0</v>
      </c>
      <c r="B153" s="5" t="s">
        <v>1241</v>
      </c>
      <c r="C153" s="5" t="s">
        <v>3</v>
      </c>
      <c r="D153" s="5" t="s">
        <v>985</v>
      </c>
      <c r="E153" s="5" t="s">
        <v>986</v>
      </c>
      <c r="F153" s="5" t="s">
        <v>987</v>
      </c>
      <c r="G153" s="5" t="s">
        <v>988</v>
      </c>
      <c r="H153" s="2"/>
      <c r="I153" s="2"/>
      <c r="J153" s="2"/>
      <c r="K153" s="2"/>
      <c r="L153" s="2"/>
      <c r="M153" s="2"/>
      <c r="N153" s="2"/>
      <c r="O153" s="2"/>
      <c r="P153" s="2"/>
      <c r="Q153" s="2"/>
      <c r="R153" s="2"/>
      <c r="S153" s="2"/>
      <c r="T153" s="2"/>
      <c r="U153" s="2"/>
      <c r="V153" s="2"/>
      <c r="W153" s="2"/>
      <c r="X153" s="2"/>
      <c r="Y153" s="2"/>
      <c r="Z153" s="2"/>
      <c r="AA153" s="2"/>
      <c r="AB153" s="2"/>
    </row>
    <row r="154">
      <c r="C154" s="5" t="s">
        <v>9</v>
      </c>
      <c r="D154" s="5" t="s">
        <v>1242</v>
      </c>
      <c r="E154" s="5" t="s">
        <v>1243</v>
      </c>
      <c r="F154" s="5" t="s">
        <v>1244</v>
      </c>
      <c r="G154" s="5" t="s">
        <v>1245</v>
      </c>
      <c r="H154" s="2"/>
      <c r="I154" s="2"/>
      <c r="J154" s="2"/>
      <c r="K154" s="2"/>
      <c r="L154" s="2"/>
      <c r="M154" s="2"/>
      <c r="N154" s="2"/>
      <c r="O154" s="2"/>
      <c r="P154" s="2"/>
      <c r="Q154" s="2"/>
      <c r="R154" s="2"/>
      <c r="S154" s="2"/>
      <c r="T154" s="2"/>
      <c r="U154" s="2"/>
      <c r="V154" s="2"/>
      <c r="W154" s="2"/>
      <c r="X154" s="2"/>
      <c r="Y154" s="2"/>
      <c r="Z154" s="2"/>
      <c r="AA154" s="2"/>
      <c r="AB154" s="2"/>
    </row>
    <row r="155">
      <c r="C155" s="5" t="s">
        <v>15</v>
      </c>
      <c r="D155" s="5" t="s">
        <v>1246</v>
      </c>
      <c r="E155" s="5" t="s">
        <v>1247</v>
      </c>
      <c r="F155" s="5" t="s">
        <v>1019</v>
      </c>
      <c r="G155" s="5" t="s">
        <v>1248</v>
      </c>
      <c r="H155" s="2"/>
      <c r="I155" s="2"/>
      <c r="J155" s="2"/>
      <c r="K155" s="2"/>
      <c r="L155" s="2"/>
      <c r="M155" s="2"/>
      <c r="N155" s="2"/>
      <c r="O155" s="2"/>
      <c r="P155" s="2"/>
      <c r="Q155" s="2"/>
      <c r="R155" s="2"/>
      <c r="S155" s="2"/>
      <c r="T155" s="2"/>
      <c r="U155" s="2"/>
      <c r="V155" s="2"/>
      <c r="W155" s="2"/>
      <c r="X155" s="2"/>
      <c r="Y155" s="2"/>
      <c r="Z155" s="2"/>
      <c r="AA155" s="2"/>
      <c r="AB155" s="2"/>
    </row>
    <row r="156">
      <c r="C156" s="5" t="s">
        <v>21</v>
      </c>
      <c r="D156" s="5" t="s">
        <v>997</v>
      </c>
      <c r="E156" s="5" t="s">
        <v>23</v>
      </c>
      <c r="F156" s="5" t="s">
        <v>1011</v>
      </c>
      <c r="G156" s="5" t="s">
        <v>1249</v>
      </c>
      <c r="H156" s="2"/>
      <c r="I156" s="2"/>
      <c r="J156" s="2"/>
      <c r="K156" s="2"/>
      <c r="L156" s="2"/>
      <c r="M156" s="2"/>
      <c r="N156" s="2"/>
      <c r="O156" s="2"/>
      <c r="P156" s="2"/>
      <c r="Q156" s="2"/>
      <c r="R156" s="2"/>
      <c r="S156" s="2"/>
      <c r="T156" s="2"/>
      <c r="U156" s="2"/>
      <c r="V156" s="2"/>
      <c r="W156" s="2"/>
      <c r="X156" s="2"/>
      <c r="Y156" s="2"/>
      <c r="Z156" s="2"/>
      <c r="AA156" s="2"/>
      <c r="AB156" s="2"/>
    </row>
    <row r="157">
      <c r="C157" s="5" t="s">
        <v>26</v>
      </c>
      <c r="D157" s="5" t="s">
        <v>1246</v>
      </c>
      <c r="E157" s="2"/>
      <c r="F157" s="5" t="s">
        <v>1019</v>
      </c>
      <c r="G157" s="5" t="s">
        <v>1250</v>
      </c>
      <c r="H157" s="2"/>
      <c r="I157" s="2"/>
      <c r="J157" s="2"/>
      <c r="K157" s="2"/>
      <c r="L157" s="2"/>
      <c r="M157" s="2"/>
      <c r="N157" s="2"/>
      <c r="O157" s="2"/>
      <c r="P157" s="2"/>
      <c r="Q157" s="2"/>
      <c r="R157" s="2"/>
      <c r="S157" s="2"/>
      <c r="T157" s="2"/>
      <c r="U157" s="2"/>
      <c r="V157" s="2"/>
      <c r="W157" s="2"/>
      <c r="X157" s="2"/>
      <c r="Y157" s="2"/>
      <c r="Z157" s="2"/>
      <c r="AA157" s="2"/>
      <c r="AB157" s="2"/>
    </row>
    <row r="158">
      <c r="C158" s="5" t="s">
        <v>28</v>
      </c>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59">
        <v>77.0</v>
      </c>
      <c r="B159" s="59" t="s">
        <v>1251</v>
      </c>
      <c r="C159" s="59" t="s">
        <v>3</v>
      </c>
      <c r="D159" s="59" t="s">
        <v>985</v>
      </c>
      <c r="E159" s="59" t="s">
        <v>986</v>
      </c>
      <c r="F159" s="59" t="s">
        <v>987</v>
      </c>
      <c r="G159" s="59" t="s">
        <v>988</v>
      </c>
      <c r="H159" s="98"/>
      <c r="I159" s="98"/>
      <c r="J159" s="98"/>
      <c r="K159" s="98"/>
      <c r="L159" s="98"/>
      <c r="M159" s="98"/>
      <c r="N159" s="98"/>
      <c r="O159" s="98"/>
      <c r="P159" s="98"/>
      <c r="Q159" s="98"/>
      <c r="R159" s="98"/>
      <c r="S159" s="98"/>
      <c r="T159" s="98"/>
      <c r="U159" s="98"/>
      <c r="V159" s="98"/>
      <c r="W159" s="98"/>
      <c r="X159" s="98"/>
      <c r="Y159" s="98"/>
      <c r="Z159" s="98"/>
      <c r="AA159" s="98"/>
      <c r="AB159" s="98"/>
    </row>
    <row r="160">
      <c r="C160" s="59" t="s">
        <v>9</v>
      </c>
      <c r="D160" s="59" t="s">
        <v>1252</v>
      </c>
      <c r="E160" s="59" t="s">
        <v>1253</v>
      </c>
      <c r="F160" s="59" t="s">
        <v>1254</v>
      </c>
      <c r="G160" s="59" t="s">
        <v>1255</v>
      </c>
      <c r="H160" s="98"/>
      <c r="I160" s="98"/>
      <c r="J160" s="98"/>
      <c r="K160" s="98"/>
      <c r="L160" s="98"/>
      <c r="M160" s="98"/>
      <c r="N160" s="98"/>
      <c r="O160" s="98"/>
      <c r="P160" s="98"/>
      <c r="Q160" s="98"/>
      <c r="R160" s="98"/>
      <c r="S160" s="98"/>
      <c r="T160" s="98"/>
      <c r="U160" s="98"/>
      <c r="V160" s="98"/>
      <c r="W160" s="98"/>
      <c r="X160" s="98"/>
      <c r="Y160" s="98"/>
      <c r="Z160" s="98"/>
      <c r="AA160" s="98"/>
      <c r="AB160" s="98"/>
    </row>
    <row r="161">
      <c r="C161" s="59" t="s">
        <v>15</v>
      </c>
      <c r="D161" s="59" t="s">
        <v>1256</v>
      </c>
      <c r="E161" s="59" t="s">
        <v>1257</v>
      </c>
      <c r="F161" s="59" t="s">
        <v>1258</v>
      </c>
      <c r="G161" s="59" t="s">
        <v>1259</v>
      </c>
      <c r="H161" s="98"/>
      <c r="I161" s="98"/>
      <c r="J161" s="98"/>
      <c r="K161" s="98"/>
      <c r="L161" s="98"/>
      <c r="M161" s="98"/>
      <c r="N161" s="98"/>
      <c r="O161" s="98"/>
      <c r="P161" s="98"/>
      <c r="Q161" s="98"/>
      <c r="R161" s="98"/>
      <c r="S161" s="98"/>
      <c r="T161" s="98"/>
      <c r="U161" s="98"/>
      <c r="V161" s="98"/>
      <c r="W161" s="98"/>
      <c r="X161" s="98"/>
      <c r="Y161" s="98"/>
      <c r="Z161" s="98"/>
      <c r="AA161" s="98"/>
      <c r="AB161" s="98"/>
    </row>
    <row r="162">
      <c r="C162" s="59" t="s">
        <v>21</v>
      </c>
      <c r="D162" s="59" t="s">
        <v>997</v>
      </c>
      <c r="E162" s="59" t="s">
        <v>23</v>
      </c>
      <c r="F162" s="59" t="s">
        <v>1011</v>
      </c>
      <c r="G162" s="59" t="s">
        <v>999</v>
      </c>
      <c r="H162" s="98"/>
      <c r="I162" s="98"/>
      <c r="J162" s="98"/>
      <c r="K162" s="98"/>
      <c r="L162" s="98"/>
      <c r="M162" s="98"/>
      <c r="N162" s="98"/>
      <c r="O162" s="98"/>
      <c r="P162" s="98"/>
      <c r="Q162" s="98"/>
      <c r="R162" s="98"/>
      <c r="S162" s="98"/>
      <c r="T162" s="98"/>
      <c r="U162" s="98"/>
      <c r="V162" s="98"/>
      <c r="W162" s="98"/>
      <c r="X162" s="98"/>
      <c r="Y162" s="98"/>
      <c r="Z162" s="98"/>
      <c r="AA162" s="98"/>
      <c r="AB162" s="98"/>
    </row>
    <row r="163">
      <c r="C163" s="59" t="s">
        <v>26</v>
      </c>
      <c r="D163" s="59" t="s">
        <v>1256</v>
      </c>
      <c r="E163" s="98"/>
      <c r="F163" s="59" t="s">
        <v>1260</v>
      </c>
      <c r="G163" s="98"/>
      <c r="H163" s="98"/>
      <c r="I163" s="98"/>
      <c r="J163" s="98"/>
      <c r="K163" s="98"/>
      <c r="L163" s="98"/>
      <c r="M163" s="98"/>
      <c r="N163" s="98"/>
      <c r="O163" s="98"/>
      <c r="P163" s="98"/>
      <c r="Q163" s="98"/>
      <c r="R163" s="98"/>
      <c r="S163" s="98"/>
      <c r="T163" s="98"/>
      <c r="U163" s="98"/>
      <c r="V163" s="98"/>
      <c r="W163" s="98"/>
      <c r="X163" s="98"/>
      <c r="Y163" s="98"/>
      <c r="Z163" s="98"/>
      <c r="AA163" s="98"/>
      <c r="AB163" s="98"/>
    </row>
    <row r="164">
      <c r="C164" s="59" t="s">
        <v>28</v>
      </c>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sheetData>
  <mergeCells count="54">
    <mergeCell ref="B153:B158"/>
    <mergeCell ref="B159:B164"/>
    <mergeCell ref="B111:B116"/>
    <mergeCell ref="B117:B122"/>
    <mergeCell ref="B123:B128"/>
    <mergeCell ref="B129:B134"/>
    <mergeCell ref="B135:B140"/>
    <mergeCell ref="B141:B146"/>
    <mergeCell ref="B147:B152"/>
    <mergeCell ref="A3:A8"/>
    <mergeCell ref="B3:B8"/>
    <mergeCell ref="A9:A14"/>
    <mergeCell ref="B9:B14"/>
    <mergeCell ref="A15:A20"/>
    <mergeCell ref="B15:B20"/>
    <mergeCell ref="B21:B26"/>
    <mergeCell ref="A21:A26"/>
    <mergeCell ref="A27:A32"/>
    <mergeCell ref="A33:A38"/>
    <mergeCell ref="A39:A44"/>
    <mergeCell ref="A45:A50"/>
    <mergeCell ref="A51:A56"/>
    <mergeCell ref="A57:A62"/>
    <mergeCell ref="B27:B32"/>
    <mergeCell ref="B33:B38"/>
    <mergeCell ref="B39:B44"/>
    <mergeCell ref="B45:B50"/>
    <mergeCell ref="B51:B56"/>
    <mergeCell ref="B57:B62"/>
    <mergeCell ref="B63:B68"/>
    <mergeCell ref="A63:A68"/>
    <mergeCell ref="A69:A74"/>
    <mergeCell ref="A75:A80"/>
    <mergeCell ref="A81:A86"/>
    <mergeCell ref="A87:A92"/>
    <mergeCell ref="A93:A98"/>
    <mergeCell ref="A99:A104"/>
    <mergeCell ref="B69:B74"/>
    <mergeCell ref="B75:B80"/>
    <mergeCell ref="B81:B86"/>
    <mergeCell ref="B87:B92"/>
    <mergeCell ref="B93:B98"/>
    <mergeCell ref="B99:B104"/>
    <mergeCell ref="B105:B110"/>
    <mergeCell ref="A147:A152"/>
    <mergeCell ref="A153:A158"/>
    <mergeCell ref="A159:A164"/>
    <mergeCell ref="A105:A110"/>
    <mergeCell ref="A111:A116"/>
    <mergeCell ref="A117:A122"/>
    <mergeCell ref="A123:A128"/>
    <mergeCell ref="A129:A134"/>
    <mergeCell ref="A135:A140"/>
    <mergeCell ref="A141:A14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9.63"/>
    <col customWidth="1" min="2" max="2" width="25.5"/>
    <col customWidth="1" hidden="1" min="3" max="3" width="18.0"/>
    <col customWidth="1" min="4" max="4" width="61.25"/>
    <col customWidth="1" min="5" max="5" width="63.5"/>
    <col customWidth="1" min="6" max="7" width="65.13"/>
    <col customWidth="1" min="8" max="8" width="16.38"/>
  </cols>
  <sheetData>
    <row r="1" ht="21.75" customHeight="1">
      <c r="A1" s="100" t="s">
        <v>1261</v>
      </c>
      <c r="B1" s="100" t="s">
        <v>431</v>
      </c>
      <c r="C1" s="100" t="s">
        <v>1262</v>
      </c>
      <c r="D1" s="97" t="s">
        <v>1263</v>
      </c>
      <c r="E1" s="97" t="s">
        <v>1264</v>
      </c>
      <c r="F1" s="97" t="s">
        <v>1265</v>
      </c>
      <c r="G1" s="97" t="s">
        <v>1266</v>
      </c>
      <c r="H1" s="100" t="s">
        <v>1267</v>
      </c>
      <c r="I1" s="97" t="s">
        <v>1268</v>
      </c>
      <c r="J1" s="97" t="s">
        <v>1269</v>
      </c>
      <c r="K1" s="97" t="s">
        <v>1270</v>
      </c>
      <c r="L1" s="97" t="s">
        <v>1271</v>
      </c>
    </row>
    <row r="2" ht="38.25" customHeight="1">
      <c r="A2" s="101" t="s">
        <v>1272</v>
      </c>
      <c r="B2" s="101"/>
      <c r="C2" s="101"/>
      <c r="D2" s="59" t="s">
        <v>993</v>
      </c>
      <c r="E2" s="102" t="s">
        <v>994</v>
      </c>
      <c r="F2" s="59" t="s">
        <v>995</v>
      </c>
      <c r="G2" s="59" t="s">
        <v>996</v>
      </c>
      <c r="H2" s="101"/>
      <c r="I2" s="103"/>
      <c r="J2" s="103"/>
      <c r="K2" s="103"/>
      <c r="L2" s="103"/>
      <c r="M2" s="104"/>
      <c r="N2" s="104"/>
      <c r="O2" s="104"/>
      <c r="P2" s="104"/>
      <c r="Q2" s="104"/>
      <c r="R2" s="104"/>
      <c r="S2" s="104"/>
      <c r="T2" s="104"/>
      <c r="U2" s="104"/>
      <c r="V2" s="104"/>
      <c r="W2" s="104"/>
      <c r="X2" s="104"/>
      <c r="Y2" s="104"/>
      <c r="Z2" s="104"/>
    </row>
    <row r="3" ht="67.5" customHeight="1">
      <c r="A3" s="105" t="s">
        <v>1273</v>
      </c>
      <c r="B3" s="101" t="s">
        <v>1274</v>
      </c>
      <c r="C3" s="101" t="s">
        <v>1275</v>
      </c>
      <c r="D3" s="103" t="s">
        <v>1276</v>
      </c>
      <c r="E3" s="103" t="s">
        <v>1277</v>
      </c>
      <c r="F3" s="103" t="s">
        <v>1278</v>
      </c>
      <c r="G3" s="103" t="s">
        <v>1002</v>
      </c>
      <c r="H3" s="101" t="s">
        <v>1000</v>
      </c>
      <c r="I3" s="103" t="s">
        <v>1275</v>
      </c>
      <c r="J3" s="103" t="s">
        <v>1279</v>
      </c>
      <c r="K3" s="103" t="s">
        <v>1280</v>
      </c>
      <c r="L3" s="103" t="s">
        <v>1002</v>
      </c>
      <c r="M3" s="104"/>
      <c r="N3" s="104"/>
      <c r="O3" s="104"/>
      <c r="P3" s="104"/>
      <c r="Q3" s="104"/>
      <c r="R3" s="104"/>
      <c r="S3" s="104"/>
      <c r="T3" s="104"/>
      <c r="U3" s="104"/>
      <c r="V3" s="104"/>
      <c r="W3" s="104"/>
      <c r="X3" s="104"/>
      <c r="Y3" s="104"/>
      <c r="Z3" s="104"/>
    </row>
    <row r="4">
      <c r="A4" s="101" t="s">
        <v>1281</v>
      </c>
      <c r="B4" s="101"/>
      <c r="C4" s="101"/>
      <c r="D4" s="102">
        <v>1.0</v>
      </c>
      <c r="E4" s="102">
        <v>1.0</v>
      </c>
      <c r="F4" s="102">
        <v>1.0</v>
      </c>
      <c r="G4" s="102">
        <v>1.0</v>
      </c>
      <c r="H4" s="101"/>
      <c r="I4" s="103"/>
      <c r="J4" s="103"/>
      <c r="K4" s="103"/>
      <c r="L4" s="103"/>
      <c r="M4" s="104"/>
      <c r="N4" s="104" t="str">
        <f>SUM()</f>
        <v>#N/A</v>
      </c>
      <c r="O4" s="104"/>
      <c r="P4" s="104"/>
      <c r="Q4" s="104"/>
      <c r="R4" s="104"/>
      <c r="S4" s="104"/>
      <c r="T4" s="104"/>
      <c r="U4" s="104"/>
      <c r="V4" s="104"/>
      <c r="W4" s="104"/>
      <c r="X4" s="104"/>
      <c r="Y4" s="104"/>
      <c r="Z4" s="104"/>
    </row>
    <row r="5">
      <c r="A5" s="101" t="s">
        <v>1282</v>
      </c>
      <c r="B5" s="101"/>
      <c r="C5" s="101"/>
      <c r="D5" s="102">
        <v>1.0</v>
      </c>
      <c r="E5" s="102">
        <v>1.0</v>
      </c>
      <c r="F5" s="102">
        <v>1.0</v>
      </c>
      <c r="G5" s="102">
        <v>1.0</v>
      </c>
      <c r="H5" s="101"/>
      <c r="I5" s="103"/>
      <c r="J5" s="103"/>
      <c r="K5" s="103"/>
      <c r="L5" s="101"/>
      <c r="M5" s="104"/>
      <c r="N5" s="104"/>
      <c r="O5" s="104"/>
      <c r="P5" s="104"/>
      <c r="Q5" s="104"/>
      <c r="R5" s="104"/>
      <c r="S5" s="104"/>
      <c r="T5" s="104"/>
      <c r="U5" s="104"/>
      <c r="V5" s="104"/>
      <c r="W5" s="104"/>
      <c r="X5" s="104"/>
      <c r="Y5" s="104"/>
      <c r="Z5" s="104"/>
    </row>
    <row r="6">
      <c r="A6" s="101" t="s">
        <v>948</v>
      </c>
      <c r="B6" s="101"/>
      <c r="C6" s="101"/>
      <c r="D6" s="102">
        <v>1.0</v>
      </c>
      <c r="E6" s="102">
        <v>1.0</v>
      </c>
      <c r="F6" s="102">
        <v>1.0</v>
      </c>
      <c r="G6" s="102">
        <v>1.0</v>
      </c>
      <c r="H6" s="101"/>
      <c r="I6" s="103"/>
      <c r="J6" s="103"/>
      <c r="K6" s="103"/>
      <c r="L6" s="103"/>
      <c r="M6" s="104"/>
      <c r="N6" s="104"/>
      <c r="O6" s="104"/>
      <c r="P6" s="104"/>
      <c r="Q6" s="104"/>
      <c r="R6" s="104"/>
      <c r="S6" s="104"/>
      <c r="T6" s="104"/>
      <c r="U6" s="104"/>
      <c r="V6" s="104"/>
      <c r="W6" s="104"/>
      <c r="X6" s="104"/>
      <c r="Y6" s="104"/>
      <c r="Z6" s="104"/>
    </row>
    <row r="7">
      <c r="A7" s="101" t="s">
        <v>1283</v>
      </c>
      <c r="B7" s="101"/>
      <c r="C7" s="101"/>
      <c r="D7" s="102">
        <v>1.0</v>
      </c>
      <c r="E7" s="102">
        <v>1.0</v>
      </c>
      <c r="F7" s="102">
        <v>1.0</v>
      </c>
      <c r="G7" s="102">
        <v>1.0</v>
      </c>
      <c r="H7" s="101"/>
      <c r="I7" s="103"/>
      <c r="J7" s="103"/>
      <c r="K7" s="103"/>
      <c r="L7" s="103"/>
      <c r="M7" s="104"/>
      <c r="N7" s="104"/>
      <c r="O7" s="104"/>
      <c r="P7" s="104"/>
      <c r="Q7" s="104"/>
      <c r="R7" s="104"/>
      <c r="S7" s="104"/>
      <c r="T7" s="104"/>
      <c r="U7" s="104"/>
      <c r="V7" s="104"/>
      <c r="W7" s="104"/>
      <c r="X7" s="104"/>
      <c r="Y7" s="104"/>
      <c r="Z7" s="104"/>
    </row>
    <row r="8">
      <c r="A8" s="101" t="s">
        <v>950</v>
      </c>
      <c r="B8" s="101"/>
      <c r="C8" s="101"/>
      <c r="D8" s="102">
        <v>1.0</v>
      </c>
      <c r="E8" s="102">
        <v>1.0</v>
      </c>
      <c r="F8" s="102">
        <v>1.0</v>
      </c>
      <c r="G8" s="102">
        <v>1.0</v>
      </c>
      <c r="H8" s="101"/>
      <c r="I8" s="103"/>
      <c r="J8" s="103"/>
      <c r="K8" s="103"/>
      <c r="L8" s="103"/>
      <c r="M8" s="104"/>
      <c r="N8" s="104"/>
      <c r="O8" s="104"/>
      <c r="P8" s="104"/>
      <c r="Q8" s="104"/>
      <c r="R8" s="104"/>
      <c r="S8" s="104"/>
      <c r="T8" s="104"/>
      <c r="U8" s="104"/>
      <c r="V8" s="104"/>
      <c r="W8" s="104"/>
      <c r="X8" s="104"/>
      <c r="Y8" s="104"/>
      <c r="Z8" s="104"/>
    </row>
    <row r="9">
      <c r="A9" s="103" t="s">
        <v>951</v>
      </c>
      <c r="B9" s="103"/>
      <c r="C9" s="103"/>
      <c r="D9" s="102">
        <v>1.0</v>
      </c>
      <c r="E9" s="102">
        <v>1.0</v>
      </c>
      <c r="F9" s="102">
        <v>1.0</v>
      </c>
      <c r="G9" s="102">
        <v>1.0</v>
      </c>
      <c r="H9" s="103"/>
      <c r="I9" s="103"/>
      <c r="J9" s="103"/>
      <c r="K9" s="103"/>
      <c r="L9" s="103"/>
      <c r="M9" s="104"/>
      <c r="N9" s="104"/>
      <c r="O9" s="104"/>
      <c r="P9" s="104"/>
      <c r="Q9" s="104"/>
      <c r="R9" s="104"/>
      <c r="S9" s="104"/>
      <c r="T9" s="104"/>
      <c r="U9" s="104"/>
      <c r="V9" s="104"/>
      <c r="W9" s="104"/>
      <c r="X9" s="104"/>
      <c r="Y9" s="104"/>
      <c r="Z9" s="104"/>
    </row>
    <row r="10">
      <c r="A10" s="101" t="s">
        <v>952</v>
      </c>
      <c r="B10" s="103"/>
      <c r="C10" s="103"/>
      <c r="D10" s="102">
        <v>1.0</v>
      </c>
      <c r="E10" s="102">
        <v>1.0</v>
      </c>
      <c r="F10" s="102">
        <v>1.0</v>
      </c>
      <c r="G10" s="102">
        <v>1.0</v>
      </c>
      <c r="H10" s="103"/>
      <c r="I10" s="103"/>
      <c r="J10" s="103"/>
      <c r="K10" s="103"/>
      <c r="L10" s="103"/>
      <c r="M10" s="104"/>
      <c r="N10" s="104"/>
      <c r="O10" s="104"/>
      <c r="P10" s="104"/>
      <c r="Q10" s="104"/>
      <c r="R10" s="104"/>
      <c r="S10" s="104"/>
      <c r="T10" s="104"/>
      <c r="U10" s="104"/>
      <c r="V10" s="104"/>
      <c r="W10" s="104"/>
      <c r="X10" s="104"/>
      <c r="Y10" s="104"/>
      <c r="Z10" s="104"/>
    </row>
    <row r="11">
      <c r="A11" s="106" t="s">
        <v>1284</v>
      </c>
      <c r="B11" s="103" t="s">
        <v>1274</v>
      </c>
      <c r="C11" s="103" t="s">
        <v>1285</v>
      </c>
      <c r="D11" s="103" t="s">
        <v>1286</v>
      </c>
      <c r="E11" s="103" t="s">
        <v>1287</v>
      </c>
      <c r="F11" s="103" t="s">
        <v>1280</v>
      </c>
      <c r="G11" s="103" t="s">
        <v>1288</v>
      </c>
      <c r="H11" s="103" t="s">
        <v>1275</v>
      </c>
      <c r="I11" s="101" t="s">
        <v>1289</v>
      </c>
      <c r="J11" s="103" t="s">
        <v>1290</v>
      </c>
      <c r="K11" s="103" t="s">
        <v>1280</v>
      </c>
      <c r="L11" s="103" t="s">
        <v>1002</v>
      </c>
      <c r="M11" s="104"/>
      <c r="N11" s="104"/>
      <c r="O11" s="104"/>
      <c r="P11" s="104"/>
      <c r="Q11" s="104"/>
      <c r="R11" s="104"/>
      <c r="S11" s="104"/>
      <c r="T11" s="104"/>
      <c r="U11" s="104"/>
      <c r="V11" s="104"/>
      <c r="W11" s="104"/>
      <c r="X11" s="104"/>
      <c r="Y11" s="104"/>
      <c r="Z11" s="104"/>
    </row>
    <row r="12">
      <c r="A12" s="103" t="s">
        <v>1281</v>
      </c>
      <c r="B12" s="103"/>
      <c r="C12" s="103"/>
      <c r="D12" s="102">
        <v>1.0</v>
      </c>
      <c r="E12" s="102">
        <v>1.0</v>
      </c>
      <c r="F12" s="102">
        <v>1.0</v>
      </c>
      <c r="G12" s="102">
        <v>1.0</v>
      </c>
      <c r="H12" s="103"/>
      <c r="I12" s="103"/>
      <c r="J12" s="103"/>
      <c r="K12" s="103"/>
      <c r="L12" s="103"/>
      <c r="M12" s="104"/>
      <c r="N12" s="104"/>
      <c r="O12" s="104"/>
      <c r="P12" s="104"/>
      <c r="Q12" s="104"/>
      <c r="R12" s="104"/>
      <c r="S12" s="104"/>
      <c r="T12" s="104"/>
      <c r="U12" s="104"/>
      <c r="V12" s="104"/>
      <c r="W12" s="104"/>
      <c r="X12" s="104"/>
      <c r="Y12" s="104"/>
      <c r="Z12" s="104"/>
    </row>
    <row r="13">
      <c r="A13" s="103" t="s">
        <v>1282</v>
      </c>
      <c r="B13" s="103"/>
      <c r="C13" s="103"/>
      <c r="D13" s="102">
        <v>1.0</v>
      </c>
      <c r="E13" s="102">
        <v>1.0</v>
      </c>
      <c r="F13" s="102">
        <v>1.0</v>
      </c>
      <c r="G13" s="102">
        <v>1.0</v>
      </c>
      <c r="H13" s="103"/>
      <c r="I13" s="103"/>
      <c r="J13" s="103"/>
      <c r="K13" s="103"/>
      <c r="L13" s="103"/>
      <c r="M13" s="104"/>
      <c r="N13" s="104"/>
      <c r="O13" s="104"/>
      <c r="P13" s="104"/>
      <c r="Q13" s="104"/>
      <c r="R13" s="104"/>
      <c r="S13" s="104"/>
      <c r="T13" s="104"/>
      <c r="U13" s="104"/>
      <c r="V13" s="104"/>
      <c r="W13" s="104"/>
      <c r="X13" s="104"/>
      <c r="Y13" s="104"/>
      <c r="Z13" s="104"/>
    </row>
    <row r="14">
      <c r="A14" s="103" t="s">
        <v>948</v>
      </c>
      <c r="B14" s="103"/>
      <c r="C14" s="103"/>
      <c r="D14" s="102">
        <v>1.0</v>
      </c>
      <c r="E14" s="102">
        <v>0.0</v>
      </c>
      <c r="F14" s="102">
        <v>1.0</v>
      </c>
      <c r="G14" s="102">
        <v>1.0</v>
      </c>
      <c r="H14" s="103"/>
      <c r="I14" s="103"/>
      <c r="J14" s="103"/>
      <c r="K14" s="103"/>
      <c r="L14" s="103"/>
      <c r="M14" s="104"/>
      <c r="N14" s="104"/>
      <c r="O14" s="104"/>
      <c r="P14" s="104"/>
      <c r="Q14" s="104"/>
      <c r="R14" s="104"/>
      <c r="S14" s="104"/>
      <c r="T14" s="104"/>
      <c r="U14" s="104"/>
      <c r="V14" s="104"/>
      <c r="W14" s="104"/>
      <c r="X14" s="104"/>
      <c r="Y14" s="104"/>
      <c r="Z14" s="104"/>
    </row>
    <row r="15">
      <c r="A15" s="103" t="s">
        <v>1283</v>
      </c>
      <c r="B15" s="103"/>
      <c r="C15" s="103"/>
      <c r="D15" s="102">
        <v>1.0</v>
      </c>
      <c r="E15" s="102">
        <v>1.0</v>
      </c>
      <c r="F15" s="102">
        <v>1.0</v>
      </c>
      <c r="G15" s="102">
        <v>1.0</v>
      </c>
      <c r="H15" s="103"/>
      <c r="I15" s="103"/>
      <c r="J15" s="103"/>
      <c r="K15" s="103"/>
      <c r="L15" s="103"/>
      <c r="M15" s="104"/>
      <c r="N15" s="104"/>
      <c r="O15" s="104"/>
      <c r="P15" s="104"/>
      <c r="Q15" s="104"/>
      <c r="R15" s="104"/>
      <c r="S15" s="104"/>
      <c r="T15" s="104"/>
      <c r="U15" s="104"/>
      <c r="V15" s="104"/>
      <c r="W15" s="104"/>
      <c r="X15" s="104"/>
      <c r="Y15" s="104"/>
      <c r="Z15" s="104"/>
    </row>
    <row r="16">
      <c r="A16" s="103" t="s">
        <v>950</v>
      </c>
      <c r="B16" s="103"/>
      <c r="C16" s="103"/>
      <c r="D16" s="102">
        <v>0.0</v>
      </c>
      <c r="E16" s="102">
        <v>1.0</v>
      </c>
      <c r="F16" s="102">
        <v>1.0</v>
      </c>
      <c r="G16" s="102">
        <v>0.0</v>
      </c>
      <c r="H16" s="103"/>
      <c r="I16" s="103"/>
      <c r="J16" s="103"/>
      <c r="K16" s="103"/>
      <c r="L16" s="103"/>
      <c r="M16" s="104"/>
      <c r="N16" s="104"/>
      <c r="O16" s="104"/>
      <c r="P16" s="104"/>
      <c r="Q16" s="104"/>
      <c r="R16" s="104"/>
      <c r="S16" s="104"/>
      <c r="T16" s="104"/>
      <c r="U16" s="104"/>
      <c r="V16" s="104"/>
      <c r="W16" s="104"/>
      <c r="X16" s="104"/>
      <c r="Y16" s="104"/>
      <c r="Z16" s="104"/>
    </row>
    <row r="17">
      <c r="A17" s="103" t="s">
        <v>951</v>
      </c>
      <c r="B17" s="103"/>
      <c r="C17" s="103"/>
      <c r="D17" s="102">
        <v>1.0</v>
      </c>
      <c r="E17" s="102">
        <v>1.0</v>
      </c>
      <c r="F17" s="102">
        <v>1.0</v>
      </c>
      <c r="G17" s="102">
        <v>1.0</v>
      </c>
      <c r="H17" s="103"/>
      <c r="I17" s="103"/>
      <c r="J17" s="103"/>
      <c r="K17" s="103"/>
      <c r="L17" s="103"/>
      <c r="M17" s="104"/>
      <c r="N17" s="104"/>
      <c r="O17" s="104"/>
      <c r="P17" s="104"/>
      <c r="Q17" s="104"/>
      <c r="R17" s="104"/>
      <c r="S17" s="104"/>
      <c r="T17" s="104"/>
      <c r="U17" s="104"/>
      <c r="V17" s="104"/>
      <c r="W17" s="104"/>
      <c r="X17" s="104"/>
      <c r="Y17" s="104"/>
      <c r="Z17" s="104"/>
    </row>
    <row r="18">
      <c r="A18" s="103" t="s">
        <v>952</v>
      </c>
      <c r="B18" s="103"/>
      <c r="C18" s="103"/>
      <c r="D18" s="102">
        <v>1.0</v>
      </c>
      <c r="E18" s="102">
        <v>1.0</v>
      </c>
      <c r="F18" s="102">
        <v>1.0</v>
      </c>
      <c r="G18" s="102">
        <v>1.0</v>
      </c>
      <c r="H18" s="103"/>
      <c r="I18" s="103"/>
      <c r="J18" s="103"/>
      <c r="K18" s="103"/>
      <c r="L18" s="103"/>
      <c r="M18" s="104"/>
      <c r="N18" s="104"/>
      <c r="O18" s="104"/>
      <c r="P18" s="104"/>
      <c r="Q18" s="104"/>
      <c r="R18" s="104"/>
      <c r="S18" s="104"/>
      <c r="T18" s="104"/>
      <c r="U18" s="104"/>
      <c r="V18" s="104"/>
      <c r="W18" s="104"/>
      <c r="X18" s="104"/>
      <c r="Y18" s="104"/>
      <c r="Z18" s="104"/>
    </row>
    <row r="19">
      <c r="A19" s="103" t="s">
        <v>1291</v>
      </c>
      <c r="B19" s="103" t="s">
        <v>1274</v>
      </c>
      <c r="C19" s="103" t="s">
        <v>1292</v>
      </c>
      <c r="D19" s="103" t="s">
        <v>1293</v>
      </c>
      <c r="E19" s="103" t="s">
        <v>1294</v>
      </c>
      <c r="F19" s="103" t="s">
        <v>1295</v>
      </c>
      <c r="G19" s="103" t="s">
        <v>1296</v>
      </c>
      <c r="H19" s="103" t="s">
        <v>1275</v>
      </c>
      <c r="I19" s="103" t="s">
        <v>1297</v>
      </c>
      <c r="J19" s="103" t="s">
        <v>1298</v>
      </c>
      <c r="K19" s="103" t="s">
        <v>1280</v>
      </c>
      <c r="L19" s="103" t="s">
        <v>1002</v>
      </c>
      <c r="M19" s="104"/>
      <c r="N19" s="104"/>
      <c r="O19" s="104"/>
      <c r="P19" s="104"/>
      <c r="Q19" s="104"/>
      <c r="R19" s="104"/>
      <c r="S19" s="104"/>
      <c r="T19" s="104"/>
      <c r="U19" s="104"/>
      <c r="V19" s="104"/>
      <c r="W19" s="104"/>
      <c r="X19" s="104"/>
      <c r="Y19" s="104"/>
      <c r="Z19" s="104"/>
    </row>
    <row r="20">
      <c r="A20" s="103" t="s">
        <v>1281</v>
      </c>
      <c r="B20" s="103"/>
      <c r="C20" s="103"/>
      <c r="D20" s="102">
        <v>0.0</v>
      </c>
      <c r="E20" s="102">
        <v>1.0</v>
      </c>
      <c r="F20" s="102">
        <v>1.0</v>
      </c>
      <c r="G20" s="102">
        <v>1.0</v>
      </c>
      <c r="H20" s="103"/>
      <c r="I20" s="103"/>
      <c r="J20" s="103"/>
      <c r="K20" s="103"/>
      <c r="L20" s="103"/>
      <c r="M20" s="104"/>
      <c r="N20" s="104"/>
      <c r="O20" s="104"/>
      <c r="P20" s="104"/>
      <c r="Q20" s="104"/>
      <c r="R20" s="104"/>
      <c r="S20" s="104"/>
      <c r="T20" s="104"/>
      <c r="U20" s="104"/>
      <c r="V20" s="104"/>
      <c r="W20" s="104"/>
      <c r="X20" s="104"/>
      <c r="Y20" s="104"/>
      <c r="Z20" s="104"/>
    </row>
    <row r="21">
      <c r="A21" s="103" t="s">
        <v>1282</v>
      </c>
      <c r="B21" s="103"/>
      <c r="C21" s="103"/>
      <c r="D21" s="102">
        <v>0.0</v>
      </c>
      <c r="E21" s="102">
        <v>1.0</v>
      </c>
      <c r="F21" s="102">
        <v>1.0</v>
      </c>
      <c r="G21" s="102">
        <v>1.0</v>
      </c>
      <c r="H21" s="103"/>
      <c r="I21" s="103"/>
      <c r="J21" s="103"/>
      <c r="K21" s="103"/>
      <c r="L21" s="103"/>
      <c r="M21" s="104"/>
      <c r="N21" s="104"/>
      <c r="O21" s="104"/>
      <c r="P21" s="104"/>
      <c r="Q21" s="104"/>
      <c r="R21" s="104"/>
      <c r="S21" s="104"/>
      <c r="T21" s="104"/>
      <c r="U21" s="104"/>
      <c r="V21" s="104"/>
      <c r="W21" s="104"/>
      <c r="X21" s="104"/>
      <c r="Y21" s="104"/>
      <c r="Z21" s="104"/>
    </row>
    <row r="22">
      <c r="A22" s="103" t="s">
        <v>948</v>
      </c>
      <c r="B22" s="103"/>
      <c r="C22" s="103"/>
      <c r="D22" s="102">
        <v>0.0</v>
      </c>
      <c r="E22" s="102">
        <v>1.0</v>
      </c>
      <c r="F22" s="102">
        <v>1.0</v>
      </c>
      <c r="G22" s="102">
        <v>1.0</v>
      </c>
      <c r="H22" s="103"/>
      <c r="I22" s="103"/>
      <c r="J22" s="103"/>
      <c r="K22" s="103"/>
      <c r="L22" s="103"/>
      <c r="M22" s="104"/>
      <c r="N22" s="104"/>
      <c r="O22" s="104"/>
      <c r="P22" s="104"/>
      <c r="Q22" s="104"/>
      <c r="R22" s="104"/>
      <c r="S22" s="104"/>
      <c r="T22" s="104"/>
      <c r="U22" s="104"/>
      <c r="V22" s="104"/>
      <c r="W22" s="104"/>
      <c r="X22" s="104"/>
      <c r="Y22" s="104"/>
      <c r="Z22" s="104"/>
    </row>
    <row r="23">
      <c r="A23" s="103" t="s">
        <v>1283</v>
      </c>
      <c r="B23" s="103"/>
      <c r="C23" s="103"/>
      <c r="D23" s="102">
        <v>1.0</v>
      </c>
      <c r="E23" s="102">
        <v>1.0</v>
      </c>
      <c r="F23" s="102">
        <v>1.0</v>
      </c>
      <c r="G23" s="102">
        <v>1.0</v>
      </c>
      <c r="H23" s="101"/>
      <c r="I23" s="103"/>
      <c r="J23" s="103"/>
      <c r="K23" s="103"/>
      <c r="L23" s="103"/>
      <c r="M23" s="104"/>
      <c r="N23" s="104"/>
      <c r="O23" s="104"/>
      <c r="P23" s="104"/>
      <c r="Q23" s="104"/>
      <c r="R23" s="104"/>
      <c r="S23" s="104"/>
      <c r="T23" s="104"/>
      <c r="U23" s="104"/>
      <c r="V23" s="104"/>
      <c r="W23" s="104"/>
      <c r="X23" s="104"/>
      <c r="Y23" s="104"/>
      <c r="Z23" s="104"/>
    </row>
    <row r="24">
      <c r="A24" s="103" t="s">
        <v>950</v>
      </c>
      <c r="B24" s="101"/>
      <c r="C24" s="103"/>
      <c r="D24" s="102">
        <v>1.0</v>
      </c>
      <c r="E24" s="102">
        <v>1.0</v>
      </c>
      <c r="F24" s="102">
        <v>1.0</v>
      </c>
      <c r="G24" s="102">
        <v>1.0</v>
      </c>
      <c r="H24" s="101"/>
      <c r="I24" s="103"/>
      <c r="J24" s="103"/>
      <c r="K24" s="103"/>
      <c r="L24" s="103"/>
      <c r="M24" s="104"/>
      <c r="N24" s="104"/>
      <c r="O24" s="104"/>
      <c r="P24" s="104"/>
      <c r="Q24" s="104"/>
      <c r="R24" s="104"/>
      <c r="S24" s="104"/>
      <c r="T24" s="104"/>
      <c r="U24" s="104"/>
      <c r="V24" s="104"/>
      <c r="W24" s="104"/>
      <c r="X24" s="104"/>
      <c r="Y24" s="104"/>
      <c r="Z24" s="104"/>
    </row>
    <row r="25">
      <c r="A25" s="103" t="s">
        <v>951</v>
      </c>
      <c r="B25" s="101"/>
      <c r="C25" s="103"/>
      <c r="D25" s="102">
        <v>0.0</v>
      </c>
      <c r="E25" s="102">
        <v>1.0</v>
      </c>
      <c r="F25" s="102">
        <v>1.0</v>
      </c>
      <c r="G25" s="102">
        <v>1.0</v>
      </c>
      <c r="H25" s="101"/>
      <c r="I25" s="103"/>
      <c r="J25" s="103"/>
      <c r="K25" s="103"/>
      <c r="L25" s="103"/>
      <c r="M25" s="104"/>
      <c r="N25" s="104"/>
      <c r="O25" s="104"/>
      <c r="P25" s="104"/>
      <c r="Q25" s="104"/>
      <c r="R25" s="104"/>
      <c r="S25" s="104"/>
      <c r="T25" s="104"/>
      <c r="U25" s="104"/>
      <c r="V25" s="104"/>
      <c r="W25" s="104"/>
      <c r="X25" s="104"/>
      <c r="Y25" s="104"/>
      <c r="Z25" s="104"/>
    </row>
    <row r="26">
      <c r="A26" s="103" t="s">
        <v>952</v>
      </c>
      <c r="B26" s="101"/>
      <c r="C26" s="103"/>
      <c r="D26" s="102">
        <v>1.0</v>
      </c>
      <c r="E26" s="102">
        <v>1.0</v>
      </c>
      <c r="F26" s="102">
        <v>1.0</v>
      </c>
      <c r="G26" s="102">
        <v>1.0</v>
      </c>
      <c r="H26" s="101"/>
      <c r="I26" s="103"/>
      <c r="J26" s="103"/>
      <c r="K26" s="103"/>
      <c r="L26" s="103"/>
      <c r="M26" s="104"/>
      <c r="N26" s="104"/>
      <c r="O26" s="104"/>
      <c r="P26" s="104"/>
      <c r="Q26" s="104"/>
      <c r="R26" s="104"/>
      <c r="S26" s="104"/>
      <c r="T26" s="104"/>
      <c r="U26" s="104"/>
      <c r="V26" s="104"/>
      <c r="W26" s="104"/>
      <c r="X26" s="104"/>
      <c r="Y26" s="104"/>
      <c r="Z26" s="104"/>
    </row>
    <row r="27">
      <c r="A27" s="97" t="s">
        <v>1272</v>
      </c>
      <c r="B27" s="100"/>
      <c r="C27" s="97"/>
      <c r="D27" s="5" t="s">
        <v>1299</v>
      </c>
      <c r="E27" s="107" t="s">
        <v>1008</v>
      </c>
      <c r="F27" s="5" t="s">
        <v>1009</v>
      </c>
      <c r="G27" s="5" t="s">
        <v>1010</v>
      </c>
      <c r="H27" s="100"/>
      <c r="I27" s="97"/>
      <c r="J27" s="97"/>
      <c r="K27" s="97"/>
      <c r="L27" s="97"/>
    </row>
    <row r="28">
      <c r="A28" s="108" t="s">
        <v>1273</v>
      </c>
      <c r="B28" s="100" t="s">
        <v>1300</v>
      </c>
      <c r="C28" s="97" t="s">
        <v>1301</v>
      </c>
      <c r="D28" s="97" t="s">
        <v>1302</v>
      </c>
      <c r="E28" s="97" t="s">
        <v>1303</v>
      </c>
      <c r="F28" s="97" t="s">
        <v>1304</v>
      </c>
      <c r="G28" s="97" t="s">
        <v>1305</v>
      </c>
      <c r="H28" s="100" t="s">
        <v>1306</v>
      </c>
      <c r="I28" s="97" t="s">
        <v>1275</v>
      </c>
      <c r="J28" s="97" t="s">
        <v>1307</v>
      </c>
      <c r="K28" s="97" t="s">
        <v>1308</v>
      </c>
      <c r="L28" s="97" t="s">
        <v>1305</v>
      </c>
    </row>
    <row r="29">
      <c r="A29" s="97" t="s">
        <v>1281</v>
      </c>
      <c r="B29" s="100"/>
      <c r="C29" s="97"/>
      <c r="D29" s="107">
        <v>1.0</v>
      </c>
      <c r="E29" s="107">
        <v>1.0</v>
      </c>
      <c r="F29" s="107">
        <v>1.0</v>
      </c>
      <c r="G29" s="107">
        <v>0.0</v>
      </c>
      <c r="H29" s="100"/>
      <c r="I29" s="97"/>
      <c r="J29" s="97"/>
      <c r="K29" s="97"/>
      <c r="L29" s="97"/>
    </row>
    <row r="30">
      <c r="A30" s="97" t="s">
        <v>1282</v>
      </c>
      <c r="B30" s="100"/>
      <c r="C30" s="97"/>
      <c r="D30" s="107">
        <v>1.0</v>
      </c>
      <c r="E30" s="107">
        <v>1.0</v>
      </c>
      <c r="F30" s="107">
        <v>1.0</v>
      </c>
      <c r="G30" s="107">
        <v>0.0</v>
      </c>
      <c r="H30" s="100"/>
      <c r="I30" s="97"/>
      <c r="J30" s="97"/>
      <c r="K30" s="97"/>
      <c r="L30" s="97"/>
    </row>
    <row r="31">
      <c r="A31" s="97" t="s">
        <v>948</v>
      </c>
      <c r="B31" s="100"/>
      <c r="C31" s="97"/>
      <c r="D31" s="107">
        <v>1.0</v>
      </c>
      <c r="E31" s="107">
        <v>1.0</v>
      </c>
      <c r="F31" s="107">
        <v>1.0</v>
      </c>
      <c r="G31" s="107">
        <v>1.0</v>
      </c>
      <c r="H31" s="100"/>
      <c r="I31" s="97"/>
      <c r="J31" s="97"/>
      <c r="K31" s="97"/>
      <c r="L31" s="97"/>
    </row>
    <row r="32">
      <c r="A32" s="97" t="s">
        <v>1283</v>
      </c>
      <c r="B32" s="100"/>
      <c r="C32" s="97"/>
      <c r="D32" s="107">
        <v>1.0</v>
      </c>
      <c r="E32" s="107">
        <v>1.0</v>
      </c>
      <c r="F32" s="107">
        <v>1.0</v>
      </c>
      <c r="G32" s="107">
        <v>1.0</v>
      </c>
      <c r="H32" s="100"/>
      <c r="I32" s="97"/>
      <c r="J32" s="97"/>
      <c r="K32" s="97"/>
      <c r="L32" s="97"/>
    </row>
    <row r="33">
      <c r="A33" s="97" t="s">
        <v>950</v>
      </c>
      <c r="B33" s="97"/>
      <c r="C33" s="97"/>
      <c r="D33" s="107">
        <v>1.0</v>
      </c>
      <c r="E33" s="107">
        <v>1.0</v>
      </c>
      <c r="F33" s="107">
        <v>1.0</v>
      </c>
      <c r="G33" s="107">
        <v>1.0</v>
      </c>
      <c r="H33" s="97"/>
      <c r="I33" s="97"/>
      <c r="J33" s="97"/>
      <c r="K33" s="97"/>
      <c r="L33" s="97"/>
    </row>
    <row r="34">
      <c r="A34" s="97" t="s">
        <v>951</v>
      </c>
      <c r="B34" s="97"/>
      <c r="C34" s="97"/>
      <c r="D34" s="107">
        <v>1.0</v>
      </c>
      <c r="E34" s="107">
        <v>1.0</v>
      </c>
      <c r="F34" s="107">
        <v>1.0</v>
      </c>
      <c r="G34" s="107">
        <v>0.0</v>
      </c>
      <c r="H34" s="97"/>
      <c r="I34" s="97"/>
      <c r="J34" s="97"/>
      <c r="K34" s="97"/>
      <c r="L34" s="97"/>
    </row>
    <row r="35">
      <c r="A35" s="97" t="s">
        <v>952</v>
      </c>
      <c r="B35" s="97"/>
      <c r="C35" s="97"/>
      <c r="D35" s="107">
        <v>1.0</v>
      </c>
      <c r="E35" s="107">
        <v>1.0</v>
      </c>
      <c r="F35" s="107">
        <v>1.0</v>
      </c>
      <c r="G35" s="107">
        <v>1.0</v>
      </c>
      <c r="H35" s="97"/>
      <c r="I35" s="97"/>
      <c r="J35" s="97"/>
      <c r="K35" s="97"/>
      <c r="L35" s="97"/>
    </row>
    <row r="36">
      <c r="A36" s="106" t="s">
        <v>1284</v>
      </c>
      <c r="B36" s="97" t="s">
        <v>1300</v>
      </c>
      <c r="C36" s="97" t="s">
        <v>1309</v>
      </c>
      <c r="D36" s="97" t="s">
        <v>1310</v>
      </c>
      <c r="E36" s="97" t="s">
        <v>1311</v>
      </c>
      <c r="F36" s="97" t="s">
        <v>1312</v>
      </c>
      <c r="G36" s="97" t="s">
        <v>1313</v>
      </c>
      <c r="H36" s="97" t="s">
        <v>1314</v>
      </c>
      <c r="I36" s="97" t="s">
        <v>1315</v>
      </c>
      <c r="J36" s="97" t="s">
        <v>1316</v>
      </c>
      <c r="K36" s="97" t="s">
        <v>1317</v>
      </c>
      <c r="L36" s="97" t="s">
        <v>1318</v>
      </c>
    </row>
    <row r="37">
      <c r="A37" s="97" t="s">
        <v>1281</v>
      </c>
      <c r="B37" s="97"/>
      <c r="C37" s="97"/>
      <c r="D37" s="107">
        <v>1.0</v>
      </c>
      <c r="E37" s="107">
        <v>1.0</v>
      </c>
      <c r="F37" s="107">
        <v>1.0</v>
      </c>
      <c r="G37" s="107">
        <v>0.0</v>
      </c>
      <c r="H37" s="97"/>
      <c r="I37" s="97"/>
      <c r="J37" s="97"/>
      <c r="K37" s="97"/>
      <c r="L37" s="97"/>
    </row>
    <row r="38">
      <c r="A38" s="97" t="s">
        <v>1282</v>
      </c>
      <c r="B38" s="97"/>
      <c r="C38" s="97"/>
      <c r="D38" s="107">
        <v>1.0</v>
      </c>
      <c r="E38" s="107">
        <v>1.0</v>
      </c>
      <c r="F38" s="107">
        <v>1.0</v>
      </c>
      <c r="G38" s="107">
        <v>0.0</v>
      </c>
      <c r="H38" s="97"/>
      <c r="I38" s="97"/>
      <c r="J38" s="97"/>
      <c r="K38" s="97"/>
      <c r="L38" s="97"/>
    </row>
    <row r="39">
      <c r="A39" s="97" t="s">
        <v>948</v>
      </c>
      <c r="B39" s="97"/>
      <c r="C39" s="97"/>
      <c r="D39" s="107">
        <v>1.0</v>
      </c>
      <c r="E39" s="107">
        <v>1.0</v>
      </c>
      <c r="F39" s="107">
        <v>1.0</v>
      </c>
      <c r="G39" s="107">
        <v>1.0</v>
      </c>
      <c r="H39" s="97"/>
      <c r="I39" s="97"/>
      <c r="J39" s="97"/>
      <c r="K39" s="97"/>
      <c r="L39" s="97"/>
    </row>
    <row r="40">
      <c r="A40" s="97" t="s">
        <v>1283</v>
      </c>
      <c r="B40" s="97"/>
      <c r="C40" s="97"/>
      <c r="D40" s="107">
        <v>1.0</v>
      </c>
      <c r="E40" s="107">
        <v>1.0</v>
      </c>
      <c r="F40" s="107">
        <v>1.0</v>
      </c>
      <c r="G40" s="107">
        <v>1.0</v>
      </c>
      <c r="H40" s="97"/>
      <c r="I40" s="97"/>
      <c r="J40" s="97"/>
      <c r="K40" s="97"/>
      <c r="L40" s="97"/>
    </row>
    <row r="41">
      <c r="A41" s="97" t="s">
        <v>950</v>
      </c>
      <c r="B41" s="97"/>
      <c r="C41" s="97"/>
      <c r="D41" s="107">
        <v>1.0</v>
      </c>
      <c r="E41" s="107">
        <v>1.0</v>
      </c>
      <c r="F41" s="107">
        <v>1.0</v>
      </c>
      <c r="G41" s="107">
        <v>0.0</v>
      </c>
      <c r="H41" s="97"/>
      <c r="I41" s="97"/>
      <c r="J41" s="97"/>
      <c r="K41" s="97"/>
      <c r="L41" s="97"/>
    </row>
    <row r="42">
      <c r="A42" s="97" t="s">
        <v>951</v>
      </c>
      <c r="B42" s="97"/>
      <c r="C42" s="97"/>
      <c r="D42" s="107">
        <v>1.0</v>
      </c>
      <c r="E42" s="107">
        <v>1.0</v>
      </c>
      <c r="F42" s="107">
        <v>1.0</v>
      </c>
      <c r="G42" s="107">
        <v>0.0</v>
      </c>
      <c r="H42" s="97"/>
      <c r="I42" s="97"/>
      <c r="J42" s="97"/>
      <c r="K42" s="97"/>
      <c r="L42" s="97"/>
    </row>
    <row r="43">
      <c r="A43" s="97" t="s">
        <v>952</v>
      </c>
      <c r="B43" s="97"/>
      <c r="C43" s="97"/>
      <c r="D43" s="107">
        <v>1.0</v>
      </c>
      <c r="E43" s="107">
        <v>1.0</v>
      </c>
      <c r="F43" s="107">
        <v>1.0</v>
      </c>
      <c r="G43" s="107">
        <v>1.0</v>
      </c>
      <c r="H43" s="97"/>
      <c r="I43" s="97"/>
      <c r="J43" s="97"/>
      <c r="K43" s="97"/>
      <c r="L43" s="97"/>
    </row>
    <row r="44">
      <c r="A44" s="97" t="s">
        <v>1291</v>
      </c>
      <c r="B44" s="97" t="s">
        <v>1300</v>
      </c>
      <c r="C44" s="97" t="s">
        <v>1319</v>
      </c>
      <c r="D44" s="97" t="s">
        <v>1320</v>
      </c>
      <c r="E44" s="97" t="s">
        <v>1321</v>
      </c>
      <c r="F44" s="97" t="s">
        <v>1322</v>
      </c>
      <c r="G44" s="97" t="s">
        <v>1323</v>
      </c>
      <c r="H44" s="97" t="s">
        <v>1000</v>
      </c>
      <c r="I44" s="97" t="s">
        <v>1324</v>
      </c>
      <c r="J44" s="97" t="s">
        <v>1325</v>
      </c>
      <c r="K44" s="97" t="s">
        <v>1326</v>
      </c>
      <c r="L44" s="97" t="s">
        <v>1327</v>
      </c>
    </row>
    <row r="45">
      <c r="A45" s="97" t="s">
        <v>1281</v>
      </c>
      <c r="B45" s="97"/>
      <c r="C45" s="97"/>
      <c r="D45" s="107">
        <v>1.0</v>
      </c>
      <c r="E45" s="107">
        <v>1.0</v>
      </c>
      <c r="F45" s="107">
        <v>1.0</v>
      </c>
      <c r="G45" s="107">
        <v>0.0</v>
      </c>
      <c r="H45" s="97"/>
      <c r="I45" s="97"/>
      <c r="J45" s="97"/>
      <c r="K45" s="97"/>
      <c r="L45" s="97"/>
    </row>
    <row r="46">
      <c r="A46" s="97" t="s">
        <v>1282</v>
      </c>
      <c r="B46" s="97"/>
      <c r="C46" s="97"/>
      <c r="D46" s="107">
        <v>1.0</v>
      </c>
      <c r="E46" s="107">
        <v>1.0</v>
      </c>
      <c r="F46" s="107">
        <v>1.0</v>
      </c>
      <c r="G46" s="107">
        <v>0.0</v>
      </c>
      <c r="H46" s="97"/>
      <c r="I46" s="97"/>
      <c r="J46" s="97"/>
      <c r="K46" s="97"/>
      <c r="L46" s="97"/>
    </row>
    <row r="47">
      <c r="A47" s="97" t="s">
        <v>948</v>
      </c>
      <c r="B47" s="97"/>
      <c r="C47" s="97"/>
      <c r="D47" s="107">
        <v>1.0</v>
      </c>
      <c r="E47" s="107">
        <v>1.0</v>
      </c>
      <c r="F47" s="107">
        <v>1.0</v>
      </c>
      <c r="G47" s="107">
        <v>1.0</v>
      </c>
      <c r="H47" s="97"/>
      <c r="I47" s="97"/>
      <c r="J47" s="97"/>
      <c r="K47" s="97"/>
      <c r="L47" s="97"/>
    </row>
    <row r="48">
      <c r="A48" s="97" t="s">
        <v>1283</v>
      </c>
      <c r="B48" s="97"/>
      <c r="C48" s="97"/>
      <c r="D48" s="107">
        <v>1.0</v>
      </c>
      <c r="E48" s="107">
        <v>1.0</v>
      </c>
      <c r="F48" s="107">
        <v>1.0</v>
      </c>
      <c r="G48" s="107">
        <v>1.0</v>
      </c>
      <c r="H48" s="97"/>
      <c r="I48" s="97"/>
      <c r="J48" s="97"/>
      <c r="K48" s="97"/>
      <c r="L48" s="97"/>
    </row>
    <row r="49">
      <c r="A49" s="97" t="s">
        <v>950</v>
      </c>
      <c r="B49" s="97"/>
      <c r="C49" s="97"/>
      <c r="D49" s="107">
        <v>1.0</v>
      </c>
      <c r="E49" s="107">
        <v>1.0</v>
      </c>
      <c r="F49" s="107">
        <v>1.0</v>
      </c>
      <c r="G49" s="107">
        <v>0.0</v>
      </c>
      <c r="H49" s="97"/>
      <c r="I49" s="97"/>
      <c r="J49" s="97"/>
      <c r="K49" s="97"/>
      <c r="L49" s="97"/>
    </row>
    <row r="50">
      <c r="A50" s="97" t="s">
        <v>951</v>
      </c>
      <c r="B50" s="97"/>
      <c r="C50" s="97"/>
      <c r="D50" s="107">
        <v>1.0</v>
      </c>
      <c r="E50" s="107">
        <v>1.0</v>
      </c>
      <c r="F50" s="107">
        <v>1.0</v>
      </c>
      <c r="G50" s="107">
        <v>0.0</v>
      </c>
      <c r="H50" s="97"/>
      <c r="I50" s="97"/>
      <c r="J50" s="97"/>
      <c r="K50" s="97"/>
      <c r="L50" s="97"/>
    </row>
    <row r="51">
      <c r="A51" s="97" t="s">
        <v>952</v>
      </c>
      <c r="B51" s="97"/>
      <c r="C51" s="97"/>
      <c r="D51" s="107">
        <v>1.0</v>
      </c>
      <c r="E51" s="107">
        <v>1.0</v>
      </c>
      <c r="F51" s="107">
        <v>1.0</v>
      </c>
      <c r="G51" s="107">
        <v>1.0</v>
      </c>
      <c r="H51" s="97"/>
      <c r="I51" s="97"/>
      <c r="J51" s="97"/>
      <c r="K51" s="97"/>
      <c r="L51" s="97"/>
    </row>
    <row r="52">
      <c r="A52" s="103" t="s">
        <v>1272</v>
      </c>
      <c r="B52" s="103"/>
      <c r="C52" s="103"/>
      <c r="D52" s="5" t="s">
        <v>1017</v>
      </c>
      <c r="E52" s="5" t="s">
        <v>1018</v>
      </c>
      <c r="F52" s="5" t="s">
        <v>1019</v>
      </c>
      <c r="G52" s="5" t="s">
        <v>1020</v>
      </c>
      <c r="H52" s="103"/>
      <c r="I52" s="103"/>
      <c r="J52" s="103"/>
      <c r="K52" s="103"/>
      <c r="L52" s="103"/>
      <c r="M52" s="104"/>
      <c r="N52" s="104"/>
      <c r="O52" s="104"/>
      <c r="P52" s="104"/>
      <c r="Q52" s="104"/>
      <c r="R52" s="104"/>
      <c r="S52" s="104"/>
      <c r="T52" s="104"/>
      <c r="U52" s="104"/>
      <c r="V52" s="104"/>
      <c r="W52" s="104"/>
      <c r="X52" s="104"/>
      <c r="Y52" s="104"/>
      <c r="Z52" s="104"/>
    </row>
    <row r="53">
      <c r="A53" s="108" t="s">
        <v>1273</v>
      </c>
      <c r="B53" s="103" t="s">
        <v>1328</v>
      </c>
      <c r="C53" s="103" t="s">
        <v>1329</v>
      </c>
      <c r="D53" s="103" t="s">
        <v>1330</v>
      </c>
      <c r="E53" s="103" t="s">
        <v>1331</v>
      </c>
      <c r="F53" s="103" t="s">
        <v>1332</v>
      </c>
      <c r="G53" s="103" t="s">
        <v>1333</v>
      </c>
      <c r="H53" s="103" t="s">
        <v>1329</v>
      </c>
      <c r="I53" s="103" t="s">
        <v>1334</v>
      </c>
      <c r="J53" s="103" t="s">
        <v>1335</v>
      </c>
      <c r="K53" s="103" t="s">
        <v>1332</v>
      </c>
      <c r="L53" s="103" t="s">
        <v>1336</v>
      </c>
      <c r="M53" s="104"/>
      <c r="N53" s="104"/>
      <c r="O53" s="104"/>
      <c r="P53" s="104"/>
      <c r="Q53" s="104"/>
      <c r="R53" s="104"/>
      <c r="S53" s="104"/>
      <c r="T53" s="104"/>
      <c r="U53" s="104"/>
      <c r="V53" s="104"/>
      <c r="W53" s="104"/>
      <c r="X53" s="104"/>
      <c r="Y53" s="104"/>
      <c r="Z53" s="104"/>
    </row>
    <row r="54">
      <c r="A54" s="103" t="s">
        <v>1281</v>
      </c>
      <c r="B54" s="103"/>
      <c r="C54" s="103"/>
      <c r="D54" s="102">
        <v>1.0</v>
      </c>
      <c r="E54" s="102">
        <v>1.0</v>
      </c>
      <c r="F54" s="102">
        <v>1.0</v>
      </c>
      <c r="G54" s="102">
        <v>0.0</v>
      </c>
      <c r="H54" s="103"/>
      <c r="I54" s="103"/>
      <c r="J54" s="103"/>
      <c r="K54" s="103"/>
      <c r="L54" s="103"/>
      <c r="M54" s="104"/>
      <c r="N54" s="104"/>
      <c r="O54" s="104"/>
      <c r="P54" s="104"/>
      <c r="Q54" s="104"/>
      <c r="R54" s="104"/>
      <c r="S54" s="104"/>
      <c r="T54" s="104"/>
      <c r="U54" s="104"/>
      <c r="V54" s="104"/>
      <c r="W54" s="104"/>
      <c r="X54" s="104"/>
      <c r="Y54" s="104"/>
      <c r="Z54" s="104"/>
    </row>
    <row r="55">
      <c r="A55" s="103" t="s">
        <v>1282</v>
      </c>
      <c r="B55" s="103"/>
      <c r="C55" s="103"/>
      <c r="D55" s="102">
        <v>1.0</v>
      </c>
      <c r="E55" s="102">
        <v>1.0</v>
      </c>
      <c r="F55" s="102">
        <v>1.0</v>
      </c>
      <c r="G55" s="102">
        <v>0.0</v>
      </c>
      <c r="H55" s="103"/>
      <c r="I55" s="103"/>
      <c r="J55" s="103"/>
      <c r="K55" s="103"/>
      <c r="L55" s="103"/>
      <c r="M55" s="104"/>
      <c r="N55" s="104"/>
      <c r="O55" s="104"/>
      <c r="P55" s="104"/>
      <c r="Q55" s="104"/>
      <c r="R55" s="104"/>
      <c r="S55" s="104"/>
      <c r="T55" s="104"/>
      <c r="U55" s="104"/>
      <c r="V55" s="104"/>
      <c r="W55" s="104"/>
      <c r="X55" s="104"/>
      <c r="Y55" s="104"/>
      <c r="Z55" s="104"/>
    </row>
    <row r="56">
      <c r="A56" s="103" t="s">
        <v>948</v>
      </c>
      <c r="B56" s="103"/>
      <c r="C56" s="103"/>
      <c r="D56" s="102">
        <v>1.0</v>
      </c>
      <c r="E56" s="102">
        <v>1.0</v>
      </c>
      <c r="F56" s="102">
        <v>1.0</v>
      </c>
      <c r="G56" s="102">
        <v>1.0</v>
      </c>
      <c r="H56" s="103"/>
      <c r="I56" s="103"/>
      <c r="J56" s="103"/>
      <c r="K56" s="103"/>
      <c r="L56" s="103"/>
      <c r="M56" s="104"/>
      <c r="N56" s="104"/>
      <c r="O56" s="104"/>
      <c r="P56" s="104"/>
      <c r="Q56" s="104"/>
      <c r="R56" s="104"/>
      <c r="S56" s="104"/>
      <c r="T56" s="104"/>
      <c r="U56" s="104"/>
      <c r="V56" s="104"/>
      <c r="W56" s="104"/>
      <c r="X56" s="104"/>
      <c r="Y56" s="104"/>
      <c r="Z56" s="104"/>
    </row>
    <row r="57">
      <c r="A57" s="103" t="s">
        <v>1283</v>
      </c>
      <c r="B57" s="103"/>
      <c r="C57" s="103"/>
      <c r="D57" s="102">
        <v>1.0</v>
      </c>
      <c r="E57" s="102">
        <v>1.0</v>
      </c>
      <c r="F57" s="102">
        <v>1.0</v>
      </c>
      <c r="G57" s="102">
        <v>1.0</v>
      </c>
      <c r="H57" s="103"/>
      <c r="I57" s="103"/>
      <c r="J57" s="103"/>
      <c r="K57" s="103"/>
      <c r="L57" s="103"/>
      <c r="M57" s="104"/>
      <c r="N57" s="104"/>
      <c r="O57" s="104"/>
      <c r="P57" s="104"/>
      <c r="Q57" s="104"/>
      <c r="R57" s="104"/>
      <c r="S57" s="104"/>
      <c r="T57" s="104"/>
      <c r="U57" s="104"/>
      <c r="V57" s="104"/>
      <c r="W57" s="104"/>
      <c r="X57" s="104"/>
      <c r="Y57" s="104"/>
      <c r="Z57" s="104"/>
    </row>
    <row r="58">
      <c r="A58" s="103" t="s">
        <v>950</v>
      </c>
      <c r="B58" s="103"/>
      <c r="C58" s="103"/>
      <c r="D58" s="102">
        <v>1.0</v>
      </c>
      <c r="E58" s="102">
        <v>1.0</v>
      </c>
      <c r="F58" s="102">
        <v>1.0</v>
      </c>
      <c r="G58" s="102">
        <v>0.0</v>
      </c>
      <c r="H58" s="103"/>
      <c r="I58" s="103"/>
      <c r="J58" s="103"/>
      <c r="K58" s="103"/>
      <c r="L58" s="103"/>
      <c r="M58" s="104"/>
      <c r="N58" s="104"/>
      <c r="O58" s="104"/>
      <c r="P58" s="104"/>
      <c r="Q58" s="104"/>
      <c r="R58" s="104"/>
      <c r="S58" s="104"/>
      <c r="T58" s="104"/>
      <c r="U58" s="104"/>
      <c r="V58" s="104"/>
      <c r="W58" s="104"/>
      <c r="X58" s="104"/>
      <c r="Y58" s="104"/>
      <c r="Z58" s="104"/>
    </row>
    <row r="59">
      <c r="A59" s="103" t="s">
        <v>951</v>
      </c>
      <c r="B59" s="103"/>
      <c r="C59" s="103"/>
      <c r="D59" s="102">
        <v>1.0</v>
      </c>
      <c r="E59" s="102">
        <v>1.0</v>
      </c>
      <c r="F59" s="102">
        <v>1.0</v>
      </c>
      <c r="G59" s="102">
        <v>0.0</v>
      </c>
      <c r="H59" s="103"/>
      <c r="I59" s="103"/>
      <c r="J59" s="103"/>
      <c r="K59" s="103"/>
      <c r="L59" s="103"/>
      <c r="M59" s="104"/>
      <c r="N59" s="104"/>
      <c r="O59" s="104"/>
      <c r="P59" s="104"/>
      <c r="Q59" s="104"/>
      <c r="R59" s="104"/>
      <c r="S59" s="104"/>
      <c r="T59" s="104"/>
      <c r="U59" s="104"/>
      <c r="V59" s="104"/>
      <c r="W59" s="104"/>
      <c r="X59" s="104"/>
      <c r="Y59" s="104"/>
      <c r="Z59" s="104"/>
    </row>
    <row r="60">
      <c r="A60" s="103" t="s">
        <v>952</v>
      </c>
      <c r="B60" s="103"/>
      <c r="C60" s="103"/>
      <c r="D60" s="102">
        <v>1.0</v>
      </c>
      <c r="E60" s="102">
        <v>1.0</v>
      </c>
      <c r="F60" s="102">
        <v>1.0</v>
      </c>
      <c r="G60" s="102">
        <v>1.0</v>
      </c>
      <c r="H60" s="103"/>
      <c r="I60" s="103"/>
      <c r="J60" s="103"/>
      <c r="K60" s="103"/>
      <c r="L60" s="103"/>
      <c r="M60" s="104"/>
      <c r="N60" s="104"/>
      <c r="O60" s="104"/>
      <c r="P60" s="104"/>
      <c r="Q60" s="104"/>
      <c r="R60" s="104"/>
      <c r="S60" s="104"/>
      <c r="T60" s="104"/>
      <c r="U60" s="104"/>
      <c r="V60" s="104"/>
      <c r="W60" s="104"/>
      <c r="X60" s="104"/>
      <c r="Y60" s="104"/>
      <c r="Z60" s="104"/>
    </row>
    <row r="61">
      <c r="A61" s="106" t="s">
        <v>1284</v>
      </c>
      <c r="B61" s="103" t="s">
        <v>1328</v>
      </c>
      <c r="C61" s="103" t="s">
        <v>1337</v>
      </c>
      <c r="D61" s="103" t="s">
        <v>1338</v>
      </c>
      <c r="E61" s="103" t="s">
        <v>1339</v>
      </c>
      <c r="F61" s="103" t="s">
        <v>1332</v>
      </c>
      <c r="G61" s="103" t="s">
        <v>1340</v>
      </c>
      <c r="H61" s="103" t="s">
        <v>1275</v>
      </c>
      <c r="I61" s="103" t="s">
        <v>1275</v>
      </c>
      <c r="J61" s="103" t="s">
        <v>1335</v>
      </c>
      <c r="K61" s="103" t="s">
        <v>1332</v>
      </c>
      <c r="L61" s="103" t="s">
        <v>1341</v>
      </c>
      <c r="M61" s="104"/>
      <c r="N61" s="104"/>
      <c r="O61" s="104"/>
      <c r="P61" s="104"/>
      <c r="Q61" s="104"/>
      <c r="R61" s="104"/>
      <c r="S61" s="104"/>
      <c r="T61" s="104"/>
      <c r="U61" s="104"/>
      <c r="V61" s="104"/>
      <c r="W61" s="104"/>
      <c r="X61" s="104"/>
      <c r="Y61" s="104"/>
      <c r="Z61" s="104"/>
    </row>
    <row r="62">
      <c r="A62" s="103" t="s">
        <v>1281</v>
      </c>
      <c r="B62" s="103"/>
      <c r="C62" s="103"/>
      <c r="D62" s="102">
        <v>1.0</v>
      </c>
      <c r="E62" s="102">
        <v>1.0</v>
      </c>
      <c r="F62" s="102">
        <v>1.0</v>
      </c>
      <c r="G62" s="102">
        <v>1.0</v>
      </c>
      <c r="H62" s="103"/>
      <c r="I62" s="103"/>
      <c r="J62" s="103"/>
      <c r="K62" s="103"/>
      <c r="L62" s="103"/>
      <c r="M62" s="104"/>
      <c r="N62" s="104"/>
      <c r="O62" s="104"/>
      <c r="P62" s="104"/>
      <c r="Q62" s="104"/>
      <c r="R62" s="104"/>
      <c r="S62" s="104"/>
      <c r="T62" s="104"/>
      <c r="U62" s="104"/>
      <c r="V62" s="104"/>
      <c r="W62" s="104"/>
      <c r="X62" s="104"/>
      <c r="Y62" s="104"/>
      <c r="Z62" s="104"/>
    </row>
    <row r="63">
      <c r="A63" s="103" t="s">
        <v>1282</v>
      </c>
      <c r="B63" s="103"/>
      <c r="C63" s="103"/>
      <c r="D63" s="102">
        <v>1.0</v>
      </c>
      <c r="E63" s="102">
        <v>1.0</v>
      </c>
      <c r="F63" s="102">
        <v>1.0</v>
      </c>
      <c r="G63" s="102">
        <v>1.0</v>
      </c>
      <c r="H63" s="103"/>
      <c r="I63" s="103"/>
      <c r="J63" s="103"/>
      <c r="K63" s="103"/>
      <c r="L63" s="103"/>
      <c r="M63" s="104"/>
      <c r="N63" s="104"/>
      <c r="O63" s="104"/>
      <c r="P63" s="104"/>
      <c r="Q63" s="104"/>
      <c r="R63" s="104"/>
      <c r="S63" s="104"/>
      <c r="T63" s="104"/>
      <c r="U63" s="104"/>
      <c r="V63" s="104"/>
      <c r="W63" s="104"/>
      <c r="X63" s="104"/>
      <c r="Y63" s="104"/>
      <c r="Z63" s="104"/>
    </row>
    <row r="64">
      <c r="A64" s="103" t="s">
        <v>948</v>
      </c>
      <c r="B64" s="103"/>
      <c r="C64" s="103"/>
      <c r="D64" s="102">
        <v>1.0</v>
      </c>
      <c r="E64" s="102">
        <v>1.0</v>
      </c>
      <c r="F64" s="102">
        <v>1.0</v>
      </c>
      <c r="G64" s="102">
        <v>1.0</v>
      </c>
      <c r="H64" s="103"/>
      <c r="I64" s="103"/>
      <c r="J64" s="103"/>
      <c r="K64" s="103"/>
      <c r="L64" s="103"/>
      <c r="M64" s="104"/>
      <c r="N64" s="104"/>
      <c r="O64" s="104"/>
      <c r="P64" s="104"/>
      <c r="Q64" s="104"/>
      <c r="R64" s="104"/>
      <c r="S64" s="104"/>
      <c r="T64" s="104"/>
      <c r="U64" s="104"/>
      <c r="V64" s="104"/>
      <c r="W64" s="104"/>
      <c r="X64" s="104"/>
      <c r="Y64" s="104"/>
      <c r="Z64" s="104"/>
    </row>
    <row r="65">
      <c r="A65" s="103" t="s">
        <v>1283</v>
      </c>
      <c r="B65" s="103"/>
      <c r="C65" s="103"/>
      <c r="D65" s="102">
        <v>1.0</v>
      </c>
      <c r="E65" s="102">
        <v>1.0</v>
      </c>
      <c r="F65" s="102">
        <v>1.0</v>
      </c>
      <c r="G65" s="102">
        <v>1.0</v>
      </c>
      <c r="H65" s="103"/>
      <c r="I65" s="103"/>
      <c r="J65" s="103"/>
      <c r="K65" s="103"/>
      <c r="L65" s="103"/>
      <c r="M65" s="104"/>
      <c r="N65" s="104"/>
      <c r="O65" s="104"/>
      <c r="P65" s="104"/>
      <c r="Q65" s="104"/>
      <c r="R65" s="104"/>
      <c r="S65" s="104"/>
      <c r="T65" s="104"/>
      <c r="U65" s="104"/>
      <c r="V65" s="104"/>
      <c r="W65" s="104"/>
      <c r="X65" s="104"/>
      <c r="Y65" s="104"/>
      <c r="Z65" s="104"/>
    </row>
    <row r="66">
      <c r="A66" s="103" t="s">
        <v>950</v>
      </c>
      <c r="B66" s="103"/>
      <c r="C66" s="103"/>
      <c r="D66" s="102">
        <v>1.0</v>
      </c>
      <c r="E66" s="102">
        <v>1.0</v>
      </c>
      <c r="F66" s="102">
        <v>1.0</v>
      </c>
      <c r="G66" s="102">
        <v>1.0</v>
      </c>
      <c r="H66" s="103"/>
      <c r="I66" s="103"/>
      <c r="J66" s="103"/>
      <c r="K66" s="103"/>
      <c r="L66" s="103"/>
      <c r="M66" s="104"/>
      <c r="N66" s="104"/>
      <c r="O66" s="104"/>
      <c r="P66" s="104"/>
      <c r="Q66" s="104"/>
      <c r="R66" s="104"/>
      <c r="S66" s="104"/>
      <c r="T66" s="104"/>
      <c r="U66" s="104"/>
      <c r="V66" s="104"/>
      <c r="W66" s="104"/>
      <c r="X66" s="104"/>
      <c r="Y66" s="104"/>
      <c r="Z66" s="104"/>
    </row>
    <row r="67">
      <c r="A67" s="103" t="s">
        <v>951</v>
      </c>
      <c r="B67" s="103"/>
      <c r="C67" s="103"/>
      <c r="D67" s="102">
        <v>1.0</v>
      </c>
      <c r="E67" s="102">
        <v>1.0</v>
      </c>
      <c r="F67" s="102">
        <v>1.0</v>
      </c>
      <c r="G67" s="102">
        <v>1.0</v>
      </c>
      <c r="H67" s="103"/>
      <c r="I67" s="103"/>
      <c r="J67" s="103"/>
      <c r="K67" s="103"/>
      <c r="L67" s="103"/>
      <c r="M67" s="104"/>
      <c r="N67" s="104"/>
      <c r="O67" s="104"/>
      <c r="P67" s="104"/>
      <c r="Q67" s="104"/>
      <c r="R67" s="104"/>
      <c r="S67" s="104"/>
      <c r="T67" s="104"/>
      <c r="U67" s="104"/>
      <c r="V67" s="104"/>
      <c r="W67" s="104"/>
      <c r="X67" s="104"/>
      <c r="Y67" s="104"/>
      <c r="Z67" s="104"/>
    </row>
    <row r="68">
      <c r="A68" s="103" t="s">
        <v>952</v>
      </c>
      <c r="B68" s="103"/>
      <c r="C68" s="103"/>
      <c r="D68" s="102">
        <v>1.0</v>
      </c>
      <c r="E68" s="102">
        <v>1.0</v>
      </c>
      <c r="F68" s="102">
        <v>1.0</v>
      </c>
      <c r="G68" s="102">
        <v>1.0</v>
      </c>
      <c r="H68" s="103"/>
      <c r="I68" s="103"/>
      <c r="J68" s="103"/>
      <c r="K68" s="103"/>
      <c r="L68" s="103"/>
      <c r="M68" s="104"/>
      <c r="N68" s="104"/>
      <c r="O68" s="104"/>
      <c r="P68" s="104"/>
      <c r="Q68" s="104"/>
      <c r="R68" s="104"/>
      <c r="S68" s="104"/>
      <c r="T68" s="104"/>
      <c r="U68" s="104"/>
      <c r="V68" s="104"/>
      <c r="W68" s="104"/>
      <c r="X68" s="104"/>
      <c r="Y68" s="104"/>
      <c r="Z68" s="104"/>
    </row>
    <row r="69">
      <c r="A69" s="103" t="s">
        <v>1291</v>
      </c>
      <c r="B69" s="103" t="s">
        <v>1328</v>
      </c>
      <c r="C69" s="103" t="s">
        <v>1342</v>
      </c>
      <c r="D69" s="103" t="s">
        <v>1343</v>
      </c>
      <c r="E69" s="103" t="s">
        <v>1344</v>
      </c>
      <c r="F69" s="103" t="s">
        <v>1332</v>
      </c>
      <c r="G69" s="103" t="s">
        <v>1345</v>
      </c>
      <c r="H69" s="103" t="s">
        <v>1000</v>
      </c>
      <c r="I69" s="103" t="s">
        <v>1346</v>
      </c>
      <c r="J69" s="103" t="s">
        <v>1347</v>
      </c>
      <c r="K69" s="103" t="s">
        <v>1332</v>
      </c>
      <c r="L69" s="103" t="s">
        <v>1348</v>
      </c>
      <c r="M69" s="104"/>
      <c r="N69" s="104"/>
      <c r="O69" s="104"/>
      <c r="P69" s="104"/>
      <c r="Q69" s="104"/>
      <c r="R69" s="104"/>
      <c r="S69" s="104"/>
      <c r="T69" s="104"/>
      <c r="U69" s="104"/>
      <c r="V69" s="104"/>
      <c r="W69" s="104"/>
      <c r="X69" s="104"/>
      <c r="Y69" s="104"/>
      <c r="Z69" s="104"/>
    </row>
    <row r="70">
      <c r="A70" s="103" t="s">
        <v>1281</v>
      </c>
      <c r="B70" s="103"/>
      <c r="C70" s="103"/>
      <c r="D70" s="102">
        <v>1.0</v>
      </c>
      <c r="E70" s="102">
        <v>1.0</v>
      </c>
      <c r="F70" s="102">
        <v>1.0</v>
      </c>
      <c r="G70" s="102">
        <v>0.0</v>
      </c>
      <c r="H70" s="103"/>
      <c r="I70" s="103"/>
      <c r="J70" s="103"/>
      <c r="K70" s="103"/>
      <c r="L70" s="103"/>
      <c r="M70" s="104"/>
      <c r="N70" s="104"/>
      <c r="O70" s="104"/>
      <c r="P70" s="104"/>
      <c r="Q70" s="104"/>
      <c r="R70" s="104"/>
      <c r="S70" s="104"/>
      <c r="T70" s="104"/>
      <c r="U70" s="104"/>
      <c r="V70" s="104"/>
      <c r="W70" s="104"/>
      <c r="X70" s="104"/>
      <c r="Y70" s="104"/>
      <c r="Z70" s="104"/>
    </row>
    <row r="71">
      <c r="A71" s="103" t="s">
        <v>1282</v>
      </c>
      <c r="B71" s="103"/>
      <c r="C71" s="103"/>
      <c r="D71" s="102">
        <v>1.0</v>
      </c>
      <c r="E71" s="102">
        <v>1.0</v>
      </c>
      <c r="F71" s="102">
        <v>1.0</v>
      </c>
      <c r="G71" s="102">
        <v>0.0</v>
      </c>
      <c r="H71" s="103"/>
      <c r="I71" s="103"/>
      <c r="J71" s="103"/>
      <c r="K71" s="103"/>
      <c r="L71" s="103"/>
      <c r="M71" s="104"/>
      <c r="N71" s="104"/>
      <c r="O71" s="104"/>
      <c r="P71" s="104"/>
      <c r="Q71" s="104"/>
      <c r="R71" s="104"/>
      <c r="S71" s="104"/>
      <c r="T71" s="104"/>
      <c r="U71" s="104"/>
      <c r="V71" s="104"/>
      <c r="W71" s="104"/>
      <c r="X71" s="104"/>
      <c r="Y71" s="104"/>
      <c r="Z71" s="104"/>
    </row>
    <row r="72">
      <c r="A72" s="103" t="s">
        <v>948</v>
      </c>
      <c r="B72" s="103"/>
      <c r="C72" s="103"/>
      <c r="D72" s="102">
        <v>1.0</v>
      </c>
      <c r="E72" s="102">
        <v>1.0</v>
      </c>
      <c r="F72" s="102">
        <v>1.0</v>
      </c>
      <c r="G72" s="102">
        <v>1.0</v>
      </c>
      <c r="H72" s="103"/>
      <c r="I72" s="103"/>
      <c r="J72" s="103"/>
      <c r="K72" s="103"/>
      <c r="L72" s="103"/>
      <c r="M72" s="104"/>
      <c r="N72" s="104"/>
      <c r="O72" s="104"/>
      <c r="P72" s="104"/>
      <c r="Q72" s="104"/>
      <c r="R72" s="104"/>
      <c r="S72" s="104"/>
      <c r="T72" s="104"/>
      <c r="U72" s="104"/>
      <c r="V72" s="104"/>
      <c r="W72" s="104"/>
      <c r="X72" s="104"/>
      <c r="Y72" s="104"/>
      <c r="Z72" s="104"/>
    </row>
    <row r="73">
      <c r="A73" s="103" t="s">
        <v>1283</v>
      </c>
      <c r="B73" s="103"/>
      <c r="C73" s="103"/>
      <c r="D73" s="102">
        <v>1.0</v>
      </c>
      <c r="E73" s="102">
        <v>1.0</v>
      </c>
      <c r="F73" s="102">
        <v>1.0</v>
      </c>
      <c r="G73" s="102">
        <v>1.0</v>
      </c>
      <c r="H73" s="103"/>
      <c r="I73" s="103"/>
      <c r="J73" s="103"/>
      <c r="K73" s="103"/>
      <c r="L73" s="103"/>
      <c r="M73" s="104"/>
      <c r="N73" s="104"/>
      <c r="O73" s="104"/>
      <c r="P73" s="104"/>
      <c r="Q73" s="104"/>
      <c r="R73" s="104"/>
      <c r="S73" s="104"/>
      <c r="T73" s="104"/>
      <c r="U73" s="104"/>
      <c r="V73" s="104"/>
      <c r="W73" s="104"/>
      <c r="X73" s="104"/>
      <c r="Y73" s="104"/>
      <c r="Z73" s="104"/>
    </row>
    <row r="74">
      <c r="A74" s="103" t="s">
        <v>950</v>
      </c>
      <c r="B74" s="103"/>
      <c r="C74" s="103"/>
      <c r="D74" s="102">
        <v>1.0</v>
      </c>
      <c r="E74" s="102">
        <v>1.0</v>
      </c>
      <c r="F74" s="102">
        <v>1.0</v>
      </c>
      <c r="G74" s="102">
        <v>0.0</v>
      </c>
      <c r="H74" s="103"/>
      <c r="I74" s="103"/>
      <c r="J74" s="103"/>
      <c r="K74" s="103"/>
      <c r="L74" s="103"/>
      <c r="M74" s="104"/>
      <c r="N74" s="104"/>
      <c r="O74" s="104"/>
      <c r="P74" s="104"/>
      <c r="Q74" s="104"/>
      <c r="R74" s="104"/>
      <c r="S74" s="104"/>
      <c r="T74" s="104"/>
      <c r="U74" s="104"/>
      <c r="V74" s="104"/>
      <c r="W74" s="104"/>
      <c r="X74" s="104"/>
      <c r="Y74" s="104"/>
      <c r="Z74" s="104"/>
    </row>
    <row r="75">
      <c r="A75" s="103" t="s">
        <v>951</v>
      </c>
      <c r="B75" s="103"/>
      <c r="C75" s="103"/>
      <c r="D75" s="102">
        <v>1.0</v>
      </c>
      <c r="E75" s="102">
        <v>1.0</v>
      </c>
      <c r="F75" s="102">
        <v>1.0</v>
      </c>
      <c r="G75" s="102">
        <v>0.0</v>
      </c>
      <c r="H75" s="103"/>
      <c r="I75" s="103"/>
      <c r="J75" s="103"/>
      <c r="K75" s="103"/>
      <c r="L75" s="103"/>
      <c r="M75" s="104"/>
      <c r="N75" s="104"/>
      <c r="O75" s="104"/>
      <c r="P75" s="104"/>
      <c r="Q75" s="104"/>
      <c r="R75" s="104"/>
      <c r="S75" s="104"/>
      <c r="T75" s="104"/>
      <c r="U75" s="104"/>
      <c r="V75" s="104"/>
      <c r="W75" s="104"/>
      <c r="X75" s="104"/>
      <c r="Y75" s="104"/>
      <c r="Z75" s="104"/>
    </row>
    <row r="76">
      <c r="A76" s="103" t="s">
        <v>952</v>
      </c>
      <c r="B76" s="103"/>
      <c r="C76" s="103"/>
      <c r="D76" s="102">
        <v>1.0</v>
      </c>
      <c r="E76" s="102">
        <v>1.0</v>
      </c>
      <c r="F76" s="102">
        <v>1.0</v>
      </c>
      <c r="G76" s="102">
        <v>1.0</v>
      </c>
      <c r="H76" s="103"/>
      <c r="I76" s="103"/>
      <c r="J76" s="103"/>
      <c r="K76" s="103"/>
      <c r="L76" s="103"/>
      <c r="M76" s="104"/>
      <c r="N76" s="104"/>
      <c r="O76" s="104"/>
      <c r="P76" s="104"/>
      <c r="Q76" s="104"/>
      <c r="R76" s="104"/>
      <c r="S76" s="104"/>
      <c r="T76" s="104"/>
      <c r="U76" s="104"/>
      <c r="V76" s="104"/>
      <c r="W76" s="104"/>
      <c r="X76" s="104"/>
      <c r="Y76" s="104"/>
      <c r="Z76" s="104"/>
    </row>
    <row r="77">
      <c r="A77" s="97" t="s">
        <v>1272</v>
      </c>
      <c r="B77" s="97"/>
      <c r="C77" s="97"/>
      <c r="D77" s="5" t="s">
        <v>1027</v>
      </c>
      <c r="E77" s="5" t="s">
        <v>1028</v>
      </c>
      <c r="F77" s="5" t="s">
        <v>1029</v>
      </c>
      <c r="G77" s="5" t="s">
        <v>1030</v>
      </c>
      <c r="H77" s="97"/>
      <c r="I77" s="97"/>
      <c r="J77" s="97"/>
      <c r="K77" s="97"/>
      <c r="L77" s="97"/>
    </row>
    <row r="78">
      <c r="A78" s="108" t="s">
        <v>1273</v>
      </c>
      <c r="B78" s="97" t="s">
        <v>1349</v>
      </c>
      <c r="C78" s="97" t="s">
        <v>1350</v>
      </c>
      <c r="D78" s="97" t="s">
        <v>1351</v>
      </c>
      <c r="E78" s="97" t="s">
        <v>1352</v>
      </c>
      <c r="F78" s="97" t="s">
        <v>1353</v>
      </c>
      <c r="G78" s="97" t="s">
        <v>1010</v>
      </c>
      <c r="H78" s="97" t="s">
        <v>1275</v>
      </c>
      <c r="I78" s="97" t="s">
        <v>1275</v>
      </c>
      <c r="J78" s="97" t="s">
        <v>1354</v>
      </c>
      <c r="K78" s="97" t="s">
        <v>1353</v>
      </c>
      <c r="L78" s="97" t="s">
        <v>1010</v>
      </c>
    </row>
    <row r="79">
      <c r="A79" s="97" t="s">
        <v>1281</v>
      </c>
      <c r="B79" s="97"/>
      <c r="C79" s="97"/>
      <c r="D79" s="107">
        <v>1.0</v>
      </c>
      <c r="E79" s="107">
        <v>1.0</v>
      </c>
      <c r="F79" s="107">
        <v>1.0</v>
      </c>
      <c r="G79" s="107">
        <v>1.0</v>
      </c>
      <c r="H79" s="97"/>
      <c r="I79" s="97"/>
      <c r="J79" s="97"/>
      <c r="K79" s="97"/>
      <c r="L79" s="97"/>
    </row>
    <row r="80">
      <c r="A80" s="97" t="s">
        <v>1282</v>
      </c>
      <c r="B80" s="97"/>
      <c r="C80" s="97"/>
      <c r="D80" s="107">
        <v>1.0</v>
      </c>
      <c r="E80" s="107">
        <v>1.0</v>
      </c>
      <c r="F80" s="107">
        <v>1.0</v>
      </c>
      <c r="G80" s="107">
        <v>1.0</v>
      </c>
      <c r="H80" s="97"/>
      <c r="I80" s="97"/>
      <c r="J80" s="97"/>
      <c r="K80" s="97"/>
      <c r="L80" s="97"/>
    </row>
    <row r="81">
      <c r="A81" s="97" t="s">
        <v>948</v>
      </c>
      <c r="B81" s="97"/>
      <c r="C81" s="97"/>
      <c r="D81" s="107">
        <v>1.0</v>
      </c>
      <c r="E81" s="107">
        <v>0.0</v>
      </c>
      <c r="F81" s="107">
        <v>0.0</v>
      </c>
      <c r="G81" s="107">
        <v>0.0</v>
      </c>
      <c r="H81" s="97"/>
      <c r="I81" s="97"/>
      <c r="J81" s="97"/>
      <c r="K81" s="97"/>
      <c r="L81" s="97"/>
    </row>
    <row r="82">
      <c r="A82" s="97" t="s">
        <v>1283</v>
      </c>
      <c r="B82" s="97"/>
      <c r="C82" s="97"/>
      <c r="D82" s="107">
        <v>1.0</v>
      </c>
      <c r="E82" s="107">
        <v>1.0</v>
      </c>
      <c r="F82" s="107">
        <v>1.0</v>
      </c>
      <c r="G82" s="107">
        <v>1.0</v>
      </c>
      <c r="H82" s="97"/>
      <c r="I82" s="97"/>
      <c r="J82" s="97"/>
      <c r="K82" s="97"/>
      <c r="L82" s="97"/>
    </row>
    <row r="83">
      <c r="A83" s="97" t="s">
        <v>950</v>
      </c>
      <c r="B83" s="97"/>
      <c r="C83" s="97"/>
      <c r="D83" s="107">
        <v>1.0</v>
      </c>
      <c r="E83" s="107">
        <v>1.0</v>
      </c>
      <c r="F83" s="107">
        <v>1.0</v>
      </c>
      <c r="G83" s="107">
        <v>1.0</v>
      </c>
      <c r="H83" s="97"/>
      <c r="I83" s="97"/>
      <c r="J83" s="97"/>
      <c r="K83" s="97"/>
      <c r="L83" s="97"/>
    </row>
    <row r="84">
      <c r="A84" s="97" t="s">
        <v>951</v>
      </c>
      <c r="B84" s="97"/>
      <c r="C84" s="97"/>
      <c r="D84" s="107">
        <v>1.0</v>
      </c>
      <c r="E84" s="107">
        <v>1.0</v>
      </c>
      <c r="F84" s="107">
        <v>1.0</v>
      </c>
      <c r="G84" s="107">
        <v>1.0</v>
      </c>
      <c r="H84" s="97"/>
      <c r="I84" s="97"/>
      <c r="J84" s="97"/>
      <c r="K84" s="97"/>
      <c r="L84" s="97"/>
    </row>
    <row r="85">
      <c r="A85" s="97" t="s">
        <v>952</v>
      </c>
      <c r="B85" s="97"/>
      <c r="C85" s="97"/>
      <c r="D85" s="107">
        <v>1.0</v>
      </c>
      <c r="E85" s="107">
        <v>1.0</v>
      </c>
      <c r="F85" s="107">
        <v>1.0</v>
      </c>
      <c r="G85" s="107">
        <v>1.0</v>
      </c>
      <c r="H85" s="97"/>
      <c r="I85" s="97"/>
      <c r="J85" s="97"/>
      <c r="K85" s="97"/>
      <c r="L85" s="97"/>
    </row>
    <row r="86">
      <c r="A86" s="106" t="s">
        <v>1284</v>
      </c>
      <c r="B86" s="97" t="s">
        <v>1349</v>
      </c>
      <c r="C86" s="97" t="s">
        <v>1355</v>
      </c>
      <c r="D86" s="97" t="s">
        <v>1356</v>
      </c>
      <c r="E86" s="97" t="s">
        <v>1357</v>
      </c>
      <c r="F86" s="97" t="s">
        <v>1353</v>
      </c>
      <c r="G86" s="97" t="s">
        <v>1358</v>
      </c>
      <c r="H86" s="97" t="s">
        <v>1275</v>
      </c>
      <c r="I86" s="97" t="s">
        <v>1275</v>
      </c>
      <c r="J86" s="97" t="s">
        <v>1354</v>
      </c>
      <c r="K86" s="97" t="s">
        <v>1353</v>
      </c>
      <c r="L86" s="97" t="s">
        <v>1032</v>
      </c>
    </row>
    <row r="87">
      <c r="A87" s="97" t="s">
        <v>1281</v>
      </c>
      <c r="B87" s="97"/>
      <c r="C87" s="97"/>
      <c r="D87" s="107">
        <v>1.0</v>
      </c>
      <c r="E87" s="107">
        <v>1.0</v>
      </c>
      <c r="F87" s="107">
        <v>1.0</v>
      </c>
      <c r="G87" s="107">
        <v>1.0</v>
      </c>
      <c r="H87" s="97"/>
      <c r="I87" s="97"/>
      <c r="J87" s="97"/>
      <c r="K87" s="97"/>
      <c r="L87" s="97"/>
    </row>
    <row r="88">
      <c r="A88" s="97" t="s">
        <v>1282</v>
      </c>
      <c r="B88" s="97"/>
      <c r="C88" s="97"/>
      <c r="D88" s="107">
        <v>1.0</v>
      </c>
      <c r="E88" s="107">
        <v>1.0</v>
      </c>
      <c r="F88" s="107">
        <v>1.0</v>
      </c>
      <c r="G88" s="107">
        <v>1.0</v>
      </c>
      <c r="H88" s="97"/>
      <c r="I88" s="97"/>
      <c r="J88" s="97"/>
      <c r="K88" s="97"/>
      <c r="L88" s="97"/>
    </row>
    <row r="89">
      <c r="A89" s="97" t="s">
        <v>948</v>
      </c>
      <c r="B89" s="97"/>
      <c r="C89" s="97"/>
      <c r="D89" s="107">
        <v>1.0</v>
      </c>
      <c r="E89" s="107">
        <v>0.0</v>
      </c>
      <c r="F89" s="107">
        <v>0.0</v>
      </c>
      <c r="G89" s="107">
        <v>1.0</v>
      </c>
      <c r="H89" s="97"/>
      <c r="I89" s="97"/>
      <c r="J89" s="97"/>
      <c r="K89" s="97"/>
      <c r="L89" s="97"/>
    </row>
    <row r="90">
      <c r="A90" s="97" t="s">
        <v>1283</v>
      </c>
      <c r="B90" s="97"/>
      <c r="C90" s="97"/>
      <c r="D90" s="107">
        <v>1.0</v>
      </c>
      <c r="E90" s="107">
        <v>1.0</v>
      </c>
      <c r="F90" s="107">
        <v>1.0</v>
      </c>
      <c r="G90" s="107">
        <v>1.0</v>
      </c>
      <c r="H90" s="97"/>
      <c r="I90" s="97"/>
      <c r="J90" s="97"/>
      <c r="K90" s="97"/>
      <c r="L90" s="97"/>
    </row>
    <row r="91">
      <c r="A91" s="97" t="s">
        <v>950</v>
      </c>
      <c r="B91" s="97"/>
      <c r="C91" s="97"/>
      <c r="D91" s="107">
        <v>1.0</v>
      </c>
      <c r="E91" s="107">
        <v>1.0</v>
      </c>
      <c r="F91" s="107">
        <v>1.0</v>
      </c>
      <c r="G91" s="107">
        <v>1.0</v>
      </c>
      <c r="H91" s="97"/>
      <c r="I91" s="97"/>
      <c r="J91" s="97"/>
      <c r="K91" s="97"/>
      <c r="L91" s="97"/>
    </row>
    <row r="92">
      <c r="A92" s="97" t="s">
        <v>951</v>
      </c>
      <c r="B92" s="97"/>
      <c r="C92" s="97"/>
      <c r="D92" s="107">
        <v>1.0</v>
      </c>
      <c r="E92" s="107">
        <v>1.0</v>
      </c>
      <c r="F92" s="107">
        <v>1.0</v>
      </c>
      <c r="G92" s="107">
        <v>1.0</v>
      </c>
      <c r="H92" s="97"/>
      <c r="I92" s="97"/>
      <c r="J92" s="97"/>
      <c r="K92" s="97"/>
      <c r="L92" s="97"/>
    </row>
    <row r="93">
      <c r="A93" s="97" t="s">
        <v>952</v>
      </c>
      <c r="B93" s="97"/>
      <c r="C93" s="97"/>
      <c r="D93" s="107">
        <v>1.0</v>
      </c>
      <c r="E93" s="107">
        <v>1.0</v>
      </c>
      <c r="F93" s="107">
        <v>1.0</v>
      </c>
      <c r="G93" s="107">
        <v>1.0</v>
      </c>
      <c r="H93" s="97"/>
      <c r="I93" s="97"/>
      <c r="J93" s="97"/>
      <c r="K93" s="97"/>
      <c r="L93" s="97"/>
    </row>
    <row r="94">
      <c r="A94" s="97" t="s">
        <v>1291</v>
      </c>
      <c r="B94" s="97" t="s">
        <v>1349</v>
      </c>
      <c r="C94" s="97" t="s">
        <v>1359</v>
      </c>
      <c r="D94" s="97" t="s">
        <v>1360</v>
      </c>
      <c r="E94" s="97" t="s">
        <v>1361</v>
      </c>
      <c r="F94" s="97" t="s">
        <v>1362</v>
      </c>
      <c r="G94" s="97" t="s">
        <v>1363</v>
      </c>
      <c r="H94" s="97" t="s">
        <v>1364</v>
      </c>
      <c r="I94" s="97" t="s">
        <v>1275</v>
      </c>
      <c r="J94" s="97" t="s">
        <v>1365</v>
      </c>
      <c r="K94" s="97" t="s">
        <v>1366</v>
      </c>
      <c r="L94" s="97" t="s">
        <v>1032</v>
      </c>
    </row>
    <row r="95">
      <c r="A95" s="97" t="s">
        <v>1281</v>
      </c>
      <c r="B95" s="97"/>
      <c r="C95" s="97"/>
      <c r="D95" s="107">
        <v>1.0</v>
      </c>
      <c r="E95" s="107">
        <v>1.0</v>
      </c>
      <c r="F95" s="107">
        <v>1.0</v>
      </c>
      <c r="G95" s="107">
        <v>1.0</v>
      </c>
      <c r="H95" s="97"/>
      <c r="I95" s="97"/>
      <c r="J95" s="97"/>
      <c r="K95" s="97"/>
      <c r="L95" s="97"/>
    </row>
    <row r="96">
      <c r="A96" s="97" t="s">
        <v>1282</v>
      </c>
      <c r="B96" s="97"/>
      <c r="C96" s="97"/>
      <c r="D96" s="107">
        <v>1.0</v>
      </c>
      <c r="E96" s="107">
        <v>1.0</v>
      </c>
      <c r="F96" s="107">
        <v>1.0</v>
      </c>
      <c r="G96" s="107">
        <v>1.0</v>
      </c>
      <c r="H96" s="97"/>
      <c r="I96" s="97"/>
      <c r="J96" s="97"/>
      <c r="K96" s="97"/>
      <c r="L96" s="97"/>
    </row>
    <row r="97">
      <c r="A97" s="97" t="s">
        <v>948</v>
      </c>
      <c r="B97" s="97"/>
      <c r="C97" s="97"/>
      <c r="D97" s="107">
        <v>1.0</v>
      </c>
      <c r="E97" s="107">
        <v>0.0</v>
      </c>
      <c r="F97" s="107">
        <v>0.0</v>
      </c>
      <c r="G97" s="107">
        <v>1.0</v>
      </c>
      <c r="H97" s="97"/>
      <c r="I97" s="97"/>
      <c r="J97" s="97"/>
      <c r="K97" s="97"/>
      <c r="L97" s="97"/>
    </row>
    <row r="98">
      <c r="A98" s="97" t="s">
        <v>1283</v>
      </c>
      <c r="B98" s="97"/>
      <c r="C98" s="97"/>
      <c r="D98" s="107">
        <v>1.0</v>
      </c>
      <c r="E98" s="107">
        <v>1.0</v>
      </c>
      <c r="F98" s="107">
        <v>1.0</v>
      </c>
      <c r="G98" s="107">
        <v>1.0</v>
      </c>
      <c r="H98" s="97"/>
      <c r="I98" s="97"/>
      <c r="J98" s="97"/>
      <c r="K98" s="97"/>
      <c r="L98" s="97"/>
    </row>
    <row r="99">
      <c r="A99" s="97" t="s">
        <v>950</v>
      </c>
      <c r="B99" s="97"/>
      <c r="C99" s="97"/>
      <c r="D99" s="107">
        <v>1.0</v>
      </c>
      <c r="E99" s="107">
        <v>1.0</v>
      </c>
      <c r="F99" s="107">
        <v>1.0</v>
      </c>
      <c r="G99" s="107">
        <v>1.0</v>
      </c>
      <c r="H99" s="97"/>
      <c r="I99" s="97"/>
      <c r="J99" s="97"/>
      <c r="K99" s="97"/>
      <c r="L99" s="97"/>
    </row>
    <row r="100">
      <c r="A100" s="97" t="s">
        <v>951</v>
      </c>
      <c r="B100" s="97"/>
      <c r="C100" s="97"/>
      <c r="D100" s="107">
        <v>1.0</v>
      </c>
      <c r="E100" s="107">
        <v>1.0</v>
      </c>
      <c r="F100" s="107">
        <v>1.0</v>
      </c>
      <c r="G100" s="107">
        <v>1.0</v>
      </c>
      <c r="H100" s="97"/>
      <c r="I100" s="97"/>
      <c r="J100" s="97"/>
      <c r="K100" s="97"/>
      <c r="L100" s="97"/>
    </row>
    <row r="101">
      <c r="A101" s="97" t="s">
        <v>952</v>
      </c>
      <c r="B101" s="97"/>
      <c r="C101" s="97"/>
      <c r="D101" s="107">
        <v>1.0</v>
      </c>
      <c r="E101" s="107">
        <v>1.0</v>
      </c>
      <c r="F101" s="107">
        <v>1.0</v>
      </c>
      <c r="G101" s="107">
        <v>1.0</v>
      </c>
      <c r="H101" s="97"/>
      <c r="I101" s="97"/>
      <c r="J101" s="97"/>
      <c r="K101" s="97"/>
      <c r="L101" s="97"/>
    </row>
    <row r="102">
      <c r="A102" s="103" t="s">
        <v>1272</v>
      </c>
      <c r="B102" s="103"/>
      <c r="C102" s="103"/>
      <c r="D102" s="59" t="s">
        <v>1038</v>
      </c>
      <c r="E102" s="59" t="s">
        <v>1367</v>
      </c>
      <c r="F102" s="59" t="s">
        <v>1040</v>
      </c>
      <c r="G102" s="59" t="s">
        <v>1041</v>
      </c>
      <c r="H102" s="103"/>
      <c r="I102" s="103"/>
      <c r="J102" s="103"/>
      <c r="K102" s="103"/>
      <c r="L102" s="103"/>
      <c r="M102" s="104"/>
      <c r="N102" s="104"/>
      <c r="O102" s="104"/>
      <c r="P102" s="104"/>
      <c r="Q102" s="104"/>
      <c r="R102" s="104"/>
      <c r="S102" s="104"/>
      <c r="T102" s="104"/>
      <c r="U102" s="104"/>
      <c r="V102" s="104"/>
      <c r="W102" s="104"/>
      <c r="X102" s="104"/>
      <c r="Y102" s="104"/>
      <c r="Z102" s="104"/>
    </row>
    <row r="103">
      <c r="A103" s="108" t="s">
        <v>1273</v>
      </c>
      <c r="B103" s="103" t="s">
        <v>1368</v>
      </c>
      <c r="C103" s="103" t="s">
        <v>1369</v>
      </c>
      <c r="D103" s="103" t="s">
        <v>1370</v>
      </c>
      <c r="E103" s="103" t="s">
        <v>1371</v>
      </c>
      <c r="F103" s="103" t="s">
        <v>1372</v>
      </c>
      <c r="G103" s="103" t="s">
        <v>1373</v>
      </c>
      <c r="H103" s="103" t="s">
        <v>1374</v>
      </c>
      <c r="I103" s="103" t="s">
        <v>1275</v>
      </c>
      <c r="J103" s="103" t="s">
        <v>1375</v>
      </c>
      <c r="K103" s="103" t="s">
        <v>1372</v>
      </c>
      <c r="L103" s="103" t="s">
        <v>1376</v>
      </c>
      <c r="M103" s="104"/>
      <c r="N103" s="104"/>
      <c r="O103" s="104"/>
      <c r="P103" s="104"/>
      <c r="Q103" s="104"/>
      <c r="R103" s="104"/>
      <c r="S103" s="104"/>
      <c r="T103" s="104"/>
      <c r="U103" s="104"/>
      <c r="V103" s="104"/>
      <c r="W103" s="104"/>
      <c r="X103" s="104"/>
      <c r="Y103" s="104"/>
      <c r="Z103" s="104"/>
    </row>
    <row r="104">
      <c r="A104" s="103" t="s">
        <v>1281</v>
      </c>
      <c r="B104" s="103"/>
      <c r="C104" s="103"/>
      <c r="D104" s="102">
        <v>1.0</v>
      </c>
      <c r="E104" s="102">
        <v>1.0</v>
      </c>
      <c r="F104" s="102">
        <v>0.0</v>
      </c>
      <c r="G104" s="102">
        <v>1.0</v>
      </c>
      <c r="H104" s="103"/>
      <c r="I104" s="103"/>
      <c r="J104" s="103"/>
      <c r="K104" s="103"/>
      <c r="L104" s="103"/>
      <c r="M104" s="104"/>
      <c r="N104" s="104"/>
      <c r="O104" s="104"/>
      <c r="P104" s="104"/>
      <c r="Q104" s="104"/>
      <c r="R104" s="104"/>
      <c r="S104" s="104"/>
      <c r="T104" s="104"/>
      <c r="U104" s="104"/>
      <c r="V104" s="104"/>
      <c r="W104" s="104"/>
      <c r="X104" s="104"/>
      <c r="Y104" s="104"/>
      <c r="Z104" s="104"/>
    </row>
    <row r="105">
      <c r="A105" s="103" t="s">
        <v>1282</v>
      </c>
      <c r="B105" s="103"/>
      <c r="C105" s="103"/>
      <c r="D105" s="102">
        <v>1.0</v>
      </c>
      <c r="E105" s="102">
        <v>1.0</v>
      </c>
      <c r="F105" s="102">
        <v>1.0</v>
      </c>
      <c r="G105" s="102">
        <v>1.0</v>
      </c>
      <c r="H105" s="103"/>
      <c r="I105" s="103"/>
      <c r="J105" s="103"/>
      <c r="K105" s="103"/>
      <c r="L105" s="103"/>
      <c r="M105" s="104"/>
      <c r="N105" s="104"/>
      <c r="O105" s="104"/>
      <c r="P105" s="104"/>
      <c r="Q105" s="104"/>
      <c r="R105" s="104"/>
      <c r="S105" s="104"/>
      <c r="T105" s="104"/>
      <c r="U105" s="104"/>
      <c r="V105" s="104"/>
      <c r="W105" s="104"/>
      <c r="X105" s="104"/>
      <c r="Y105" s="104"/>
      <c r="Z105" s="104"/>
    </row>
    <row r="106">
      <c r="A106" s="103" t="s">
        <v>948</v>
      </c>
      <c r="B106" s="103"/>
      <c r="C106" s="103"/>
      <c r="D106" s="102">
        <v>1.0</v>
      </c>
      <c r="E106" s="102">
        <v>1.0</v>
      </c>
      <c r="F106" s="102">
        <v>0.0</v>
      </c>
      <c r="G106" s="102">
        <v>1.0</v>
      </c>
      <c r="H106" s="103"/>
      <c r="I106" s="103"/>
      <c r="J106" s="103"/>
      <c r="K106" s="103"/>
      <c r="L106" s="103"/>
      <c r="M106" s="104"/>
      <c r="N106" s="104"/>
      <c r="O106" s="104"/>
      <c r="P106" s="104"/>
      <c r="Q106" s="104"/>
      <c r="R106" s="104"/>
      <c r="S106" s="104"/>
      <c r="T106" s="104"/>
      <c r="U106" s="104"/>
      <c r="V106" s="104"/>
      <c r="W106" s="104"/>
      <c r="X106" s="104"/>
      <c r="Y106" s="104"/>
      <c r="Z106" s="104"/>
    </row>
    <row r="107">
      <c r="A107" s="103" t="s">
        <v>1283</v>
      </c>
      <c r="B107" s="103"/>
      <c r="C107" s="103"/>
      <c r="D107" s="102">
        <v>1.0</v>
      </c>
      <c r="E107" s="102">
        <v>1.0</v>
      </c>
      <c r="F107" s="102">
        <v>1.0</v>
      </c>
      <c r="G107" s="102">
        <v>1.0</v>
      </c>
      <c r="H107" s="103"/>
      <c r="I107" s="103"/>
      <c r="J107" s="103"/>
      <c r="K107" s="103"/>
      <c r="L107" s="103"/>
      <c r="M107" s="104"/>
      <c r="N107" s="104"/>
      <c r="O107" s="104"/>
      <c r="P107" s="104"/>
      <c r="Q107" s="104"/>
      <c r="R107" s="104"/>
      <c r="S107" s="104"/>
      <c r="T107" s="104"/>
      <c r="U107" s="104"/>
      <c r="V107" s="104"/>
      <c r="W107" s="104"/>
      <c r="X107" s="104"/>
      <c r="Y107" s="104"/>
      <c r="Z107" s="104"/>
    </row>
    <row r="108">
      <c r="A108" s="103" t="s">
        <v>950</v>
      </c>
      <c r="B108" s="103"/>
      <c r="C108" s="103"/>
      <c r="D108" s="102">
        <v>1.0</v>
      </c>
      <c r="E108" s="102">
        <v>1.0</v>
      </c>
      <c r="F108" s="102">
        <v>1.0</v>
      </c>
      <c r="G108" s="102">
        <v>1.0</v>
      </c>
      <c r="H108" s="103"/>
      <c r="I108" s="103"/>
      <c r="J108" s="103"/>
      <c r="K108" s="103"/>
      <c r="L108" s="103"/>
      <c r="M108" s="104"/>
      <c r="N108" s="104"/>
      <c r="O108" s="104"/>
      <c r="P108" s="104"/>
      <c r="Q108" s="104"/>
      <c r="R108" s="104"/>
      <c r="S108" s="104"/>
      <c r="T108" s="104"/>
      <c r="U108" s="104"/>
      <c r="V108" s="104"/>
      <c r="W108" s="104"/>
      <c r="X108" s="104"/>
      <c r="Y108" s="104"/>
      <c r="Z108" s="104"/>
    </row>
    <row r="109">
      <c r="A109" s="103" t="s">
        <v>951</v>
      </c>
      <c r="B109" s="103"/>
      <c r="C109" s="103"/>
      <c r="D109" s="102">
        <v>1.0</v>
      </c>
      <c r="E109" s="102">
        <v>1.0</v>
      </c>
      <c r="F109" s="102">
        <v>0.0</v>
      </c>
      <c r="G109" s="102">
        <v>1.0</v>
      </c>
      <c r="H109" s="103"/>
      <c r="I109" s="103"/>
      <c r="J109" s="103"/>
      <c r="K109" s="103"/>
      <c r="L109" s="103"/>
      <c r="M109" s="104"/>
      <c r="N109" s="104"/>
      <c r="O109" s="104"/>
      <c r="P109" s="104"/>
      <c r="Q109" s="104"/>
      <c r="R109" s="104"/>
      <c r="S109" s="104"/>
      <c r="T109" s="104"/>
      <c r="U109" s="104"/>
      <c r="V109" s="104"/>
      <c r="W109" s="104"/>
      <c r="X109" s="104"/>
      <c r="Y109" s="104"/>
      <c r="Z109" s="104"/>
    </row>
    <row r="110">
      <c r="A110" s="103" t="s">
        <v>952</v>
      </c>
      <c r="B110" s="103"/>
      <c r="C110" s="103"/>
      <c r="D110" s="102">
        <v>1.0</v>
      </c>
      <c r="E110" s="102">
        <v>1.0</v>
      </c>
      <c r="F110" s="102">
        <v>1.0</v>
      </c>
      <c r="G110" s="102">
        <v>1.0</v>
      </c>
      <c r="H110" s="103"/>
      <c r="I110" s="103"/>
      <c r="J110" s="103"/>
      <c r="K110" s="103"/>
      <c r="L110" s="103"/>
      <c r="M110" s="104"/>
      <c r="N110" s="104"/>
      <c r="O110" s="104"/>
      <c r="P110" s="104"/>
      <c r="Q110" s="104"/>
      <c r="R110" s="104"/>
      <c r="S110" s="104"/>
      <c r="T110" s="104"/>
      <c r="U110" s="104"/>
      <c r="V110" s="104"/>
      <c r="W110" s="104"/>
      <c r="X110" s="104"/>
      <c r="Y110" s="104"/>
      <c r="Z110" s="104"/>
    </row>
    <row r="111">
      <c r="A111" s="106" t="s">
        <v>1284</v>
      </c>
      <c r="B111" s="103" t="s">
        <v>1368</v>
      </c>
      <c r="C111" s="103" t="s">
        <v>1377</v>
      </c>
      <c r="D111" s="103" t="s">
        <v>1378</v>
      </c>
      <c r="E111" s="103" t="s">
        <v>1379</v>
      </c>
      <c r="F111" s="103" t="s">
        <v>1353</v>
      </c>
      <c r="G111" s="103" t="s">
        <v>1358</v>
      </c>
      <c r="H111" s="103" t="s">
        <v>1275</v>
      </c>
      <c r="I111" s="103" t="s">
        <v>1275</v>
      </c>
      <c r="J111" s="103" t="s">
        <v>1380</v>
      </c>
      <c r="K111" s="103" t="s">
        <v>1353</v>
      </c>
      <c r="L111" s="103" t="s">
        <v>1032</v>
      </c>
      <c r="M111" s="104"/>
      <c r="N111" s="104"/>
      <c r="O111" s="104"/>
      <c r="P111" s="104"/>
      <c r="Q111" s="104"/>
      <c r="R111" s="104"/>
      <c r="S111" s="104"/>
      <c r="T111" s="104"/>
      <c r="U111" s="104"/>
      <c r="V111" s="104"/>
      <c r="W111" s="104"/>
      <c r="X111" s="104"/>
      <c r="Y111" s="104"/>
      <c r="Z111" s="104"/>
    </row>
    <row r="112">
      <c r="A112" s="103" t="s">
        <v>1281</v>
      </c>
      <c r="B112" s="103"/>
      <c r="C112" s="103"/>
      <c r="D112" s="102">
        <v>1.0</v>
      </c>
      <c r="E112" s="102">
        <v>1.0</v>
      </c>
      <c r="F112" s="102">
        <v>1.0</v>
      </c>
      <c r="G112" s="102">
        <v>1.0</v>
      </c>
      <c r="H112" s="103"/>
      <c r="I112" s="103"/>
      <c r="J112" s="103"/>
      <c r="K112" s="103"/>
      <c r="L112" s="103"/>
      <c r="M112" s="104"/>
      <c r="N112" s="104"/>
      <c r="O112" s="104"/>
      <c r="P112" s="104"/>
      <c r="Q112" s="104"/>
      <c r="R112" s="104"/>
      <c r="S112" s="104"/>
      <c r="T112" s="104"/>
      <c r="U112" s="104"/>
      <c r="V112" s="104"/>
      <c r="W112" s="104"/>
      <c r="X112" s="104"/>
      <c r="Y112" s="104"/>
      <c r="Z112" s="104"/>
    </row>
    <row r="113">
      <c r="A113" s="103" t="s">
        <v>1282</v>
      </c>
      <c r="B113" s="103"/>
      <c r="C113" s="103"/>
      <c r="D113" s="102">
        <v>1.0</v>
      </c>
      <c r="E113" s="102">
        <v>1.0</v>
      </c>
      <c r="F113" s="102">
        <v>0.0</v>
      </c>
      <c r="G113" s="102">
        <v>1.0</v>
      </c>
      <c r="H113" s="103"/>
      <c r="I113" s="103"/>
      <c r="J113" s="103"/>
      <c r="K113" s="103"/>
      <c r="L113" s="103"/>
      <c r="M113" s="104"/>
      <c r="N113" s="104"/>
      <c r="O113" s="104"/>
      <c r="P113" s="104"/>
      <c r="Q113" s="104"/>
      <c r="R113" s="104"/>
      <c r="S113" s="104"/>
      <c r="T113" s="104"/>
      <c r="U113" s="104"/>
      <c r="V113" s="104"/>
      <c r="W113" s="104"/>
      <c r="X113" s="104"/>
      <c r="Y113" s="104"/>
      <c r="Z113" s="104"/>
    </row>
    <row r="114">
      <c r="A114" s="103" t="s">
        <v>948</v>
      </c>
      <c r="B114" s="103"/>
      <c r="C114" s="103"/>
      <c r="D114" s="102">
        <v>1.0</v>
      </c>
      <c r="E114" s="102">
        <v>1.0</v>
      </c>
      <c r="F114" s="102">
        <v>0.0</v>
      </c>
      <c r="G114" s="102">
        <v>1.0</v>
      </c>
      <c r="H114" s="103"/>
      <c r="I114" s="103"/>
      <c r="J114" s="103"/>
      <c r="K114" s="103"/>
      <c r="L114" s="103"/>
      <c r="M114" s="104"/>
      <c r="N114" s="104"/>
      <c r="O114" s="104"/>
      <c r="P114" s="104"/>
      <c r="Q114" s="104"/>
      <c r="R114" s="104"/>
      <c r="S114" s="104"/>
      <c r="T114" s="104"/>
      <c r="U114" s="104"/>
      <c r="V114" s="104"/>
      <c r="W114" s="104"/>
      <c r="X114" s="104"/>
      <c r="Y114" s="104"/>
      <c r="Z114" s="104"/>
    </row>
    <row r="115">
      <c r="A115" s="103" t="s">
        <v>1283</v>
      </c>
      <c r="B115" s="103"/>
      <c r="C115" s="103"/>
      <c r="D115" s="102">
        <v>1.0</v>
      </c>
      <c r="E115" s="102">
        <v>1.0</v>
      </c>
      <c r="F115" s="102">
        <v>1.0</v>
      </c>
      <c r="G115" s="102">
        <v>1.0</v>
      </c>
      <c r="H115" s="103"/>
      <c r="I115" s="103"/>
      <c r="J115" s="103"/>
      <c r="K115" s="103"/>
      <c r="L115" s="103"/>
      <c r="M115" s="104"/>
      <c r="N115" s="104"/>
      <c r="O115" s="104"/>
      <c r="P115" s="104"/>
      <c r="Q115" s="104"/>
      <c r="R115" s="104"/>
      <c r="S115" s="104"/>
      <c r="T115" s="104"/>
      <c r="U115" s="104"/>
      <c r="V115" s="104"/>
      <c r="W115" s="104"/>
      <c r="X115" s="104"/>
      <c r="Y115" s="104"/>
      <c r="Z115" s="104"/>
    </row>
    <row r="116">
      <c r="A116" s="103" t="s">
        <v>950</v>
      </c>
      <c r="B116" s="103"/>
      <c r="C116" s="103"/>
      <c r="D116" s="102">
        <v>0.0</v>
      </c>
      <c r="E116" s="102">
        <v>1.0</v>
      </c>
      <c r="F116" s="102">
        <v>1.0</v>
      </c>
      <c r="G116" s="102">
        <v>1.0</v>
      </c>
      <c r="H116" s="103"/>
      <c r="I116" s="103"/>
      <c r="J116" s="103"/>
      <c r="K116" s="103"/>
      <c r="L116" s="103"/>
      <c r="M116" s="104"/>
      <c r="N116" s="104"/>
      <c r="O116" s="104"/>
      <c r="P116" s="104"/>
      <c r="Q116" s="104"/>
      <c r="R116" s="104"/>
      <c r="S116" s="104"/>
      <c r="T116" s="104"/>
      <c r="U116" s="104"/>
      <c r="V116" s="104"/>
      <c r="W116" s="104"/>
      <c r="X116" s="104"/>
      <c r="Y116" s="104"/>
      <c r="Z116" s="104"/>
    </row>
    <row r="117">
      <c r="A117" s="103" t="s">
        <v>951</v>
      </c>
      <c r="B117" s="103"/>
      <c r="C117" s="103"/>
      <c r="D117" s="102">
        <v>1.0</v>
      </c>
      <c r="E117" s="102">
        <v>1.0</v>
      </c>
      <c r="F117" s="102">
        <v>1.0</v>
      </c>
      <c r="G117" s="102">
        <v>1.0</v>
      </c>
      <c r="H117" s="103"/>
      <c r="I117" s="103"/>
      <c r="J117" s="103"/>
      <c r="K117" s="103"/>
      <c r="L117" s="103"/>
      <c r="M117" s="104"/>
      <c r="N117" s="104"/>
      <c r="O117" s="104"/>
      <c r="P117" s="104"/>
      <c r="Q117" s="104"/>
      <c r="R117" s="104"/>
      <c r="S117" s="104"/>
      <c r="T117" s="104"/>
      <c r="U117" s="104"/>
      <c r="V117" s="104"/>
      <c r="W117" s="104"/>
      <c r="X117" s="104"/>
      <c r="Y117" s="104"/>
      <c r="Z117" s="104"/>
    </row>
    <row r="118">
      <c r="A118" s="103" t="s">
        <v>952</v>
      </c>
      <c r="B118" s="103"/>
      <c r="C118" s="103"/>
      <c r="D118" s="102">
        <v>1.0</v>
      </c>
      <c r="E118" s="102">
        <v>1.0</v>
      </c>
      <c r="F118" s="102">
        <v>1.0</v>
      </c>
      <c r="G118" s="102">
        <v>1.0</v>
      </c>
      <c r="H118" s="103"/>
      <c r="I118" s="103"/>
      <c r="J118" s="103"/>
      <c r="K118" s="103"/>
      <c r="L118" s="103"/>
      <c r="M118" s="104"/>
      <c r="N118" s="104"/>
      <c r="O118" s="104"/>
      <c r="P118" s="104"/>
      <c r="Q118" s="104"/>
      <c r="R118" s="104"/>
      <c r="S118" s="104"/>
      <c r="T118" s="104"/>
      <c r="U118" s="104"/>
      <c r="V118" s="104"/>
      <c r="W118" s="104"/>
      <c r="X118" s="104"/>
      <c r="Y118" s="104"/>
      <c r="Z118" s="104"/>
    </row>
    <row r="119">
      <c r="A119" s="103" t="s">
        <v>1291</v>
      </c>
      <c r="B119" s="103" t="s">
        <v>1368</v>
      </c>
      <c r="C119" s="103" t="s">
        <v>1381</v>
      </c>
      <c r="D119" s="103" t="s">
        <v>1382</v>
      </c>
      <c r="E119" s="103" t="s">
        <v>1383</v>
      </c>
      <c r="F119" s="103" t="s">
        <v>1384</v>
      </c>
      <c r="G119" s="103" t="s">
        <v>1385</v>
      </c>
      <c r="H119" s="103" t="s">
        <v>1000</v>
      </c>
      <c r="I119" s="103" t="s">
        <v>1275</v>
      </c>
      <c r="J119" s="103" t="s">
        <v>1386</v>
      </c>
      <c r="K119" s="103" t="s">
        <v>1387</v>
      </c>
      <c r="L119" s="103" t="s">
        <v>1032</v>
      </c>
      <c r="M119" s="104"/>
      <c r="N119" s="104"/>
      <c r="O119" s="104"/>
      <c r="P119" s="104"/>
      <c r="Q119" s="104"/>
      <c r="R119" s="104"/>
      <c r="S119" s="104"/>
      <c r="T119" s="104"/>
      <c r="U119" s="104"/>
      <c r="V119" s="104"/>
      <c r="W119" s="104"/>
      <c r="X119" s="104"/>
      <c r="Y119" s="104"/>
      <c r="Z119" s="104"/>
    </row>
    <row r="120">
      <c r="A120" s="103" t="s">
        <v>1281</v>
      </c>
      <c r="B120" s="103"/>
      <c r="C120" s="103"/>
      <c r="D120" s="102">
        <v>1.0</v>
      </c>
      <c r="E120" s="102">
        <v>1.0</v>
      </c>
      <c r="F120" s="102">
        <v>1.0</v>
      </c>
      <c r="G120" s="102">
        <v>1.0</v>
      </c>
      <c r="H120" s="103"/>
      <c r="I120" s="103"/>
      <c r="J120" s="103"/>
      <c r="K120" s="103"/>
      <c r="L120" s="103"/>
      <c r="M120" s="104"/>
      <c r="N120" s="104"/>
      <c r="O120" s="104"/>
      <c r="P120" s="104"/>
      <c r="Q120" s="104"/>
      <c r="R120" s="104"/>
      <c r="S120" s="104"/>
      <c r="T120" s="104"/>
      <c r="U120" s="104"/>
      <c r="V120" s="104"/>
      <c r="W120" s="104"/>
      <c r="X120" s="104"/>
      <c r="Y120" s="104"/>
      <c r="Z120" s="104"/>
    </row>
    <row r="121">
      <c r="A121" s="103" t="s">
        <v>1282</v>
      </c>
      <c r="B121" s="103"/>
      <c r="C121" s="103"/>
      <c r="D121" s="102">
        <v>1.0</v>
      </c>
      <c r="E121" s="102">
        <v>1.0</v>
      </c>
      <c r="F121" s="102">
        <v>1.0</v>
      </c>
      <c r="G121" s="102">
        <v>1.0</v>
      </c>
      <c r="H121" s="103"/>
      <c r="I121" s="103"/>
      <c r="J121" s="103"/>
      <c r="K121" s="103"/>
      <c r="L121" s="103"/>
      <c r="M121" s="104"/>
      <c r="N121" s="104"/>
      <c r="O121" s="104"/>
      <c r="P121" s="104"/>
      <c r="Q121" s="104"/>
      <c r="R121" s="104"/>
      <c r="S121" s="104"/>
      <c r="T121" s="104"/>
      <c r="U121" s="104"/>
      <c r="V121" s="104"/>
      <c r="W121" s="104"/>
      <c r="X121" s="104"/>
      <c r="Y121" s="104"/>
      <c r="Z121" s="104"/>
    </row>
    <row r="122">
      <c r="A122" s="103" t="s">
        <v>948</v>
      </c>
      <c r="B122" s="103"/>
      <c r="C122" s="103"/>
      <c r="D122" s="102">
        <v>1.0</v>
      </c>
      <c r="E122" s="102">
        <v>1.0</v>
      </c>
      <c r="F122" s="102">
        <v>1.0</v>
      </c>
      <c r="G122" s="102">
        <v>1.0</v>
      </c>
      <c r="H122" s="103"/>
      <c r="I122" s="103"/>
      <c r="J122" s="103"/>
      <c r="K122" s="103"/>
      <c r="L122" s="103"/>
      <c r="M122" s="104"/>
      <c r="N122" s="104"/>
      <c r="O122" s="104"/>
      <c r="P122" s="104"/>
      <c r="Q122" s="104"/>
      <c r="R122" s="104"/>
      <c r="S122" s="104"/>
      <c r="T122" s="104"/>
      <c r="U122" s="104"/>
      <c r="V122" s="104"/>
      <c r="W122" s="104"/>
      <c r="X122" s="104"/>
      <c r="Y122" s="104"/>
      <c r="Z122" s="104"/>
    </row>
    <row r="123">
      <c r="A123" s="103" t="s">
        <v>1283</v>
      </c>
      <c r="B123" s="103"/>
      <c r="C123" s="103"/>
      <c r="D123" s="102">
        <v>1.0</v>
      </c>
      <c r="E123" s="102">
        <v>1.0</v>
      </c>
      <c r="F123" s="102">
        <v>1.0</v>
      </c>
      <c r="G123" s="102">
        <v>1.0</v>
      </c>
      <c r="H123" s="103"/>
      <c r="I123" s="103"/>
      <c r="J123" s="103"/>
      <c r="K123" s="103"/>
      <c r="L123" s="103"/>
      <c r="M123" s="104"/>
      <c r="N123" s="104"/>
      <c r="O123" s="104"/>
      <c r="P123" s="104"/>
      <c r="Q123" s="104"/>
      <c r="R123" s="104"/>
      <c r="S123" s="104"/>
      <c r="T123" s="104"/>
      <c r="U123" s="104"/>
      <c r="V123" s="104"/>
      <c r="W123" s="104"/>
      <c r="X123" s="104"/>
      <c r="Y123" s="104"/>
      <c r="Z123" s="104"/>
    </row>
    <row r="124">
      <c r="A124" s="103" t="s">
        <v>950</v>
      </c>
      <c r="B124" s="103"/>
      <c r="C124" s="103"/>
      <c r="D124" s="102">
        <v>1.0</v>
      </c>
      <c r="E124" s="102">
        <v>1.0</v>
      </c>
      <c r="F124" s="102">
        <v>1.0</v>
      </c>
      <c r="G124" s="102">
        <v>1.0</v>
      </c>
      <c r="H124" s="103"/>
      <c r="I124" s="103"/>
      <c r="J124" s="103"/>
      <c r="K124" s="103"/>
      <c r="L124" s="103"/>
      <c r="M124" s="104"/>
      <c r="N124" s="104"/>
      <c r="O124" s="104"/>
      <c r="P124" s="104"/>
      <c r="Q124" s="104"/>
      <c r="R124" s="104"/>
      <c r="S124" s="104"/>
      <c r="T124" s="104"/>
      <c r="U124" s="104"/>
      <c r="V124" s="104"/>
      <c r="W124" s="104"/>
      <c r="X124" s="104"/>
      <c r="Y124" s="104"/>
      <c r="Z124" s="104"/>
    </row>
    <row r="125">
      <c r="A125" s="103" t="s">
        <v>951</v>
      </c>
      <c r="B125" s="103"/>
      <c r="C125" s="103"/>
      <c r="D125" s="102">
        <v>1.0</v>
      </c>
      <c r="E125" s="102">
        <v>1.0</v>
      </c>
      <c r="F125" s="102">
        <v>1.0</v>
      </c>
      <c r="G125" s="102">
        <v>1.0</v>
      </c>
      <c r="H125" s="103"/>
      <c r="I125" s="103"/>
      <c r="J125" s="103"/>
      <c r="K125" s="103"/>
      <c r="L125" s="103"/>
      <c r="M125" s="104"/>
      <c r="N125" s="104"/>
      <c r="O125" s="104"/>
      <c r="P125" s="104"/>
      <c r="Q125" s="104"/>
      <c r="R125" s="104"/>
      <c r="S125" s="104"/>
      <c r="T125" s="104"/>
      <c r="U125" s="104"/>
      <c r="V125" s="104"/>
      <c r="W125" s="104"/>
      <c r="X125" s="104"/>
      <c r="Y125" s="104"/>
      <c r="Z125" s="104"/>
    </row>
    <row r="126">
      <c r="A126" s="103" t="s">
        <v>952</v>
      </c>
      <c r="B126" s="103"/>
      <c r="C126" s="103"/>
      <c r="D126" s="102">
        <v>1.0</v>
      </c>
      <c r="E126" s="102">
        <v>1.0</v>
      </c>
      <c r="F126" s="102">
        <v>1.0</v>
      </c>
      <c r="G126" s="102">
        <v>1.0</v>
      </c>
      <c r="H126" s="103"/>
      <c r="I126" s="103"/>
      <c r="J126" s="103"/>
      <c r="K126" s="103"/>
      <c r="L126" s="103"/>
      <c r="M126" s="104"/>
      <c r="N126" s="104"/>
      <c r="O126" s="104"/>
      <c r="P126" s="104"/>
      <c r="Q126" s="104"/>
      <c r="R126" s="104"/>
      <c r="S126" s="104"/>
      <c r="T126" s="104"/>
      <c r="U126" s="104"/>
      <c r="V126" s="104"/>
      <c r="W126" s="104"/>
      <c r="X126" s="104"/>
      <c r="Y126" s="104"/>
      <c r="Z126" s="104"/>
    </row>
    <row r="127">
      <c r="A127" s="97" t="s">
        <v>1272</v>
      </c>
      <c r="B127" s="97"/>
      <c r="C127" s="97"/>
      <c r="D127" s="5" t="s">
        <v>1047</v>
      </c>
      <c r="E127" s="5" t="s">
        <v>1048</v>
      </c>
      <c r="F127" s="5" t="s">
        <v>1049</v>
      </c>
      <c r="G127" s="5" t="s">
        <v>1050</v>
      </c>
      <c r="H127" s="97"/>
      <c r="I127" s="97"/>
      <c r="J127" s="97"/>
      <c r="K127" s="97"/>
      <c r="L127" s="97"/>
    </row>
    <row r="128">
      <c r="A128" s="108" t="s">
        <v>1273</v>
      </c>
      <c r="B128" s="97" t="s">
        <v>1388</v>
      </c>
      <c r="C128" s="97" t="s">
        <v>1389</v>
      </c>
      <c r="D128" s="97" t="s">
        <v>1390</v>
      </c>
      <c r="E128" s="97" t="s">
        <v>1391</v>
      </c>
      <c r="F128" s="97" t="s">
        <v>1392</v>
      </c>
      <c r="G128" s="97" t="s">
        <v>1393</v>
      </c>
      <c r="H128" s="97" t="s">
        <v>1394</v>
      </c>
      <c r="I128" s="97" t="s">
        <v>1275</v>
      </c>
      <c r="J128" s="97" t="s">
        <v>1395</v>
      </c>
      <c r="K128" s="97" t="s">
        <v>1392</v>
      </c>
      <c r="L128" s="97" t="s">
        <v>1393</v>
      </c>
    </row>
    <row r="129">
      <c r="A129" s="97" t="s">
        <v>1281</v>
      </c>
      <c r="B129" s="97"/>
      <c r="C129" s="97"/>
      <c r="D129" s="107">
        <v>1.0</v>
      </c>
      <c r="E129" s="107">
        <v>1.0</v>
      </c>
      <c r="F129" s="107">
        <v>1.0</v>
      </c>
      <c r="G129" s="107">
        <v>0.0</v>
      </c>
      <c r="H129" s="97"/>
      <c r="I129" s="97"/>
      <c r="J129" s="97"/>
      <c r="K129" s="97"/>
      <c r="L129" s="97"/>
    </row>
    <row r="130">
      <c r="A130" s="97" t="s">
        <v>1282</v>
      </c>
      <c r="B130" s="97"/>
      <c r="C130" s="97"/>
      <c r="D130" s="107">
        <v>1.0</v>
      </c>
      <c r="E130" s="107">
        <v>1.0</v>
      </c>
      <c r="F130" s="107">
        <v>1.0</v>
      </c>
      <c r="G130" s="107">
        <v>0.0</v>
      </c>
      <c r="H130" s="97"/>
      <c r="I130" s="97"/>
      <c r="J130" s="97"/>
      <c r="K130" s="97"/>
      <c r="L130" s="97"/>
    </row>
    <row r="131">
      <c r="A131" s="97" t="s">
        <v>948</v>
      </c>
      <c r="B131" s="97"/>
      <c r="C131" s="97"/>
      <c r="D131" s="107">
        <v>1.0</v>
      </c>
      <c r="E131" s="107">
        <v>1.0</v>
      </c>
      <c r="F131" s="107">
        <v>1.0</v>
      </c>
      <c r="G131" s="107">
        <v>0.0</v>
      </c>
      <c r="H131" s="97"/>
      <c r="I131" s="97"/>
      <c r="J131" s="97"/>
      <c r="K131" s="97"/>
      <c r="L131" s="97"/>
    </row>
    <row r="132">
      <c r="A132" s="97" t="s">
        <v>1283</v>
      </c>
      <c r="B132" s="97"/>
      <c r="C132" s="97"/>
      <c r="D132" s="107">
        <v>1.0</v>
      </c>
      <c r="E132" s="107">
        <v>1.0</v>
      </c>
      <c r="F132" s="107">
        <v>1.0</v>
      </c>
      <c r="G132" s="107">
        <v>1.0</v>
      </c>
      <c r="H132" s="97"/>
      <c r="I132" s="97"/>
      <c r="J132" s="97"/>
      <c r="K132" s="97"/>
      <c r="L132" s="97"/>
    </row>
    <row r="133">
      <c r="A133" s="97" t="s">
        <v>950</v>
      </c>
      <c r="B133" s="97"/>
      <c r="C133" s="97"/>
      <c r="D133" s="107">
        <v>1.0</v>
      </c>
      <c r="E133" s="107">
        <v>1.0</v>
      </c>
      <c r="F133" s="107">
        <v>1.0</v>
      </c>
      <c r="G133" s="107">
        <v>1.0</v>
      </c>
      <c r="H133" s="97"/>
      <c r="I133" s="97"/>
      <c r="J133" s="97"/>
      <c r="K133" s="97"/>
      <c r="L133" s="97"/>
    </row>
    <row r="134">
      <c r="A134" s="97" t="s">
        <v>951</v>
      </c>
      <c r="B134" s="97"/>
      <c r="C134" s="97"/>
      <c r="D134" s="107">
        <v>1.0</v>
      </c>
      <c r="E134" s="107">
        <v>1.0</v>
      </c>
      <c r="F134" s="107">
        <v>1.0</v>
      </c>
      <c r="G134" s="107">
        <v>0.0</v>
      </c>
      <c r="H134" s="97"/>
      <c r="I134" s="97"/>
      <c r="J134" s="97"/>
      <c r="K134" s="97"/>
      <c r="L134" s="97"/>
    </row>
    <row r="135">
      <c r="A135" s="97" t="s">
        <v>952</v>
      </c>
      <c r="B135" s="97"/>
      <c r="C135" s="97"/>
      <c r="D135" s="107">
        <v>1.0</v>
      </c>
      <c r="E135" s="107">
        <v>1.0</v>
      </c>
      <c r="F135" s="107">
        <v>1.0</v>
      </c>
      <c r="G135" s="107">
        <v>1.0</v>
      </c>
      <c r="H135" s="97"/>
      <c r="I135" s="97"/>
      <c r="J135" s="97"/>
      <c r="K135" s="97"/>
      <c r="L135" s="97"/>
    </row>
    <row r="136">
      <c r="A136" s="106" t="s">
        <v>1284</v>
      </c>
      <c r="B136" s="97" t="s">
        <v>1388</v>
      </c>
      <c r="C136" s="97" t="s">
        <v>1396</v>
      </c>
      <c r="D136" s="97" t="s">
        <v>1397</v>
      </c>
      <c r="E136" s="97" t="s">
        <v>1398</v>
      </c>
      <c r="F136" s="97" t="s">
        <v>1332</v>
      </c>
      <c r="G136" s="97" t="s">
        <v>1399</v>
      </c>
      <c r="H136" s="97" t="s">
        <v>1400</v>
      </c>
      <c r="I136" s="97" t="s">
        <v>1401</v>
      </c>
      <c r="J136" s="97" t="s">
        <v>1395</v>
      </c>
      <c r="K136" s="97" t="s">
        <v>1332</v>
      </c>
      <c r="L136" s="97" t="s">
        <v>1402</v>
      </c>
    </row>
    <row r="137">
      <c r="A137" s="97" t="s">
        <v>1281</v>
      </c>
      <c r="B137" s="97"/>
      <c r="C137" s="97"/>
      <c r="D137" s="107">
        <v>1.0</v>
      </c>
      <c r="E137" s="107">
        <v>1.0</v>
      </c>
      <c r="F137" s="107">
        <v>1.0</v>
      </c>
      <c r="G137" s="107">
        <v>1.0</v>
      </c>
      <c r="H137" s="97"/>
      <c r="I137" s="97"/>
      <c r="J137" s="97"/>
      <c r="K137" s="97"/>
      <c r="L137" s="97"/>
    </row>
    <row r="138">
      <c r="A138" s="97" t="s">
        <v>1282</v>
      </c>
      <c r="B138" s="97"/>
      <c r="C138" s="97"/>
      <c r="D138" s="107">
        <v>1.0</v>
      </c>
      <c r="E138" s="107">
        <v>1.0</v>
      </c>
      <c r="F138" s="107">
        <v>1.0</v>
      </c>
      <c r="G138" s="107">
        <v>1.0</v>
      </c>
      <c r="H138" s="97"/>
      <c r="I138" s="97"/>
      <c r="J138" s="97"/>
      <c r="K138" s="97"/>
      <c r="L138" s="97"/>
    </row>
    <row r="139">
      <c r="A139" s="97" t="s">
        <v>948</v>
      </c>
      <c r="B139" s="97"/>
      <c r="C139" s="97"/>
      <c r="D139" s="107">
        <v>1.0</v>
      </c>
      <c r="E139" s="107">
        <v>1.0</v>
      </c>
      <c r="F139" s="107">
        <v>0.0</v>
      </c>
      <c r="G139" s="107">
        <v>1.0</v>
      </c>
      <c r="H139" s="97"/>
      <c r="I139" s="97"/>
      <c r="J139" s="97"/>
      <c r="K139" s="97"/>
      <c r="L139" s="97"/>
    </row>
    <row r="140">
      <c r="A140" s="97" t="s">
        <v>1283</v>
      </c>
      <c r="B140" s="97"/>
      <c r="C140" s="97"/>
      <c r="D140" s="107">
        <v>1.0</v>
      </c>
      <c r="E140" s="107">
        <v>1.0</v>
      </c>
      <c r="F140" s="107">
        <v>1.0</v>
      </c>
      <c r="G140" s="107">
        <v>1.0</v>
      </c>
      <c r="H140" s="97"/>
      <c r="I140" s="97"/>
      <c r="J140" s="97"/>
      <c r="K140" s="97"/>
      <c r="L140" s="97"/>
    </row>
    <row r="141">
      <c r="A141" s="97" t="s">
        <v>950</v>
      </c>
      <c r="B141" s="97"/>
      <c r="C141" s="97"/>
      <c r="D141" s="107">
        <v>1.0</v>
      </c>
      <c r="E141" s="107">
        <v>1.0</v>
      </c>
      <c r="F141" s="107">
        <v>1.0</v>
      </c>
      <c r="G141" s="107">
        <v>1.0</v>
      </c>
      <c r="H141" s="97"/>
      <c r="I141" s="97"/>
      <c r="J141" s="97"/>
      <c r="K141" s="97"/>
      <c r="L141" s="97"/>
    </row>
    <row r="142">
      <c r="A142" s="97" t="s">
        <v>951</v>
      </c>
      <c r="B142" s="97"/>
      <c r="C142" s="97"/>
      <c r="D142" s="107">
        <v>1.0</v>
      </c>
      <c r="E142" s="107">
        <v>1.0</v>
      </c>
      <c r="F142" s="107">
        <v>1.0</v>
      </c>
      <c r="G142" s="107">
        <v>1.0</v>
      </c>
      <c r="H142" s="97"/>
      <c r="I142" s="97"/>
      <c r="J142" s="97"/>
      <c r="K142" s="97"/>
      <c r="L142" s="97"/>
    </row>
    <row r="143">
      <c r="A143" s="97" t="s">
        <v>952</v>
      </c>
      <c r="B143" s="97"/>
      <c r="C143" s="97"/>
      <c r="D143" s="107">
        <v>1.0</v>
      </c>
      <c r="E143" s="107">
        <v>1.0</v>
      </c>
      <c r="F143" s="107">
        <v>1.0</v>
      </c>
      <c r="G143" s="107">
        <v>1.0</v>
      </c>
      <c r="H143" s="97"/>
      <c r="I143" s="97"/>
      <c r="J143" s="97"/>
      <c r="K143" s="97"/>
      <c r="L143" s="97"/>
    </row>
    <row r="144">
      <c r="A144" s="97" t="s">
        <v>1291</v>
      </c>
      <c r="B144" s="97" t="s">
        <v>1388</v>
      </c>
      <c r="C144" s="97" t="s">
        <v>1403</v>
      </c>
      <c r="D144" s="97" t="s">
        <v>1404</v>
      </c>
      <c r="E144" s="97" t="s">
        <v>1405</v>
      </c>
      <c r="F144" s="97" t="s">
        <v>1406</v>
      </c>
      <c r="G144" s="97" t="s">
        <v>1407</v>
      </c>
      <c r="H144" s="97" t="s">
        <v>1394</v>
      </c>
      <c r="I144" s="97" t="s">
        <v>1408</v>
      </c>
      <c r="J144" s="97" t="s">
        <v>1409</v>
      </c>
      <c r="K144" s="97" t="s">
        <v>1392</v>
      </c>
      <c r="L144" s="97" t="s">
        <v>1002</v>
      </c>
    </row>
    <row r="145">
      <c r="A145" s="97" t="s">
        <v>1281</v>
      </c>
      <c r="B145" s="97"/>
      <c r="C145" s="97"/>
      <c r="D145" s="107">
        <v>1.0</v>
      </c>
      <c r="E145" s="107">
        <v>1.0</v>
      </c>
      <c r="F145" s="107">
        <v>1.0</v>
      </c>
      <c r="G145" s="107">
        <v>1.0</v>
      </c>
      <c r="H145" s="97"/>
      <c r="I145" s="97"/>
      <c r="J145" s="97"/>
      <c r="K145" s="97"/>
      <c r="L145" s="97"/>
    </row>
    <row r="146">
      <c r="A146" s="97" t="s">
        <v>1282</v>
      </c>
      <c r="B146" s="97"/>
      <c r="C146" s="97"/>
      <c r="D146" s="107">
        <v>1.0</v>
      </c>
      <c r="E146" s="107">
        <v>1.0</v>
      </c>
      <c r="F146" s="107">
        <v>1.0</v>
      </c>
      <c r="G146" s="107">
        <v>1.0</v>
      </c>
      <c r="H146" s="97"/>
      <c r="I146" s="97"/>
      <c r="J146" s="97"/>
      <c r="K146" s="97"/>
      <c r="L146" s="97"/>
    </row>
    <row r="147">
      <c r="A147" s="97" t="s">
        <v>948</v>
      </c>
      <c r="B147" s="97"/>
      <c r="C147" s="97"/>
      <c r="D147" s="107">
        <v>1.0</v>
      </c>
      <c r="E147" s="107">
        <v>1.0</v>
      </c>
      <c r="F147" s="107">
        <v>1.0</v>
      </c>
      <c r="G147" s="107">
        <v>1.0</v>
      </c>
      <c r="H147" s="97"/>
      <c r="I147" s="97"/>
      <c r="J147" s="97"/>
      <c r="K147" s="97"/>
      <c r="L147" s="97"/>
    </row>
    <row r="148">
      <c r="A148" s="97" t="s">
        <v>1283</v>
      </c>
      <c r="B148" s="97"/>
      <c r="C148" s="97"/>
      <c r="D148" s="107">
        <v>1.0</v>
      </c>
      <c r="E148" s="107">
        <v>1.0</v>
      </c>
      <c r="F148" s="107">
        <v>1.0</v>
      </c>
      <c r="G148" s="107">
        <v>1.0</v>
      </c>
      <c r="H148" s="97"/>
      <c r="I148" s="97"/>
      <c r="J148" s="97"/>
      <c r="K148" s="97"/>
      <c r="L148" s="97"/>
    </row>
    <row r="149">
      <c r="A149" s="97" t="s">
        <v>950</v>
      </c>
      <c r="B149" s="97"/>
      <c r="C149" s="97"/>
      <c r="D149" s="107">
        <v>1.0</v>
      </c>
      <c r="E149" s="107">
        <v>1.0</v>
      </c>
      <c r="F149" s="107">
        <v>1.0</v>
      </c>
      <c r="G149" s="107">
        <v>1.0</v>
      </c>
      <c r="H149" s="97"/>
      <c r="I149" s="97"/>
      <c r="J149" s="97"/>
      <c r="K149" s="97"/>
      <c r="L149" s="97"/>
    </row>
    <row r="150">
      <c r="A150" s="97" t="s">
        <v>951</v>
      </c>
      <c r="B150" s="97"/>
      <c r="C150" s="97"/>
      <c r="D150" s="107">
        <v>1.0</v>
      </c>
      <c r="E150" s="107">
        <v>1.0</v>
      </c>
      <c r="F150" s="107">
        <v>1.0</v>
      </c>
      <c r="G150" s="107">
        <v>1.0</v>
      </c>
      <c r="H150" s="97"/>
      <c r="I150" s="97"/>
      <c r="J150" s="97"/>
      <c r="K150" s="97"/>
      <c r="L150" s="97"/>
    </row>
    <row r="151">
      <c r="A151" s="97" t="s">
        <v>952</v>
      </c>
      <c r="B151" s="97"/>
      <c r="C151" s="97"/>
      <c r="D151" s="107">
        <v>1.0</v>
      </c>
      <c r="E151" s="107">
        <v>1.0</v>
      </c>
      <c r="F151" s="107">
        <v>1.0</v>
      </c>
      <c r="G151" s="107">
        <v>1.0</v>
      </c>
      <c r="H151" s="97"/>
      <c r="I151" s="97"/>
      <c r="J151" s="97"/>
      <c r="K151" s="97"/>
      <c r="L151" s="97"/>
    </row>
    <row r="152">
      <c r="A152" s="103" t="s">
        <v>1272</v>
      </c>
      <c r="B152" s="103"/>
      <c r="C152" s="103"/>
      <c r="D152" s="59" t="s">
        <v>1056</v>
      </c>
      <c r="E152" s="59" t="s">
        <v>1057</v>
      </c>
      <c r="F152" s="59" t="s">
        <v>1058</v>
      </c>
      <c r="G152" s="59" t="s">
        <v>1410</v>
      </c>
      <c r="H152" s="103"/>
      <c r="I152" s="103"/>
      <c r="J152" s="103"/>
      <c r="K152" s="103"/>
      <c r="L152" s="103"/>
      <c r="M152" s="104"/>
      <c r="N152" s="104"/>
      <c r="O152" s="104"/>
      <c r="P152" s="104"/>
      <c r="Q152" s="104"/>
      <c r="R152" s="104"/>
      <c r="S152" s="104"/>
      <c r="T152" s="104"/>
      <c r="U152" s="104"/>
      <c r="V152" s="104"/>
      <c r="W152" s="104"/>
      <c r="X152" s="104"/>
      <c r="Y152" s="104"/>
      <c r="Z152" s="104"/>
    </row>
    <row r="153">
      <c r="A153" s="108" t="s">
        <v>1273</v>
      </c>
      <c r="B153" s="103" t="s">
        <v>1411</v>
      </c>
      <c r="C153" s="103" t="s">
        <v>1297</v>
      </c>
      <c r="D153" s="103" t="s">
        <v>1297</v>
      </c>
      <c r="E153" s="103" t="s">
        <v>1412</v>
      </c>
      <c r="F153" s="103" t="s">
        <v>1413</v>
      </c>
      <c r="G153" s="103" t="s">
        <v>1414</v>
      </c>
      <c r="H153" s="103" t="s">
        <v>1297</v>
      </c>
      <c r="I153" s="103" t="s">
        <v>1297</v>
      </c>
      <c r="J153" s="103" t="s">
        <v>1415</v>
      </c>
      <c r="K153" s="103" t="s">
        <v>1416</v>
      </c>
      <c r="L153" s="103" t="s">
        <v>1417</v>
      </c>
      <c r="M153" s="104"/>
      <c r="N153" s="104"/>
      <c r="O153" s="104"/>
      <c r="P153" s="104"/>
      <c r="Q153" s="104"/>
      <c r="R153" s="104"/>
      <c r="S153" s="104"/>
      <c r="T153" s="104"/>
      <c r="U153" s="104"/>
      <c r="V153" s="104"/>
      <c r="W153" s="104"/>
      <c r="X153" s="104"/>
      <c r="Y153" s="104"/>
      <c r="Z153" s="104"/>
    </row>
    <row r="154">
      <c r="A154" s="103" t="s">
        <v>1281</v>
      </c>
      <c r="B154" s="103"/>
      <c r="C154" s="103"/>
      <c r="D154" s="102">
        <v>1.0</v>
      </c>
      <c r="E154" s="102">
        <v>1.0</v>
      </c>
      <c r="F154" s="102">
        <v>1.0</v>
      </c>
      <c r="G154" s="102">
        <v>1.0</v>
      </c>
      <c r="H154" s="103"/>
      <c r="I154" s="103"/>
      <c r="J154" s="103"/>
      <c r="K154" s="103"/>
      <c r="L154" s="103"/>
      <c r="M154" s="104"/>
      <c r="N154" s="104"/>
      <c r="O154" s="104"/>
      <c r="P154" s="104"/>
      <c r="Q154" s="104"/>
      <c r="R154" s="104"/>
      <c r="S154" s="104"/>
      <c r="T154" s="104"/>
      <c r="U154" s="104"/>
      <c r="V154" s="104"/>
      <c r="W154" s="104"/>
      <c r="X154" s="104"/>
      <c r="Y154" s="104"/>
      <c r="Z154" s="104"/>
    </row>
    <row r="155">
      <c r="A155" s="103" t="s">
        <v>1282</v>
      </c>
      <c r="B155" s="103"/>
      <c r="C155" s="103"/>
      <c r="D155" s="102">
        <v>1.0</v>
      </c>
      <c r="E155" s="102">
        <v>1.0</v>
      </c>
      <c r="F155" s="102">
        <v>1.0</v>
      </c>
      <c r="G155" s="102">
        <v>1.0</v>
      </c>
      <c r="H155" s="103"/>
      <c r="I155" s="103"/>
      <c r="J155" s="103"/>
      <c r="K155" s="103"/>
      <c r="L155" s="103"/>
      <c r="M155" s="104"/>
      <c r="N155" s="104"/>
      <c r="O155" s="104"/>
      <c r="P155" s="104"/>
      <c r="Q155" s="104"/>
      <c r="R155" s="104"/>
      <c r="S155" s="104"/>
      <c r="T155" s="104"/>
      <c r="U155" s="104"/>
      <c r="V155" s="104"/>
      <c r="W155" s="104"/>
      <c r="X155" s="104"/>
      <c r="Y155" s="104"/>
      <c r="Z155" s="104"/>
    </row>
    <row r="156">
      <c r="A156" s="103" t="s">
        <v>948</v>
      </c>
      <c r="B156" s="103"/>
      <c r="C156" s="103"/>
      <c r="D156" s="102">
        <v>1.0</v>
      </c>
      <c r="E156" s="102">
        <v>1.0</v>
      </c>
      <c r="F156" s="102">
        <v>0.0</v>
      </c>
      <c r="G156" s="102">
        <v>0.0</v>
      </c>
      <c r="H156" s="103"/>
      <c r="I156" s="103"/>
      <c r="J156" s="103"/>
      <c r="K156" s="103"/>
      <c r="L156" s="103"/>
      <c r="M156" s="104"/>
      <c r="N156" s="104"/>
      <c r="O156" s="104"/>
      <c r="P156" s="104"/>
      <c r="Q156" s="104"/>
      <c r="R156" s="104"/>
      <c r="S156" s="104"/>
      <c r="T156" s="104"/>
      <c r="U156" s="104"/>
      <c r="V156" s="104"/>
      <c r="W156" s="104"/>
      <c r="X156" s="104"/>
      <c r="Y156" s="104"/>
      <c r="Z156" s="104"/>
    </row>
    <row r="157">
      <c r="A157" s="103" t="s">
        <v>1283</v>
      </c>
      <c r="B157" s="103"/>
      <c r="C157" s="103"/>
      <c r="D157" s="102">
        <v>1.0</v>
      </c>
      <c r="E157" s="102">
        <v>1.0</v>
      </c>
      <c r="F157" s="102">
        <v>1.0</v>
      </c>
      <c r="G157" s="102">
        <v>1.0</v>
      </c>
      <c r="H157" s="103"/>
      <c r="I157" s="103"/>
      <c r="J157" s="103"/>
      <c r="K157" s="103"/>
      <c r="L157" s="103"/>
      <c r="M157" s="104"/>
      <c r="N157" s="104"/>
      <c r="O157" s="104"/>
      <c r="P157" s="104"/>
      <c r="Q157" s="104"/>
      <c r="R157" s="104"/>
      <c r="S157" s="104"/>
      <c r="T157" s="104"/>
      <c r="U157" s="104"/>
      <c r="V157" s="104"/>
      <c r="W157" s="104"/>
      <c r="X157" s="104"/>
      <c r="Y157" s="104"/>
      <c r="Z157" s="104"/>
    </row>
    <row r="158">
      <c r="A158" s="103" t="s">
        <v>950</v>
      </c>
      <c r="B158" s="103"/>
      <c r="C158" s="103"/>
      <c r="D158" s="102">
        <v>1.0</v>
      </c>
      <c r="E158" s="102">
        <v>1.0</v>
      </c>
      <c r="F158" s="102">
        <v>1.0</v>
      </c>
      <c r="G158" s="102">
        <v>1.0</v>
      </c>
      <c r="H158" s="103"/>
      <c r="I158" s="103"/>
      <c r="J158" s="103"/>
      <c r="K158" s="103"/>
      <c r="L158" s="103"/>
      <c r="M158" s="104"/>
      <c r="N158" s="104"/>
      <c r="O158" s="104"/>
      <c r="P158" s="104"/>
      <c r="Q158" s="104"/>
      <c r="R158" s="104"/>
      <c r="S158" s="104"/>
      <c r="T158" s="104"/>
      <c r="U158" s="104"/>
      <c r="V158" s="104"/>
      <c r="W158" s="104"/>
      <c r="X158" s="104"/>
      <c r="Y158" s="104"/>
      <c r="Z158" s="104"/>
    </row>
    <row r="159">
      <c r="A159" s="103" t="s">
        <v>951</v>
      </c>
      <c r="B159" s="103"/>
      <c r="C159" s="103"/>
      <c r="D159" s="102">
        <v>1.0</v>
      </c>
      <c r="E159" s="102">
        <v>1.0</v>
      </c>
      <c r="F159" s="102">
        <v>1.0</v>
      </c>
      <c r="G159" s="102">
        <v>1.0</v>
      </c>
      <c r="H159" s="103"/>
      <c r="I159" s="103"/>
      <c r="J159" s="103"/>
      <c r="K159" s="103"/>
      <c r="L159" s="103"/>
      <c r="M159" s="104"/>
      <c r="N159" s="104"/>
      <c r="O159" s="104"/>
      <c r="P159" s="104"/>
      <c r="Q159" s="104"/>
      <c r="R159" s="104"/>
      <c r="S159" s="104"/>
      <c r="T159" s="104"/>
      <c r="U159" s="104"/>
      <c r="V159" s="104"/>
      <c r="W159" s="104"/>
      <c r="X159" s="104"/>
      <c r="Y159" s="104"/>
      <c r="Z159" s="104"/>
    </row>
    <row r="160">
      <c r="A160" s="103" t="s">
        <v>952</v>
      </c>
      <c r="B160" s="103"/>
      <c r="C160" s="103"/>
      <c r="D160" s="102">
        <v>1.0</v>
      </c>
      <c r="E160" s="102">
        <v>1.0</v>
      </c>
      <c r="F160" s="102">
        <v>1.0</v>
      </c>
      <c r="G160" s="102">
        <v>1.0</v>
      </c>
      <c r="H160" s="103"/>
      <c r="I160" s="103"/>
      <c r="J160" s="103"/>
      <c r="K160" s="103"/>
      <c r="L160" s="103"/>
      <c r="M160" s="104"/>
      <c r="N160" s="104"/>
      <c r="O160" s="104"/>
      <c r="P160" s="104"/>
      <c r="Q160" s="104"/>
      <c r="R160" s="104"/>
      <c r="S160" s="104"/>
      <c r="T160" s="104"/>
      <c r="U160" s="104"/>
      <c r="V160" s="104"/>
      <c r="W160" s="104"/>
      <c r="X160" s="104"/>
      <c r="Y160" s="104"/>
      <c r="Z160" s="104"/>
    </row>
    <row r="161">
      <c r="A161" s="106" t="s">
        <v>1284</v>
      </c>
      <c r="B161" s="103" t="s">
        <v>1411</v>
      </c>
      <c r="C161" s="103" t="s">
        <v>1418</v>
      </c>
      <c r="D161" s="103" t="s">
        <v>1419</v>
      </c>
      <c r="E161" s="103" t="s">
        <v>1420</v>
      </c>
      <c r="F161" s="103" t="s">
        <v>1421</v>
      </c>
      <c r="G161" s="103" t="s">
        <v>1422</v>
      </c>
      <c r="H161" s="103" t="s">
        <v>1423</v>
      </c>
      <c r="I161" s="103" t="s">
        <v>1423</v>
      </c>
      <c r="J161" s="103" t="s">
        <v>1424</v>
      </c>
      <c r="K161" s="103" t="s">
        <v>1425</v>
      </c>
      <c r="L161" s="103" t="s">
        <v>1426</v>
      </c>
      <c r="M161" s="104"/>
      <c r="N161" s="104"/>
      <c r="O161" s="104"/>
      <c r="P161" s="104"/>
      <c r="Q161" s="104"/>
      <c r="R161" s="104"/>
      <c r="S161" s="104"/>
      <c r="T161" s="104"/>
      <c r="U161" s="104"/>
      <c r="V161" s="104"/>
      <c r="W161" s="104"/>
      <c r="X161" s="104"/>
      <c r="Y161" s="104"/>
      <c r="Z161" s="104"/>
    </row>
    <row r="162">
      <c r="A162" s="103" t="s">
        <v>1281</v>
      </c>
      <c r="B162" s="103"/>
      <c r="C162" s="103"/>
      <c r="D162" s="102">
        <v>1.0</v>
      </c>
      <c r="E162" s="102">
        <v>1.0</v>
      </c>
      <c r="F162" s="102">
        <v>1.0</v>
      </c>
      <c r="G162" s="102">
        <v>1.0</v>
      </c>
      <c r="H162" s="103"/>
      <c r="I162" s="103"/>
      <c r="J162" s="103"/>
      <c r="K162" s="103"/>
      <c r="L162" s="103"/>
      <c r="M162" s="104"/>
      <c r="N162" s="104"/>
      <c r="O162" s="104"/>
      <c r="P162" s="104"/>
      <c r="Q162" s="104"/>
      <c r="R162" s="104"/>
      <c r="S162" s="104"/>
      <c r="T162" s="104"/>
      <c r="U162" s="104"/>
      <c r="V162" s="104"/>
      <c r="W162" s="104"/>
      <c r="X162" s="104"/>
      <c r="Y162" s="104"/>
      <c r="Z162" s="104"/>
    </row>
    <row r="163">
      <c r="A163" s="103" t="s">
        <v>1282</v>
      </c>
      <c r="B163" s="103"/>
      <c r="C163" s="103"/>
      <c r="D163" s="102">
        <v>1.0</v>
      </c>
      <c r="E163" s="102">
        <v>1.0</v>
      </c>
      <c r="F163" s="102">
        <v>1.0</v>
      </c>
      <c r="G163" s="102">
        <v>1.0</v>
      </c>
      <c r="H163" s="103"/>
      <c r="I163" s="103"/>
      <c r="J163" s="103"/>
      <c r="K163" s="103"/>
      <c r="L163" s="103"/>
      <c r="M163" s="104"/>
      <c r="N163" s="104"/>
      <c r="O163" s="104"/>
      <c r="P163" s="104"/>
      <c r="Q163" s="104"/>
      <c r="R163" s="104"/>
      <c r="S163" s="104"/>
      <c r="T163" s="104"/>
      <c r="U163" s="104"/>
      <c r="V163" s="104"/>
      <c r="W163" s="104"/>
      <c r="X163" s="104"/>
      <c r="Y163" s="104"/>
      <c r="Z163" s="104"/>
    </row>
    <row r="164">
      <c r="A164" s="103" t="s">
        <v>948</v>
      </c>
      <c r="B164" s="103"/>
      <c r="C164" s="103"/>
      <c r="D164" s="102">
        <v>1.0</v>
      </c>
      <c r="E164" s="102">
        <v>1.0</v>
      </c>
      <c r="F164" s="102">
        <v>0.0</v>
      </c>
      <c r="G164" s="102">
        <v>1.0</v>
      </c>
      <c r="H164" s="103"/>
      <c r="I164" s="103"/>
      <c r="J164" s="103"/>
      <c r="K164" s="103"/>
      <c r="L164" s="103"/>
      <c r="M164" s="104"/>
      <c r="N164" s="104"/>
      <c r="O164" s="104"/>
      <c r="P164" s="104"/>
      <c r="Q164" s="104"/>
      <c r="R164" s="104"/>
      <c r="S164" s="104"/>
      <c r="T164" s="104"/>
      <c r="U164" s="104"/>
      <c r="V164" s="104"/>
      <c r="W164" s="104"/>
      <c r="X164" s="104"/>
      <c r="Y164" s="104"/>
      <c r="Z164" s="104"/>
    </row>
    <row r="165">
      <c r="A165" s="103" t="s">
        <v>1283</v>
      </c>
      <c r="B165" s="103"/>
      <c r="C165" s="103"/>
      <c r="D165" s="102">
        <v>1.0</v>
      </c>
      <c r="E165" s="102">
        <v>1.0</v>
      </c>
      <c r="F165" s="102">
        <v>1.0</v>
      </c>
      <c r="G165" s="102">
        <v>1.0</v>
      </c>
      <c r="H165" s="103"/>
      <c r="I165" s="103"/>
      <c r="J165" s="103"/>
      <c r="K165" s="103"/>
      <c r="L165" s="103"/>
      <c r="M165" s="104"/>
      <c r="N165" s="104"/>
      <c r="O165" s="104"/>
      <c r="P165" s="104"/>
      <c r="Q165" s="104"/>
      <c r="R165" s="104"/>
      <c r="S165" s="104"/>
      <c r="T165" s="104"/>
      <c r="U165" s="104"/>
      <c r="V165" s="104"/>
      <c r="W165" s="104"/>
      <c r="X165" s="104"/>
      <c r="Y165" s="104"/>
      <c r="Z165" s="104"/>
    </row>
    <row r="166">
      <c r="A166" s="103" t="s">
        <v>950</v>
      </c>
      <c r="B166" s="103"/>
      <c r="C166" s="103"/>
      <c r="D166" s="102">
        <v>1.0</v>
      </c>
      <c r="E166" s="102">
        <v>1.0</v>
      </c>
      <c r="F166" s="102">
        <v>1.0</v>
      </c>
      <c r="G166" s="102">
        <v>1.0</v>
      </c>
      <c r="H166" s="103"/>
      <c r="I166" s="103"/>
      <c r="J166" s="103"/>
      <c r="K166" s="103"/>
      <c r="L166" s="103"/>
      <c r="M166" s="104"/>
      <c r="N166" s="104"/>
      <c r="O166" s="104"/>
      <c r="P166" s="104"/>
      <c r="Q166" s="104"/>
      <c r="R166" s="104"/>
      <c r="S166" s="104"/>
      <c r="T166" s="104"/>
      <c r="U166" s="104"/>
      <c r="V166" s="104"/>
      <c r="W166" s="104"/>
      <c r="X166" s="104"/>
      <c r="Y166" s="104"/>
      <c r="Z166" s="104"/>
    </row>
    <row r="167">
      <c r="A167" s="103" t="s">
        <v>951</v>
      </c>
      <c r="B167" s="103"/>
      <c r="C167" s="103"/>
      <c r="D167" s="102">
        <v>1.0</v>
      </c>
      <c r="E167" s="102">
        <v>1.0</v>
      </c>
      <c r="F167" s="102">
        <v>1.0</v>
      </c>
      <c r="G167" s="102">
        <v>1.0</v>
      </c>
      <c r="H167" s="103"/>
      <c r="I167" s="103"/>
      <c r="J167" s="103"/>
      <c r="K167" s="103"/>
      <c r="L167" s="103"/>
      <c r="M167" s="104"/>
      <c r="N167" s="104"/>
      <c r="O167" s="104"/>
      <c r="P167" s="104"/>
      <c r="Q167" s="104"/>
      <c r="R167" s="104"/>
      <c r="S167" s="104"/>
      <c r="T167" s="104"/>
      <c r="U167" s="104"/>
      <c r="V167" s="104"/>
      <c r="W167" s="104"/>
      <c r="X167" s="104"/>
      <c r="Y167" s="104"/>
      <c r="Z167" s="104"/>
    </row>
    <row r="168">
      <c r="A168" s="103" t="s">
        <v>952</v>
      </c>
      <c r="B168" s="103"/>
      <c r="C168" s="103"/>
      <c r="D168" s="102">
        <v>1.0</v>
      </c>
      <c r="E168" s="102">
        <v>1.0</v>
      </c>
      <c r="F168" s="102">
        <v>1.0</v>
      </c>
      <c r="G168" s="102">
        <v>1.0</v>
      </c>
      <c r="H168" s="103"/>
      <c r="I168" s="103"/>
      <c r="J168" s="103"/>
      <c r="K168" s="103"/>
      <c r="L168" s="103"/>
      <c r="M168" s="104"/>
      <c r="N168" s="104"/>
      <c r="O168" s="104"/>
      <c r="P168" s="104"/>
      <c r="Q168" s="104"/>
      <c r="R168" s="104"/>
      <c r="S168" s="104"/>
      <c r="T168" s="104"/>
      <c r="U168" s="104"/>
      <c r="V168" s="104"/>
      <c r="W168" s="104"/>
      <c r="X168" s="104"/>
      <c r="Y168" s="104"/>
      <c r="Z168" s="104"/>
    </row>
    <row r="169">
      <c r="A169" s="103" t="s">
        <v>1291</v>
      </c>
      <c r="B169" s="103" t="s">
        <v>1411</v>
      </c>
      <c r="C169" s="103" t="s">
        <v>1427</v>
      </c>
      <c r="D169" s="103" t="s">
        <v>1428</v>
      </c>
      <c r="E169" s="103" t="s">
        <v>1429</v>
      </c>
      <c r="F169" s="103" t="s">
        <v>1430</v>
      </c>
      <c r="G169" s="103" t="s">
        <v>1431</v>
      </c>
      <c r="H169" s="103" t="s">
        <v>1423</v>
      </c>
      <c r="I169" s="103" t="s">
        <v>1423</v>
      </c>
      <c r="J169" s="103" t="s">
        <v>1432</v>
      </c>
      <c r="K169" s="103" t="s">
        <v>1413</v>
      </c>
      <c r="L169" s="103" t="s">
        <v>1433</v>
      </c>
      <c r="M169" s="104"/>
      <c r="N169" s="104"/>
      <c r="O169" s="104"/>
      <c r="P169" s="104"/>
      <c r="Q169" s="104"/>
      <c r="R169" s="104"/>
      <c r="S169" s="104"/>
      <c r="T169" s="104"/>
      <c r="U169" s="104"/>
      <c r="V169" s="104"/>
      <c r="W169" s="104"/>
      <c r="X169" s="104"/>
      <c r="Y169" s="104"/>
      <c r="Z169" s="104"/>
    </row>
    <row r="170">
      <c r="A170" s="103" t="s">
        <v>1281</v>
      </c>
      <c r="B170" s="103"/>
      <c r="C170" s="103"/>
      <c r="D170" s="102">
        <v>1.0</v>
      </c>
      <c r="E170" s="102">
        <v>1.0</v>
      </c>
      <c r="F170" s="102">
        <v>1.0</v>
      </c>
      <c r="G170" s="102">
        <v>1.0</v>
      </c>
      <c r="H170" s="103"/>
      <c r="I170" s="103"/>
      <c r="J170" s="103"/>
      <c r="K170" s="103"/>
      <c r="L170" s="103"/>
      <c r="M170" s="104"/>
      <c r="N170" s="104"/>
      <c r="O170" s="104"/>
      <c r="P170" s="104"/>
      <c r="Q170" s="104"/>
      <c r="R170" s="104"/>
      <c r="S170" s="104"/>
      <c r="T170" s="104"/>
      <c r="U170" s="104"/>
      <c r="V170" s="104"/>
      <c r="W170" s="104"/>
      <c r="X170" s="104"/>
      <c r="Y170" s="104"/>
      <c r="Z170" s="104"/>
    </row>
    <row r="171">
      <c r="A171" s="103" t="s">
        <v>1282</v>
      </c>
      <c r="B171" s="103"/>
      <c r="C171" s="103"/>
      <c r="D171" s="102">
        <v>1.0</v>
      </c>
      <c r="E171" s="102">
        <v>1.0</v>
      </c>
      <c r="F171" s="102">
        <v>1.0</v>
      </c>
      <c r="G171" s="102">
        <v>1.0</v>
      </c>
      <c r="H171" s="103"/>
      <c r="I171" s="103"/>
      <c r="J171" s="103"/>
      <c r="K171" s="103"/>
      <c r="L171" s="103"/>
      <c r="M171" s="104"/>
      <c r="N171" s="104"/>
      <c r="O171" s="104"/>
      <c r="P171" s="104"/>
      <c r="Q171" s="104"/>
      <c r="R171" s="104"/>
      <c r="S171" s="104"/>
      <c r="T171" s="104"/>
      <c r="U171" s="104"/>
      <c r="V171" s="104"/>
      <c r="W171" s="104"/>
      <c r="X171" s="104"/>
      <c r="Y171" s="104"/>
      <c r="Z171" s="104"/>
    </row>
    <row r="172">
      <c r="A172" s="103" t="s">
        <v>948</v>
      </c>
      <c r="B172" s="103"/>
      <c r="C172" s="103"/>
      <c r="D172" s="102">
        <v>1.0</v>
      </c>
      <c r="E172" s="102">
        <v>1.0</v>
      </c>
      <c r="F172" s="102">
        <v>0.0</v>
      </c>
      <c r="G172" s="102">
        <v>1.0</v>
      </c>
      <c r="H172" s="103"/>
      <c r="I172" s="103"/>
      <c r="J172" s="103"/>
      <c r="K172" s="103"/>
      <c r="L172" s="103"/>
      <c r="M172" s="104"/>
      <c r="N172" s="104"/>
      <c r="O172" s="104"/>
      <c r="P172" s="104"/>
      <c r="Q172" s="104"/>
      <c r="R172" s="104"/>
      <c r="S172" s="104"/>
      <c r="T172" s="104"/>
      <c r="U172" s="104"/>
      <c r="V172" s="104"/>
      <c r="W172" s="104"/>
      <c r="X172" s="104"/>
      <c r="Y172" s="104"/>
      <c r="Z172" s="104"/>
    </row>
    <row r="173">
      <c r="A173" s="103" t="s">
        <v>1283</v>
      </c>
      <c r="B173" s="103"/>
      <c r="C173" s="103"/>
      <c r="D173" s="102">
        <v>1.0</v>
      </c>
      <c r="E173" s="102">
        <v>1.0</v>
      </c>
      <c r="F173" s="102">
        <v>1.0</v>
      </c>
      <c r="G173" s="102">
        <v>1.0</v>
      </c>
      <c r="H173" s="103"/>
      <c r="I173" s="103"/>
      <c r="J173" s="103"/>
      <c r="K173" s="103"/>
      <c r="L173" s="103"/>
      <c r="M173" s="104"/>
      <c r="N173" s="104"/>
      <c r="O173" s="104"/>
      <c r="P173" s="104"/>
      <c r="Q173" s="104"/>
      <c r="R173" s="104"/>
      <c r="S173" s="104"/>
      <c r="T173" s="104"/>
      <c r="U173" s="104"/>
      <c r="V173" s="104"/>
      <c r="W173" s="104"/>
      <c r="X173" s="104"/>
      <c r="Y173" s="104"/>
      <c r="Z173" s="104"/>
    </row>
    <row r="174">
      <c r="A174" s="103" t="s">
        <v>950</v>
      </c>
      <c r="B174" s="103"/>
      <c r="C174" s="103"/>
      <c r="D174" s="102">
        <v>1.0</v>
      </c>
      <c r="E174" s="102">
        <v>1.0</v>
      </c>
      <c r="F174" s="102">
        <v>1.0</v>
      </c>
      <c r="G174" s="102">
        <v>1.0</v>
      </c>
      <c r="H174" s="103"/>
      <c r="I174" s="103"/>
      <c r="J174" s="103"/>
      <c r="K174" s="103"/>
      <c r="L174" s="103"/>
      <c r="M174" s="104"/>
      <c r="N174" s="104"/>
      <c r="O174" s="104"/>
      <c r="P174" s="104"/>
      <c r="Q174" s="104"/>
      <c r="R174" s="104"/>
      <c r="S174" s="104"/>
      <c r="T174" s="104"/>
      <c r="U174" s="104"/>
      <c r="V174" s="104"/>
      <c r="W174" s="104"/>
      <c r="X174" s="104"/>
      <c r="Y174" s="104"/>
      <c r="Z174" s="104"/>
    </row>
    <row r="175">
      <c r="A175" s="103" t="s">
        <v>951</v>
      </c>
      <c r="B175" s="103"/>
      <c r="C175" s="103"/>
      <c r="D175" s="102">
        <v>1.0</v>
      </c>
      <c r="E175" s="102">
        <v>1.0</v>
      </c>
      <c r="F175" s="102">
        <v>1.0</v>
      </c>
      <c r="G175" s="102">
        <v>1.0</v>
      </c>
      <c r="H175" s="103"/>
      <c r="I175" s="103"/>
      <c r="J175" s="103"/>
      <c r="K175" s="103"/>
      <c r="L175" s="103"/>
      <c r="M175" s="104"/>
      <c r="N175" s="104"/>
      <c r="O175" s="104"/>
      <c r="P175" s="104"/>
      <c r="Q175" s="104"/>
      <c r="R175" s="104"/>
      <c r="S175" s="104"/>
      <c r="T175" s="104"/>
      <c r="U175" s="104"/>
      <c r="V175" s="104"/>
      <c r="W175" s="104"/>
      <c r="X175" s="104"/>
      <c r="Y175" s="104"/>
      <c r="Z175" s="104"/>
    </row>
    <row r="176">
      <c r="A176" s="103" t="s">
        <v>952</v>
      </c>
      <c r="B176" s="103"/>
      <c r="C176" s="103"/>
      <c r="D176" s="102">
        <v>1.0</v>
      </c>
      <c r="E176" s="102">
        <v>1.0</v>
      </c>
      <c r="F176" s="102">
        <v>1.0</v>
      </c>
      <c r="G176" s="102">
        <v>1.0</v>
      </c>
      <c r="H176" s="103"/>
      <c r="I176" s="103"/>
      <c r="J176" s="103"/>
      <c r="K176" s="103"/>
      <c r="L176" s="103"/>
      <c r="M176" s="104"/>
      <c r="N176" s="104"/>
      <c r="O176" s="104"/>
      <c r="P176" s="104"/>
      <c r="Q176" s="104"/>
      <c r="R176" s="104"/>
      <c r="S176" s="104"/>
      <c r="T176" s="104"/>
      <c r="U176" s="104"/>
      <c r="V176" s="104"/>
      <c r="W176" s="104"/>
      <c r="X176" s="104"/>
      <c r="Y176" s="104"/>
      <c r="Z176" s="104"/>
    </row>
    <row r="177">
      <c r="A177" s="97" t="s">
        <v>1272</v>
      </c>
      <c r="B177" s="97"/>
      <c r="C177" s="97"/>
      <c r="D177" s="5" t="s">
        <v>1065</v>
      </c>
      <c r="E177" s="5" t="s">
        <v>1066</v>
      </c>
      <c r="F177" s="5" t="s">
        <v>1067</v>
      </c>
      <c r="G177" s="5" t="s">
        <v>1068</v>
      </c>
      <c r="H177" s="97"/>
      <c r="I177" s="97"/>
      <c r="J177" s="97"/>
      <c r="K177" s="97"/>
      <c r="L177" s="97"/>
    </row>
    <row r="178">
      <c r="A178" s="108" t="s">
        <v>1273</v>
      </c>
      <c r="B178" s="97" t="s">
        <v>1434</v>
      </c>
      <c r="C178" s="97" t="s">
        <v>1435</v>
      </c>
      <c r="D178" s="97" t="s">
        <v>1436</v>
      </c>
      <c r="E178" s="97" t="s">
        <v>1437</v>
      </c>
      <c r="F178" s="97" t="s">
        <v>1438</v>
      </c>
      <c r="G178" s="97" t="s">
        <v>1439</v>
      </c>
      <c r="H178" s="97" t="s">
        <v>1440</v>
      </c>
      <c r="I178" s="97" t="s">
        <v>1441</v>
      </c>
      <c r="J178" s="97" t="s">
        <v>1442</v>
      </c>
      <c r="K178" s="97" t="s">
        <v>1443</v>
      </c>
      <c r="L178" s="97" t="s">
        <v>1444</v>
      </c>
    </row>
    <row r="179">
      <c r="A179" s="97" t="s">
        <v>1281</v>
      </c>
      <c r="B179" s="97"/>
      <c r="C179" s="97"/>
      <c r="D179" s="107">
        <v>1.0</v>
      </c>
      <c r="E179" s="107">
        <v>0.0</v>
      </c>
      <c r="F179" s="107">
        <v>0.0</v>
      </c>
      <c r="G179" s="107">
        <v>0.0</v>
      </c>
      <c r="H179" s="97"/>
      <c r="I179" s="97"/>
      <c r="J179" s="97"/>
      <c r="K179" s="97"/>
      <c r="L179" s="97"/>
    </row>
    <row r="180">
      <c r="A180" s="97" t="s">
        <v>1282</v>
      </c>
      <c r="B180" s="97"/>
      <c r="C180" s="97"/>
      <c r="D180" s="107">
        <v>1.0</v>
      </c>
      <c r="E180" s="107">
        <v>1.0</v>
      </c>
      <c r="F180" s="107">
        <v>0.0</v>
      </c>
      <c r="G180" s="107">
        <v>0.0</v>
      </c>
      <c r="H180" s="97"/>
      <c r="I180" s="97"/>
      <c r="J180" s="97"/>
      <c r="K180" s="97"/>
      <c r="L180" s="97"/>
    </row>
    <row r="181">
      <c r="A181" s="97" t="s">
        <v>948</v>
      </c>
      <c r="B181" s="97"/>
      <c r="C181" s="97"/>
      <c r="D181" s="107">
        <v>1.0</v>
      </c>
      <c r="E181" s="107">
        <v>1.0</v>
      </c>
      <c r="F181" s="107">
        <v>1.0</v>
      </c>
      <c r="G181" s="107">
        <v>1.0</v>
      </c>
      <c r="H181" s="97"/>
      <c r="I181" s="97"/>
      <c r="J181" s="97"/>
      <c r="K181" s="97"/>
      <c r="L181" s="97"/>
    </row>
    <row r="182">
      <c r="A182" s="97" t="s">
        <v>1283</v>
      </c>
      <c r="B182" s="97"/>
      <c r="C182" s="97"/>
      <c r="D182" s="107">
        <v>1.0</v>
      </c>
      <c r="E182" s="107">
        <v>1.0</v>
      </c>
      <c r="F182" s="107">
        <v>1.0</v>
      </c>
      <c r="G182" s="107">
        <v>1.0</v>
      </c>
      <c r="H182" s="97"/>
      <c r="I182" s="97"/>
      <c r="J182" s="97"/>
      <c r="K182" s="97"/>
      <c r="L182" s="97"/>
    </row>
    <row r="183">
      <c r="A183" s="97" t="s">
        <v>950</v>
      </c>
      <c r="B183" s="97"/>
      <c r="C183" s="97"/>
      <c r="D183" s="107">
        <v>1.0</v>
      </c>
      <c r="E183" s="107">
        <v>1.0</v>
      </c>
      <c r="F183" s="107">
        <v>1.0</v>
      </c>
      <c r="G183" s="107">
        <v>0.0</v>
      </c>
      <c r="H183" s="97"/>
      <c r="I183" s="97"/>
      <c r="J183" s="97"/>
      <c r="K183" s="97"/>
      <c r="L183" s="97"/>
    </row>
    <row r="184">
      <c r="A184" s="97" t="s">
        <v>951</v>
      </c>
      <c r="B184" s="97"/>
      <c r="C184" s="97"/>
      <c r="D184" s="107">
        <v>1.0</v>
      </c>
      <c r="E184" s="107">
        <v>1.0</v>
      </c>
      <c r="F184" s="107">
        <v>0.0</v>
      </c>
      <c r="G184" s="107">
        <v>1.0</v>
      </c>
      <c r="H184" s="97"/>
      <c r="I184" s="97"/>
      <c r="J184" s="97"/>
      <c r="K184" s="97"/>
      <c r="L184" s="97"/>
    </row>
    <row r="185">
      <c r="A185" s="97" t="s">
        <v>952</v>
      </c>
      <c r="B185" s="97"/>
      <c r="C185" s="97"/>
      <c r="D185" s="107">
        <v>1.0</v>
      </c>
      <c r="E185" s="107">
        <v>1.0</v>
      </c>
      <c r="F185" s="107">
        <v>1.0</v>
      </c>
      <c r="G185" s="107">
        <v>1.0</v>
      </c>
      <c r="H185" s="97"/>
      <c r="I185" s="97"/>
      <c r="J185" s="97"/>
      <c r="K185" s="97"/>
      <c r="L185" s="97"/>
    </row>
    <row r="186">
      <c r="A186" s="106" t="s">
        <v>1284</v>
      </c>
      <c r="B186" s="97" t="s">
        <v>1434</v>
      </c>
      <c r="C186" s="97" t="s">
        <v>1445</v>
      </c>
      <c r="D186" s="97" t="s">
        <v>1446</v>
      </c>
      <c r="E186" s="97" t="s">
        <v>1447</v>
      </c>
      <c r="F186" s="97" t="s">
        <v>1448</v>
      </c>
      <c r="G186" s="97" t="s">
        <v>1449</v>
      </c>
      <c r="H186" s="97" t="s">
        <v>1450</v>
      </c>
      <c r="I186" s="97" t="s">
        <v>1451</v>
      </c>
      <c r="J186" s="97" t="s">
        <v>1452</v>
      </c>
      <c r="K186" s="97" t="s">
        <v>1332</v>
      </c>
      <c r="L186" s="97" t="s">
        <v>1021</v>
      </c>
    </row>
    <row r="187">
      <c r="A187" s="97" t="s">
        <v>1281</v>
      </c>
      <c r="B187" s="97"/>
      <c r="C187" s="97"/>
      <c r="D187" s="107">
        <v>1.0</v>
      </c>
      <c r="E187" s="107">
        <v>1.0</v>
      </c>
      <c r="F187" s="107">
        <v>0.0</v>
      </c>
      <c r="G187" s="107">
        <v>1.0</v>
      </c>
      <c r="H187" s="97"/>
      <c r="I187" s="97"/>
      <c r="J187" s="97"/>
      <c r="K187" s="97"/>
      <c r="L187" s="97"/>
    </row>
    <row r="188">
      <c r="A188" s="97" t="s">
        <v>1282</v>
      </c>
      <c r="B188" s="97"/>
      <c r="C188" s="97"/>
      <c r="D188" s="107">
        <v>1.0</v>
      </c>
      <c r="E188" s="107">
        <v>1.0</v>
      </c>
      <c r="F188" s="107">
        <v>0.0</v>
      </c>
      <c r="G188" s="107">
        <v>1.0</v>
      </c>
      <c r="H188" s="97"/>
      <c r="I188" s="97"/>
      <c r="J188" s="97"/>
      <c r="K188" s="97"/>
      <c r="L188" s="97"/>
    </row>
    <row r="189">
      <c r="A189" s="97" t="s">
        <v>948</v>
      </c>
      <c r="B189" s="97"/>
      <c r="C189" s="97"/>
      <c r="D189" s="107">
        <v>1.0</v>
      </c>
      <c r="E189" s="107">
        <v>1.0</v>
      </c>
      <c r="F189" s="107">
        <v>0.0</v>
      </c>
      <c r="G189" s="107">
        <v>1.0</v>
      </c>
      <c r="H189" s="97"/>
      <c r="I189" s="97"/>
      <c r="J189" s="97"/>
      <c r="K189" s="97"/>
      <c r="L189" s="97"/>
    </row>
    <row r="190">
      <c r="A190" s="97" t="s">
        <v>1283</v>
      </c>
      <c r="B190" s="97"/>
      <c r="C190" s="97"/>
      <c r="D190" s="107">
        <v>1.0</v>
      </c>
      <c r="E190" s="107">
        <v>1.0</v>
      </c>
      <c r="F190" s="107">
        <v>1.0</v>
      </c>
      <c r="G190" s="107">
        <v>1.0</v>
      </c>
      <c r="H190" s="97"/>
      <c r="I190" s="97"/>
      <c r="J190" s="97"/>
      <c r="K190" s="97"/>
      <c r="L190" s="97"/>
    </row>
    <row r="191">
      <c r="A191" s="97" t="s">
        <v>950</v>
      </c>
      <c r="B191" s="97"/>
      <c r="C191" s="97"/>
      <c r="D191" s="107">
        <v>1.0</v>
      </c>
      <c r="E191" s="107">
        <v>1.0</v>
      </c>
      <c r="F191" s="107">
        <v>1.0</v>
      </c>
      <c r="G191" s="107">
        <v>1.0</v>
      </c>
      <c r="H191" s="97"/>
      <c r="I191" s="97"/>
      <c r="J191" s="97"/>
      <c r="K191" s="97"/>
      <c r="L191" s="97"/>
    </row>
    <row r="192">
      <c r="A192" s="97" t="s">
        <v>951</v>
      </c>
      <c r="B192" s="97"/>
      <c r="C192" s="97"/>
      <c r="D192" s="107">
        <v>1.0</v>
      </c>
      <c r="E192" s="107">
        <v>1.0</v>
      </c>
      <c r="F192" s="107">
        <v>0.0</v>
      </c>
      <c r="G192" s="107">
        <v>1.0</v>
      </c>
      <c r="H192" s="97"/>
      <c r="I192" s="97"/>
      <c r="J192" s="97"/>
      <c r="K192" s="97"/>
      <c r="L192" s="97"/>
    </row>
    <row r="193">
      <c r="A193" s="97" t="s">
        <v>952</v>
      </c>
      <c r="B193" s="97"/>
      <c r="C193" s="97"/>
      <c r="D193" s="107">
        <v>1.0</v>
      </c>
      <c r="E193" s="107">
        <v>1.0</v>
      </c>
      <c r="F193" s="107">
        <v>1.0</v>
      </c>
      <c r="G193" s="107">
        <v>1.0</v>
      </c>
      <c r="H193" s="97"/>
      <c r="I193" s="97"/>
      <c r="J193" s="97"/>
      <c r="K193" s="97"/>
      <c r="L193" s="97"/>
    </row>
    <row r="194">
      <c r="A194" s="97" t="s">
        <v>1291</v>
      </c>
      <c r="B194" s="97" t="s">
        <v>1434</v>
      </c>
      <c r="C194" s="97" t="s">
        <v>1453</v>
      </c>
      <c r="D194" s="97" t="s">
        <v>1454</v>
      </c>
      <c r="E194" s="97" t="s">
        <v>1455</v>
      </c>
      <c r="F194" s="97" t="s">
        <v>1456</v>
      </c>
      <c r="G194" s="97" t="s">
        <v>1457</v>
      </c>
      <c r="H194" s="97" t="s">
        <v>1297</v>
      </c>
      <c r="I194" s="97" t="s">
        <v>1423</v>
      </c>
      <c r="J194" s="97" t="s">
        <v>1458</v>
      </c>
      <c r="K194" s="97" t="s">
        <v>1459</v>
      </c>
      <c r="L194" s="97" t="s">
        <v>1460</v>
      </c>
    </row>
    <row r="195">
      <c r="A195" s="97" t="s">
        <v>1281</v>
      </c>
      <c r="B195" s="97"/>
      <c r="C195" s="97"/>
      <c r="D195" s="107">
        <v>1.0</v>
      </c>
      <c r="E195" s="107">
        <v>1.0</v>
      </c>
      <c r="F195" s="107">
        <v>0.0</v>
      </c>
      <c r="G195" s="107">
        <v>0.0</v>
      </c>
      <c r="H195" s="97"/>
      <c r="I195" s="97"/>
      <c r="J195" s="97"/>
      <c r="K195" s="97"/>
      <c r="L195" s="97"/>
    </row>
    <row r="196">
      <c r="A196" s="97" t="s">
        <v>1282</v>
      </c>
      <c r="B196" s="97"/>
      <c r="C196" s="97"/>
      <c r="D196" s="107">
        <v>1.0</v>
      </c>
      <c r="E196" s="107">
        <v>1.0</v>
      </c>
      <c r="F196" s="107">
        <v>0.0</v>
      </c>
      <c r="G196" s="107">
        <v>1.0</v>
      </c>
      <c r="H196" s="97"/>
      <c r="I196" s="97"/>
      <c r="J196" s="97"/>
      <c r="K196" s="97"/>
      <c r="L196" s="97"/>
    </row>
    <row r="197">
      <c r="A197" s="97" t="s">
        <v>948</v>
      </c>
      <c r="B197" s="97"/>
      <c r="C197" s="97"/>
      <c r="D197" s="107">
        <v>1.0</v>
      </c>
      <c r="E197" s="107">
        <v>1.0</v>
      </c>
      <c r="F197" s="107">
        <v>1.0</v>
      </c>
      <c r="G197" s="107">
        <v>1.0</v>
      </c>
      <c r="H197" s="97"/>
      <c r="I197" s="97"/>
      <c r="J197" s="97"/>
      <c r="K197" s="97"/>
      <c r="L197" s="97"/>
    </row>
    <row r="198">
      <c r="A198" s="97" t="s">
        <v>1283</v>
      </c>
      <c r="B198" s="97"/>
      <c r="C198" s="97"/>
      <c r="D198" s="107">
        <v>1.0</v>
      </c>
      <c r="E198" s="107">
        <v>1.0</v>
      </c>
      <c r="F198" s="107">
        <v>1.0</v>
      </c>
      <c r="G198" s="107">
        <v>1.0</v>
      </c>
      <c r="H198" s="97"/>
      <c r="I198" s="97"/>
      <c r="J198" s="97"/>
      <c r="K198" s="97"/>
      <c r="L198" s="97"/>
    </row>
    <row r="199">
      <c r="A199" s="97" t="s">
        <v>950</v>
      </c>
      <c r="B199" s="97"/>
      <c r="C199" s="97"/>
      <c r="D199" s="107">
        <v>1.0</v>
      </c>
      <c r="E199" s="107">
        <v>1.0</v>
      </c>
      <c r="F199" s="107">
        <v>1.0</v>
      </c>
      <c r="G199" s="107">
        <v>0.0</v>
      </c>
      <c r="H199" s="97"/>
      <c r="I199" s="97"/>
      <c r="J199" s="97"/>
      <c r="K199" s="97"/>
      <c r="L199" s="97"/>
    </row>
    <row r="200">
      <c r="A200" s="97" t="s">
        <v>951</v>
      </c>
      <c r="B200" s="97"/>
      <c r="C200" s="97"/>
      <c r="D200" s="107">
        <v>1.0</v>
      </c>
      <c r="E200" s="107">
        <v>1.0</v>
      </c>
      <c r="F200" s="107">
        <v>1.0</v>
      </c>
      <c r="G200" s="107">
        <v>1.0</v>
      </c>
      <c r="H200" s="97"/>
      <c r="I200" s="97"/>
      <c r="J200" s="97"/>
      <c r="K200" s="97"/>
      <c r="L200" s="97"/>
    </row>
    <row r="201">
      <c r="A201" s="97" t="s">
        <v>952</v>
      </c>
      <c r="B201" s="97"/>
      <c r="C201" s="97"/>
      <c r="D201" s="107">
        <v>1.0</v>
      </c>
      <c r="E201" s="107">
        <v>1.0</v>
      </c>
      <c r="F201" s="107">
        <v>1.0</v>
      </c>
      <c r="G201" s="107">
        <v>1.0</v>
      </c>
      <c r="H201" s="97"/>
      <c r="I201" s="97"/>
      <c r="J201" s="97"/>
      <c r="K201" s="97"/>
      <c r="L201" s="97"/>
    </row>
    <row r="202">
      <c r="A202" s="103" t="s">
        <v>1272</v>
      </c>
      <c r="B202" s="103"/>
      <c r="C202" s="103"/>
      <c r="D202" s="59" t="s">
        <v>1074</v>
      </c>
      <c r="E202" s="59" t="s">
        <v>1075</v>
      </c>
      <c r="F202" s="59" t="s">
        <v>1076</v>
      </c>
      <c r="G202" s="59" t="s">
        <v>1077</v>
      </c>
      <c r="H202" s="103"/>
      <c r="I202" s="103"/>
      <c r="J202" s="103"/>
      <c r="K202" s="103"/>
      <c r="L202" s="103"/>
      <c r="M202" s="104"/>
      <c r="N202" s="104"/>
      <c r="O202" s="104"/>
      <c r="P202" s="104"/>
      <c r="Q202" s="104"/>
      <c r="R202" s="104"/>
      <c r="S202" s="104"/>
      <c r="T202" s="104"/>
      <c r="U202" s="104"/>
      <c r="V202" s="104"/>
      <c r="W202" s="104"/>
      <c r="X202" s="104"/>
      <c r="Y202" s="104"/>
      <c r="Z202" s="104"/>
    </row>
    <row r="203">
      <c r="A203" s="108" t="s">
        <v>1273</v>
      </c>
      <c r="B203" s="103" t="s">
        <v>1461</v>
      </c>
      <c r="C203" s="103" t="s">
        <v>1462</v>
      </c>
      <c r="D203" s="103" t="s">
        <v>1463</v>
      </c>
      <c r="E203" s="103" t="s">
        <v>1464</v>
      </c>
      <c r="F203" s="103" t="s">
        <v>1465</v>
      </c>
      <c r="G203" s="103" t="s">
        <v>1079</v>
      </c>
      <c r="H203" s="103" t="s">
        <v>1466</v>
      </c>
      <c r="I203" s="103" t="s">
        <v>1463</v>
      </c>
      <c r="J203" s="103" t="s">
        <v>1467</v>
      </c>
      <c r="K203" s="103" t="s">
        <v>1468</v>
      </c>
      <c r="L203" s="103" t="s">
        <v>1079</v>
      </c>
      <c r="M203" s="104"/>
      <c r="N203" s="104"/>
      <c r="O203" s="104"/>
      <c r="P203" s="104"/>
      <c r="Q203" s="104"/>
      <c r="R203" s="104"/>
      <c r="S203" s="104"/>
      <c r="T203" s="104"/>
      <c r="U203" s="104"/>
      <c r="V203" s="104"/>
      <c r="W203" s="104"/>
      <c r="X203" s="104"/>
      <c r="Y203" s="104"/>
      <c r="Z203" s="104"/>
    </row>
    <row r="204">
      <c r="A204" s="103" t="s">
        <v>1281</v>
      </c>
      <c r="B204" s="103"/>
      <c r="C204" s="103"/>
      <c r="D204" s="102">
        <v>1.0</v>
      </c>
      <c r="E204" s="102">
        <v>0.0</v>
      </c>
      <c r="F204" s="102">
        <v>1.0</v>
      </c>
      <c r="G204" s="102">
        <v>1.0</v>
      </c>
      <c r="H204" s="103"/>
      <c r="I204" s="103"/>
      <c r="J204" s="103"/>
      <c r="K204" s="103"/>
      <c r="L204" s="103"/>
      <c r="M204" s="104"/>
      <c r="N204" s="104"/>
      <c r="O204" s="104"/>
      <c r="P204" s="104"/>
      <c r="Q204" s="104"/>
      <c r="R204" s="104"/>
      <c r="S204" s="104"/>
      <c r="T204" s="104"/>
      <c r="U204" s="104"/>
      <c r="V204" s="104"/>
      <c r="W204" s="104"/>
      <c r="X204" s="104"/>
      <c r="Y204" s="104"/>
      <c r="Z204" s="104"/>
    </row>
    <row r="205">
      <c r="A205" s="103" t="s">
        <v>1282</v>
      </c>
      <c r="B205" s="103"/>
      <c r="C205" s="103"/>
      <c r="D205" s="102">
        <v>1.0</v>
      </c>
      <c r="E205" s="102">
        <v>1.0</v>
      </c>
      <c r="F205" s="102">
        <v>1.0</v>
      </c>
      <c r="G205" s="102">
        <v>1.0</v>
      </c>
      <c r="H205" s="103"/>
      <c r="I205" s="103"/>
      <c r="J205" s="103"/>
      <c r="K205" s="103"/>
      <c r="L205" s="103"/>
      <c r="M205" s="104"/>
      <c r="N205" s="104"/>
      <c r="O205" s="104"/>
      <c r="P205" s="104"/>
      <c r="Q205" s="104"/>
      <c r="R205" s="104"/>
      <c r="S205" s="104"/>
      <c r="T205" s="104"/>
      <c r="U205" s="104"/>
      <c r="V205" s="104"/>
      <c r="W205" s="104"/>
      <c r="X205" s="104"/>
      <c r="Y205" s="104"/>
      <c r="Z205" s="104"/>
    </row>
    <row r="206">
      <c r="A206" s="103" t="s">
        <v>948</v>
      </c>
      <c r="B206" s="103"/>
      <c r="C206" s="103"/>
      <c r="D206" s="102">
        <v>1.0</v>
      </c>
      <c r="E206" s="102">
        <v>0.0</v>
      </c>
      <c r="F206" s="102">
        <v>1.0</v>
      </c>
      <c r="G206" s="102">
        <v>1.0</v>
      </c>
      <c r="H206" s="103"/>
      <c r="I206" s="103"/>
      <c r="J206" s="103"/>
      <c r="K206" s="103"/>
      <c r="L206" s="103"/>
      <c r="M206" s="104"/>
      <c r="N206" s="104"/>
      <c r="O206" s="104"/>
      <c r="P206" s="104"/>
      <c r="Q206" s="104"/>
      <c r="R206" s="104"/>
      <c r="S206" s="104"/>
      <c r="T206" s="104"/>
      <c r="U206" s="104"/>
      <c r="V206" s="104"/>
      <c r="W206" s="104"/>
      <c r="X206" s="104"/>
      <c r="Y206" s="104"/>
      <c r="Z206" s="104"/>
    </row>
    <row r="207">
      <c r="A207" s="103" t="s">
        <v>1283</v>
      </c>
      <c r="B207" s="103"/>
      <c r="C207" s="103"/>
      <c r="D207" s="102">
        <v>1.0</v>
      </c>
      <c r="E207" s="102">
        <v>1.0</v>
      </c>
      <c r="F207" s="102">
        <v>1.0</v>
      </c>
      <c r="G207" s="102">
        <v>1.0</v>
      </c>
      <c r="H207" s="103"/>
      <c r="I207" s="103"/>
      <c r="J207" s="103"/>
      <c r="K207" s="103"/>
      <c r="L207" s="103"/>
      <c r="M207" s="104"/>
      <c r="N207" s="104"/>
      <c r="O207" s="104"/>
      <c r="P207" s="104"/>
      <c r="Q207" s="104"/>
      <c r="R207" s="104"/>
      <c r="S207" s="104"/>
      <c r="T207" s="104"/>
      <c r="U207" s="104"/>
      <c r="V207" s="104"/>
      <c r="W207" s="104"/>
      <c r="X207" s="104"/>
      <c r="Y207" s="104"/>
      <c r="Z207" s="104"/>
    </row>
    <row r="208">
      <c r="A208" s="103" t="s">
        <v>950</v>
      </c>
      <c r="B208" s="103"/>
      <c r="C208" s="103"/>
      <c r="D208" s="102">
        <v>1.0</v>
      </c>
      <c r="E208" s="102">
        <v>1.0</v>
      </c>
      <c r="F208" s="102">
        <v>1.0</v>
      </c>
      <c r="G208" s="102">
        <v>1.0</v>
      </c>
      <c r="H208" s="103"/>
      <c r="I208" s="103"/>
      <c r="J208" s="103"/>
      <c r="K208" s="103"/>
      <c r="L208" s="103"/>
      <c r="M208" s="104"/>
      <c r="N208" s="104"/>
      <c r="O208" s="104"/>
      <c r="P208" s="104"/>
      <c r="Q208" s="104"/>
      <c r="R208" s="104"/>
      <c r="S208" s="104"/>
      <c r="T208" s="104"/>
      <c r="U208" s="104"/>
      <c r="V208" s="104"/>
      <c r="W208" s="104"/>
      <c r="X208" s="104"/>
      <c r="Y208" s="104"/>
      <c r="Z208" s="104"/>
    </row>
    <row r="209">
      <c r="A209" s="103" t="s">
        <v>951</v>
      </c>
      <c r="B209" s="103"/>
      <c r="C209" s="103"/>
      <c r="D209" s="102">
        <v>1.0</v>
      </c>
      <c r="E209" s="102">
        <v>1.0</v>
      </c>
      <c r="F209" s="102">
        <v>1.0</v>
      </c>
      <c r="G209" s="102">
        <v>1.0</v>
      </c>
      <c r="H209" s="103"/>
      <c r="I209" s="103"/>
      <c r="J209" s="103"/>
      <c r="K209" s="103"/>
      <c r="L209" s="103"/>
      <c r="M209" s="104"/>
      <c r="N209" s="104"/>
      <c r="O209" s="104"/>
      <c r="P209" s="104"/>
      <c r="Q209" s="104"/>
      <c r="R209" s="104"/>
      <c r="S209" s="104"/>
      <c r="T209" s="104"/>
      <c r="U209" s="104"/>
      <c r="V209" s="104"/>
      <c r="W209" s="104"/>
      <c r="X209" s="104"/>
      <c r="Y209" s="104"/>
      <c r="Z209" s="104"/>
    </row>
    <row r="210">
      <c r="A210" s="103" t="s">
        <v>952</v>
      </c>
      <c r="B210" s="103"/>
      <c r="C210" s="103"/>
      <c r="D210" s="102">
        <v>1.0</v>
      </c>
      <c r="E210" s="102">
        <v>1.0</v>
      </c>
      <c r="F210" s="102">
        <v>1.0</v>
      </c>
      <c r="G210" s="102">
        <v>1.0</v>
      </c>
      <c r="H210" s="103"/>
      <c r="I210" s="103"/>
      <c r="J210" s="103"/>
      <c r="K210" s="103"/>
      <c r="L210" s="103"/>
      <c r="M210" s="104"/>
      <c r="N210" s="104"/>
      <c r="O210" s="104"/>
      <c r="P210" s="104"/>
      <c r="Q210" s="104"/>
      <c r="R210" s="104"/>
      <c r="S210" s="104"/>
      <c r="T210" s="104"/>
      <c r="U210" s="104"/>
      <c r="V210" s="104"/>
      <c r="W210" s="104"/>
      <c r="X210" s="104"/>
      <c r="Y210" s="104"/>
      <c r="Z210" s="104"/>
    </row>
    <row r="211">
      <c r="A211" s="106" t="s">
        <v>1284</v>
      </c>
      <c r="B211" s="103" t="s">
        <v>1461</v>
      </c>
      <c r="C211" s="103" t="s">
        <v>1469</v>
      </c>
      <c r="D211" s="103" t="s">
        <v>1470</v>
      </c>
      <c r="E211" s="103" t="s">
        <v>1471</v>
      </c>
      <c r="F211" s="103" t="s">
        <v>1472</v>
      </c>
      <c r="G211" s="103" t="s">
        <v>1473</v>
      </c>
      <c r="H211" s="103" t="s">
        <v>1474</v>
      </c>
      <c r="I211" s="103" t="s">
        <v>1423</v>
      </c>
      <c r="J211" s="103" t="s">
        <v>1475</v>
      </c>
      <c r="K211" s="103" t="s">
        <v>1476</v>
      </c>
      <c r="L211" s="103" t="s">
        <v>1079</v>
      </c>
      <c r="M211" s="104"/>
      <c r="N211" s="104"/>
      <c r="O211" s="104"/>
      <c r="P211" s="104"/>
      <c r="Q211" s="104"/>
      <c r="R211" s="104"/>
      <c r="S211" s="104"/>
      <c r="T211" s="104"/>
      <c r="U211" s="104"/>
      <c r="V211" s="104"/>
      <c r="W211" s="104"/>
      <c r="X211" s="104"/>
      <c r="Y211" s="104"/>
      <c r="Z211" s="104"/>
    </row>
    <row r="212">
      <c r="A212" s="103" t="s">
        <v>1281</v>
      </c>
      <c r="B212" s="103"/>
      <c r="C212" s="103"/>
      <c r="D212" s="102">
        <v>1.0</v>
      </c>
      <c r="E212" s="102">
        <v>1.0</v>
      </c>
      <c r="F212" s="102">
        <v>1.0</v>
      </c>
      <c r="G212" s="102">
        <v>1.0</v>
      </c>
      <c r="H212" s="103"/>
      <c r="I212" s="103"/>
      <c r="J212" s="103"/>
      <c r="K212" s="103"/>
      <c r="L212" s="103"/>
      <c r="M212" s="104"/>
      <c r="N212" s="104"/>
      <c r="O212" s="104"/>
      <c r="P212" s="104"/>
      <c r="Q212" s="104"/>
      <c r="R212" s="104"/>
      <c r="S212" s="104"/>
      <c r="T212" s="104"/>
      <c r="U212" s="104"/>
      <c r="V212" s="104"/>
      <c r="W212" s="104"/>
      <c r="X212" s="104"/>
      <c r="Y212" s="104"/>
      <c r="Z212" s="104"/>
    </row>
    <row r="213">
      <c r="A213" s="103" t="s">
        <v>1282</v>
      </c>
      <c r="B213" s="103"/>
      <c r="C213" s="103"/>
      <c r="D213" s="102">
        <v>1.0</v>
      </c>
      <c r="E213" s="102">
        <v>1.0</v>
      </c>
      <c r="F213" s="102">
        <v>1.0</v>
      </c>
      <c r="G213" s="102">
        <v>1.0</v>
      </c>
      <c r="H213" s="103"/>
      <c r="I213" s="103"/>
      <c r="J213" s="103"/>
      <c r="K213" s="103"/>
      <c r="L213" s="103"/>
      <c r="M213" s="104"/>
      <c r="N213" s="104"/>
      <c r="O213" s="104"/>
      <c r="P213" s="104"/>
      <c r="Q213" s="104"/>
      <c r="R213" s="104"/>
      <c r="S213" s="104"/>
      <c r="T213" s="104"/>
      <c r="U213" s="104"/>
      <c r="V213" s="104"/>
      <c r="W213" s="104"/>
      <c r="X213" s="104"/>
      <c r="Y213" s="104"/>
      <c r="Z213" s="104"/>
    </row>
    <row r="214">
      <c r="A214" s="103" t="s">
        <v>948</v>
      </c>
      <c r="B214" s="103"/>
      <c r="C214" s="103"/>
      <c r="D214" s="102">
        <v>1.0</v>
      </c>
      <c r="E214" s="102">
        <v>1.0</v>
      </c>
      <c r="F214" s="102">
        <v>1.0</v>
      </c>
      <c r="G214" s="102">
        <v>1.0</v>
      </c>
      <c r="H214" s="103"/>
      <c r="I214" s="103"/>
      <c r="J214" s="103"/>
      <c r="K214" s="103"/>
      <c r="L214" s="103"/>
      <c r="M214" s="104"/>
      <c r="N214" s="104"/>
      <c r="O214" s="104"/>
      <c r="P214" s="104"/>
      <c r="Q214" s="104"/>
      <c r="R214" s="104"/>
      <c r="S214" s="104"/>
      <c r="T214" s="104"/>
      <c r="U214" s="104"/>
      <c r="V214" s="104"/>
      <c r="W214" s="104"/>
      <c r="X214" s="104"/>
      <c r="Y214" s="104"/>
      <c r="Z214" s="104"/>
    </row>
    <row r="215">
      <c r="A215" s="103" t="s">
        <v>1283</v>
      </c>
      <c r="B215" s="103"/>
      <c r="C215" s="103"/>
      <c r="D215" s="102">
        <v>1.0</v>
      </c>
      <c r="E215" s="102">
        <v>1.0</v>
      </c>
      <c r="F215" s="102">
        <v>1.0</v>
      </c>
      <c r="G215" s="102">
        <v>1.0</v>
      </c>
      <c r="H215" s="103"/>
      <c r="I215" s="103"/>
      <c r="J215" s="103"/>
      <c r="K215" s="103"/>
      <c r="L215" s="103"/>
      <c r="M215" s="104"/>
      <c r="N215" s="104"/>
      <c r="O215" s="104"/>
      <c r="P215" s="104"/>
      <c r="Q215" s="104"/>
      <c r="R215" s="104"/>
      <c r="S215" s="104"/>
      <c r="T215" s="104"/>
      <c r="U215" s="104"/>
      <c r="V215" s="104"/>
      <c r="W215" s="104"/>
      <c r="X215" s="104"/>
      <c r="Y215" s="104"/>
      <c r="Z215" s="104"/>
    </row>
    <row r="216">
      <c r="A216" s="103" t="s">
        <v>950</v>
      </c>
      <c r="B216" s="103"/>
      <c r="C216" s="103"/>
      <c r="D216" s="102">
        <v>1.0</v>
      </c>
      <c r="E216" s="102">
        <v>1.0</v>
      </c>
      <c r="F216" s="102">
        <v>1.0</v>
      </c>
      <c r="G216" s="102">
        <v>1.0</v>
      </c>
      <c r="H216" s="103"/>
      <c r="I216" s="103"/>
      <c r="J216" s="103"/>
      <c r="K216" s="103"/>
      <c r="L216" s="103"/>
      <c r="M216" s="104"/>
      <c r="N216" s="104"/>
      <c r="O216" s="104"/>
      <c r="P216" s="104"/>
      <c r="Q216" s="104"/>
      <c r="R216" s="104"/>
      <c r="S216" s="104"/>
      <c r="T216" s="104"/>
      <c r="U216" s="104"/>
      <c r="V216" s="104"/>
      <c r="W216" s="104"/>
      <c r="X216" s="104"/>
      <c r="Y216" s="104"/>
      <c r="Z216" s="104"/>
    </row>
    <row r="217">
      <c r="A217" s="103" t="s">
        <v>951</v>
      </c>
      <c r="B217" s="103"/>
      <c r="C217" s="103"/>
      <c r="D217" s="102">
        <v>1.0</v>
      </c>
      <c r="E217" s="102">
        <v>1.0</v>
      </c>
      <c r="F217" s="102">
        <v>1.0</v>
      </c>
      <c r="G217" s="102">
        <v>1.0</v>
      </c>
      <c r="H217" s="103"/>
      <c r="I217" s="103"/>
      <c r="J217" s="103"/>
      <c r="K217" s="103"/>
      <c r="L217" s="103"/>
      <c r="M217" s="104"/>
      <c r="N217" s="104"/>
      <c r="O217" s="104"/>
      <c r="P217" s="104"/>
      <c r="Q217" s="104"/>
      <c r="R217" s="104"/>
      <c r="S217" s="104"/>
      <c r="T217" s="104"/>
      <c r="U217" s="104"/>
      <c r="V217" s="104"/>
      <c r="W217" s="104"/>
      <c r="X217" s="104"/>
      <c r="Y217" s="104"/>
      <c r="Z217" s="104"/>
    </row>
    <row r="218">
      <c r="A218" s="103" t="s">
        <v>952</v>
      </c>
      <c r="B218" s="103"/>
      <c r="C218" s="103"/>
      <c r="D218" s="102">
        <v>1.0</v>
      </c>
      <c r="E218" s="102">
        <v>1.0</v>
      </c>
      <c r="F218" s="102">
        <v>1.0</v>
      </c>
      <c r="G218" s="102">
        <v>1.0</v>
      </c>
      <c r="H218" s="103"/>
      <c r="I218" s="103"/>
      <c r="J218" s="103"/>
      <c r="K218" s="103"/>
      <c r="L218" s="103"/>
      <c r="M218" s="104"/>
      <c r="N218" s="104"/>
      <c r="O218" s="104"/>
      <c r="P218" s="104"/>
      <c r="Q218" s="104"/>
      <c r="R218" s="104"/>
      <c r="S218" s="104"/>
      <c r="T218" s="104"/>
      <c r="U218" s="104"/>
      <c r="V218" s="104"/>
      <c r="W218" s="104"/>
      <c r="X218" s="104"/>
      <c r="Y218" s="104"/>
      <c r="Z218" s="104"/>
    </row>
    <row r="219">
      <c r="A219" s="103" t="s">
        <v>1291</v>
      </c>
      <c r="B219" s="103" t="s">
        <v>1461</v>
      </c>
      <c r="C219" s="103" t="s">
        <v>1477</v>
      </c>
      <c r="D219" s="103" t="s">
        <v>1477</v>
      </c>
      <c r="E219" s="103" t="s">
        <v>1478</v>
      </c>
      <c r="F219" s="103" t="s">
        <v>1479</v>
      </c>
      <c r="G219" s="103" t="s">
        <v>1480</v>
      </c>
      <c r="H219" s="103" t="s">
        <v>1297</v>
      </c>
      <c r="I219" s="103" t="s">
        <v>1297</v>
      </c>
      <c r="J219" s="103" t="s">
        <v>1481</v>
      </c>
      <c r="K219" s="103" t="s">
        <v>1476</v>
      </c>
      <c r="L219" s="103" t="s">
        <v>1079</v>
      </c>
      <c r="M219" s="104"/>
      <c r="N219" s="104"/>
      <c r="O219" s="104"/>
      <c r="P219" s="104"/>
      <c r="Q219" s="104"/>
      <c r="R219" s="104"/>
      <c r="S219" s="104"/>
      <c r="T219" s="104"/>
      <c r="U219" s="104"/>
      <c r="V219" s="104"/>
      <c r="W219" s="104"/>
      <c r="X219" s="104"/>
      <c r="Y219" s="104"/>
      <c r="Z219" s="104"/>
    </row>
    <row r="220">
      <c r="A220" s="103" t="s">
        <v>1281</v>
      </c>
      <c r="B220" s="103"/>
      <c r="C220" s="103"/>
      <c r="D220" s="102">
        <v>1.0</v>
      </c>
      <c r="E220" s="102">
        <v>1.0</v>
      </c>
      <c r="F220" s="102">
        <v>1.0</v>
      </c>
      <c r="G220" s="102">
        <v>1.0</v>
      </c>
      <c r="H220" s="103"/>
      <c r="I220" s="103"/>
      <c r="J220" s="103"/>
      <c r="K220" s="103"/>
      <c r="L220" s="103"/>
      <c r="M220" s="104"/>
      <c r="N220" s="104"/>
      <c r="O220" s="104"/>
      <c r="P220" s="104"/>
      <c r="Q220" s="104"/>
      <c r="R220" s="104"/>
      <c r="S220" s="104"/>
      <c r="T220" s="104"/>
      <c r="U220" s="104"/>
      <c r="V220" s="104"/>
      <c r="W220" s="104"/>
      <c r="X220" s="104"/>
      <c r="Y220" s="104"/>
      <c r="Z220" s="104"/>
    </row>
    <row r="221">
      <c r="A221" s="103" t="s">
        <v>1282</v>
      </c>
      <c r="B221" s="103"/>
      <c r="C221" s="103"/>
      <c r="D221" s="102">
        <v>1.0</v>
      </c>
      <c r="E221" s="102">
        <v>1.0</v>
      </c>
      <c r="F221" s="102">
        <v>1.0</v>
      </c>
      <c r="G221" s="102">
        <v>1.0</v>
      </c>
      <c r="H221" s="103"/>
      <c r="I221" s="103"/>
      <c r="J221" s="103"/>
      <c r="K221" s="103"/>
      <c r="L221" s="103"/>
      <c r="M221" s="104"/>
      <c r="N221" s="104"/>
      <c r="O221" s="104"/>
      <c r="P221" s="104"/>
      <c r="Q221" s="104"/>
      <c r="R221" s="104"/>
      <c r="S221" s="104"/>
      <c r="T221" s="104"/>
      <c r="U221" s="104"/>
      <c r="V221" s="104"/>
      <c r="W221" s="104"/>
      <c r="X221" s="104"/>
      <c r="Y221" s="104"/>
      <c r="Z221" s="104"/>
    </row>
    <row r="222">
      <c r="A222" s="103" t="s">
        <v>948</v>
      </c>
      <c r="B222" s="103"/>
      <c r="C222" s="103"/>
      <c r="D222" s="102">
        <v>1.0</v>
      </c>
      <c r="E222" s="102">
        <v>1.0</v>
      </c>
      <c r="F222" s="102">
        <v>1.0</v>
      </c>
      <c r="G222" s="102">
        <v>1.0</v>
      </c>
      <c r="H222" s="103"/>
      <c r="I222" s="103"/>
      <c r="J222" s="103"/>
      <c r="K222" s="103"/>
      <c r="L222" s="103"/>
      <c r="M222" s="104"/>
      <c r="N222" s="104"/>
      <c r="O222" s="104"/>
      <c r="P222" s="104"/>
      <c r="Q222" s="104"/>
      <c r="R222" s="104"/>
      <c r="S222" s="104"/>
      <c r="T222" s="104"/>
      <c r="U222" s="104"/>
      <c r="V222" s="104"/>
      <c r="W222" s="104"/>
      <c r="X222" s="104"/>
      <c r="Y222" s="104"/>
      <c r="Z222" s="104"/>
    </row>
    <row r="223">
      <c r="A223" s="103" t="s">
        <v>1283</v>
      </c>
      <c r="B223" s="103"/>
      <c r="C223" s="103"/>
      <c r="D223" s="102">
        <v>1.0</v>
      </c>
      <c r="E223" s="102">
        <v>1.0</v>
      </c>
      <c r="F223" s="102">
        <v>1.0</v>
      </c>
      <c r="G223" s="102">
        <v>1.0</v>
      </c>
      <c r="H223" s="103"/>
      <c r="I223" s="103"/>
      <c r="J223" s="103"/>
      <c r="K223" s="103"/>
      <c r="L223" s="103"/>
      <c r="M223" s="104"/>
      <c r="N223" s="104"/>
      <c r="O223" s="104"/>
      <c r="P223" s="104"/>
      <c r="Q223" s="104"/>
      <c r="R223" s="104"/>
      <c r="S223" s="104"/>
      <c r="T223" s="104"/>
      <c r="U223" s="104"/>
      <c r="V223" s="104"/>
      <c r="W223" s="104"/>
      <c r="X223" s="104"/>
      <c r="Y223" s="104"/>
      <c r="Z223" s="104"/>
    </row>
    <row r="224">
      <c r="A224" s="103" t="s">
        <v>950</v>
      </c>
      <c r="B224" s="103"/>
      <c r="C224" s="103"/>
      <c r="D224" s="102">
        <v>1.0</v>
      </c>
      <c r="E224" s="102">
        <v>1.0</v>
      </c>
      <c r="F224" s="102">
        <v>1.0</v>
      </c>
      <c r="G224" s="102">
        <v>1.0</v>
      </c>
      <c r="H224" s="103"/>
      <c r="I224" s="103"/>
      <c r="J224" s="103"/>
      <c r="K224" s="103"/>
      <c r="L224" s="103"/>
      <c r="M224" s="104"/>
      <c r="N224" s="104"/>
      <c r="O224" s="104"/>
      <c r="P224" s="104"/>
      <c r="Q224" s="104"/>
      <c r="R224" s="104"/>
      <c r="S224" s="104"/>
      <c r="T224" s="104"/>
      <c r="U224" s="104"/>
      <c r="V224" s="104"/>
      <c r="W224" s="104"/>
      <c r="X224" s="104"/>
      <c r="Y224" s="104"/>
      <c r="Z224" s="104"/>
    </row>
    <row r="225">
      <c r="A225" s="103" t="s">
        <v>951</v>
      </c>
      <c r="B225" s="103"/>
      <c r="C225" s="103"/>
      <c r="D225" s="102">
        <v>1.0</v>
      </c>
      <c r="E225" s="102">
        <v>1.0</v>
      </c>
      <c r="F225" s="102">
        <v>1.0</v>
      </c>
      <c r="G225" s="102">
        <v>1.0</v>
      </c>
      <c r="H225" s="103"/>
      <c r="I225" s="103"/>
      <c r="J225" s="103"/>
      <c r="K225" s="103"/>
      <c r="L225" s="103"/>
      <c r="M225" s="104"/>
      <c r="N225" s="104"/>
      <c r="O225" s="104"/>
      <c r="P225" s="104"/>
      <c r="Q225" s="104"/>
      <c r="R225" s="104"/>
      <c r="S225" s="104"/>
      <c r="T225" s="104"/>
      <c r="U225" s="104"/>
      <c r="V225" s="104"/>
      <c r="W225" s="104"/>
      <c r="X225" s="104"/>
      <c r="Y225" s="104"/>
      <c r="Z225" s="104"/>
    </row>
    <row r="226">
      <c r="A226" s="103" t="s">
        <v>952</v>
      </c>
      <c r="B226" s="103"/>
      <c r="C226" s="103"/>
      <c r="D226" s="102">
        <v>1.0</v>
      </c>
      <c r="E226" s="102">
        <v>1.0</v>
      </c>
      <c r="F226" s="102">
        <v>1.0</v>
      </c>
      <c r="G226" s="102">
        <v>1.0</v>
      </c>
      <c r="H226" s="103"/>
      <c r="I226" s="103"/>
      <c r="J226" s="103"/>
      <c r="K226" s="103"/>
      <c r="L226" s="103"/>
      <c r="M226" s="104"/>
      <c r="N226" s="104"/>
      <c r="O226" s="104"/>
      <c r="P226" s="104"/>
      <c r="Q226" s="104"/>
      <c r="R226" s="104"/>
      <c r="S226" s="104"/>
      <c r="T226" s="104"/>
      <c r="U226" s="104"/>
      <c r="V226" s="104"/>
      <c r="W226" s="104"/>
      <c r="X226" s="104"/>
      <c r="Y226" s="104"/>
      <c r="Z226" s="104"/>
    </row>
    <row r="227">
      <c r="A227" s="97" t="s">
        <v>1272</v>
      </c>
      <c r="B227" s="97"/>
      <c r="C227" s="97"/>
      <c r="D227" s="5" t="s">
        <v>1482</v>
      </c>
      <c r="E227" s="5" t="s">
        <v>1483</v>
      </c>
      <c r="F227" s="5" t="s">
        <v>1087</v>
      </c>
      <c r="G227" s="5" t="s">
        <v>1032</v>
      </c>
      <c r="H227" s="97"/>
      <c r="I227" s="97"/>
      <c r="J227" s="97"/>
      <c r="K227" s="97"/>
      <c r="L227" s="97"/>
    </row>
    <row r="228">
      <c r="A228" s="108" t="s">
        <v>1273</v>
      </c>
      <c r="B228" s="97" t="s">
        <v>1484</v>
      </c>
      <c r="C228" s="97" t="s">
        <v>1485</v>
      </c>
      <c r="D228" s="97" t="s">
        <v>1486</v>
      </c>
      <c r="E228" s="97" t="s">
        <v>1487</v>
      </c>
      <c r="F228" s="97" t="s">
        <v>1332</v>
      </c>
      <c r="G228" s="97" t="s">
        <v>1032</v>
      </c>
      <c r="H228" s="97" t="s">
        <v>1488</v>
      </c>
      <c r="I228" s="97" t="s">
        <v>1489</v>
      </c>
      <c r="J228" s="97" t="s">
        <v>1490</v>
      </c>
      <c r="K228" s="97" t="s">
        <v>1332</v>
      </c>
      <c r="L228" s="97" t="s">
        <v>1032</v>
      </c>
    </row>
    <row r="229">
      <c r="A229" s="97" t="s">
        <v>1281</v>
      </c>
      <c r="B229" s="97"/>
      <c r="C229" s="97"/>
      <c r="D229" s="107">
        <v>1.0</v>
      </c>
      <c r="E229" s="107">
        <v>1.0</v>
      </c>
      <c r="F229" s="107">
        <v>1.0</v>
      </c>
      <c r="G229" s="107">
        <v>1.0</v>
      </c>
      <c r="H229" s="97"/>
      <c r="I229" s="97"/>
      <c r="J229" s="97"/>
      <c r="K229" s="97"/>
      <c r="L229" s="97"/>
    </row>
    <row r="230">
      <c r="A230" s="97" t="s">
        <v>1282</v>
      </c>
      <c r="B230" s="97"/>
      <c r="C230" s="97"/>
      <c r="D230" s="107">
        <v>1.0</v>
      </c>
      <c r="E230" s="107">
        <v>1.0</v>
      </c>
      <c r="F230" s="107">
        <v>1.0</v>
      </c>
      <c r="G230" s="107">
        <v>1.0</v>
      </c>
      <c r="H230" s="97"/>
      <c r="I230" s="97"/>
      <c r="J230" s="97"/>
      <c r="K230" s="97"/>
      <c r="L230" s="97"/>
    </row>
    <row r="231">
      <c r="A231" s="97" t="s">
        <v>948</v>
      </c>
      <c r="B231" s="97"/>
      <c r="C231" s="97"/>
      <c r="D231" s="107">
        <v>1.0</v>
      </c>
      <c r="E231" s="107">
        <v>0.0</v>
      </c>
      <c r="F231" s="107">
        <v>0.0</v>
      </c>
      <c r="G231" s="107">
        <v>1.0</v>
      </c>
      <c r="H231" s="97"/>
      <c r="I231" s="97"/>
      <c r="J231" s="97"/>
      <c r="K231" s="97"/>
      <c r="L231" s="97"/>
    </row>
    <row r="232">
      <c r="A232" s="97" t="s">
        <v>1283</v>
      </c>
      <c r="B232" s="97"/>
      <c r="C232" s="97"/>
      <c r="D232" s="107">
        <v>1.0</v>
      </c>
      <c r="E232" s="107">
        <v>1.0</v>
      </c>
      <c r="F232" s="107">
        <v>1.0</v>
      </c>
      <c r="G232" s="107">
        <v>1.0</v>
      </c>
      <c r="H232" s="97"/>
      <c r="I232" s="97"/>
      <c r="J232" s="97"/>
      <c r="K232" s="97"/>
      <c r="L232" s="97"/>
    </row>
    <row r="233">
      <c r="A233" s="97" t="s">
        <v>950</v>
      </c>
      <c r="B233" s="97"/>
      <c r="C233" s="97"/>
      <c r="D233" s="107">
        <v>1.0</v>
      </c>
      <c r="E233" s="107">
        <v>1.0</v>
      </c>
      <c r="F233" s="107">
        <v>1.0</v>
      </c>
      <c r="G233" s="107">
        <v>1.0</v>
      </c>
      <c r="H233" s="97"/>
      <c r="I233" s="97"/>
      <c r="J233" s="97"/>
      <c r="K233" s="97"/>
      <c r="L233" s="97"/>
    </row>
    <row r="234">
      <c r="A234" s="97" t="s">
        <v>951</v>
      </c>
      <c r="B234" s="97"/>
      <c r="C234" s="97"/>
      <c r="D234" s="107">
        <v>1.0</v>
      </c>
      <c r="E234" s="107">
        <v>1.0</v>
      </c>
      <c r="F234" s="107">
        <v>1.0</v>
      </c>
      <c r="G234" s="107">
        <v>1.0</v>
      </c>
      <c r="H234" s="97"/>
      <c r="I234" s="97"/>
      <c r="J234" s="97"/>
      <c r="K234" s="97"/>
      <c r="L234" s="97"/>
    </row>
    <row r="235">
      <c r="A235" s="97" t="s">
        <v>952</v>
      </c>
      <c r="B235" s="97"/>
      <c r="C235" s="97"/>
      <c r="D235" s="107">
        <v>1.0</v>
      </c>
      <c r="E235" s="107">
        <v>1.0</v>
      </c>
      <c r="F235" s="107">
        <v>1.0</v>
      </c>
      <c r="G235" s="107">
        <v>1.0</v>
      </c>
      <c r="H235" s="97"/>
      <c r="I235" s="97"/>
      <c r="J235" s="97"/>
      <c r="K235" s="97"/>
      <c r="L235" s="97"/>
    </row>
    <row r="236">
      <c r="A236" s="106" t="s">
        <v>1284</v>
      </c>
      <c r="B236" s="97" t="s">
        <v>1484</v>
      </c>
      <c r="C236" s="97" t="s">
        <v>1491</v>
      </c>
      <c r="D236" s="97" t="s">
        <v>1492</v>
      </c>
      <c r="E236" s="97" t="s">
        <v>1493</v>
      </c>
      <c r="F236" s="97" t="s">
        <v>1494</v>
      </c>
      <c r="G236" s="97" t="s">
        <v>1495</v>
      </c>
      <c r="H236" s="97" t="s">
        <v>1488</v>
      </c>
      <c r="I236" s="97" t="s">
        <v>1489</v>
      </c>
      <c r="J236" s="97" t="s">
        <v>1496</v>
      </c>
      <c r="K236" s="97" t="s">
        <v>1497</v>
      </c>
      <c r="L236" s="97" t="s">
        <v>1498</v>
      </c>
    </row>
    <row r="237">
      <c r="A237" s="97" t="s">
        <v>1281</v>
      </c>
      <c r="B237" s="97"/>
      <c r="C237" s="97"/>
      <c r="D237" s="107">
        <v>1.0</v>
      </c>
      <c r="E237" s="107">
        <v>1.0</v>
      </c>
      <c r="F237" s="107">
        <v>0.0</v>
      </c>
      <c r="G237" s="107">
        <v>1.0</v>
      </c>
      <c r="H237" s="97"/>
      <c r="I237" s="97"/>
      <c r="J237" s="97"/>
      <c r="K237" s="97"/>
      <c r="L237" s="97"/>
    </row>
    <row r="238">
      <c r="A238" s="97" t="s">
        <v>1282</v>
      </c>
      <c r="B238" s="97"/>
      <c r="C238" s="97"/>
      <c r="D238" s="107">
        <v>1.0</v>
      </c>
      <c r="E238" s="107">
        <v>1.0</v>
      </c>
      <c r="F238" s="107">
        <v>0.0</v>
      </c>
      <c r="G238" s="107">
        <v>1.0</v>
      </c>
      <c r="H238" s="97"/>
      <c r="I238" s="97"/>
      <c r="J238" s="97"/>
      <c r="K238" s="97"/>
      <c r="L238" s="97"/>
    </row>
    <row r="239">
      <c r="A239" s="97" t="s">
        <v>948</v>
      </c>
      <c r="B239" s="97"/>
      <c r="C239" s="97"/>
      <c r="D239" s="107">
        <v>1.0</v>
      </c>
      <c r="E239" s="107">
        <v>1.0</v>
      </c>
      <c r="F239" s="107">
        <v>0.0</v>
      </c>
      <c r="G239" s="107">
        <v>1.0</v>
      </c>
      <c r="H239" s="97"/>
      <c r="I239" s="97"/>
      <c r="J239" s="97"/>
      <c r="K239" s="97"/>
      <c r="L239" s="97"/>
    </row>
    <row r="240">
      <c r="A240" s="97" t="s">
        <v>1283</v>
      </c>
      <c r="B240" s="97"/>
      <c r="C240" s="97"/>
      <c r="D240" s="107">
        <v>1.0</v>
      </c>
      <c r="E240" s="107">
        <v>1.0</v>
      </c>
      <c r="F240" s="107">
        <v>1.0</v>
      </c>
      <c r="G240" s="107">
        <v>1.0</v>
      </c>
      <c r="H240" s="97"/>
      <c r="I240" s="97"/>
      <c r="J240" s="97"/>
      <c r="K240" s="97"/>
      <c r="L240" s="97"/>
    </row>
    <row r="241">
      <c r="A241" s="97" t="s">
        <v>950</v>
      </c>
      <c r="B241" s="97"/>
      <c r="C241" s="97"/>
      <c r="D241" s="107">
        <v>1.0</v>
      </c>
      <c r="E241" s="107">
        <v>1.0</v>
      </c>
      <c r="F241" s="107">
        <v>1.0</v>
      </c>
      <c r="G241" s="107">
        <v>1.0</v>
      </c>
      <c r="H241" s="97"/>
      <c r="I241" s="97"/>
      <c r="J241" s="97"/>
      <c r="K241" s="97"/>
      <c r="L241" s="97"/>
    </row>
    <row r="242">
      <c r="A242" s="97" t="s">
        <v>951</v>
      </c>
      <c r="B242" s="97"/>
      <c r="C242" s="97"/>
      <c r="D242" s="107">
        <v>1.0</v>
      </c>
      <c r="E242" s="107">
        <v>1.0</v>
      </c>
      <c r="F242" s="107">
        <v>0.0</v>
      </c>
      <c r="G242" s="107">
        <v>1.0</v>
      </c>
      <c r="H242" s="97"/>
      <c r="I242" s="97"/>
      <c r="J242" s="97"/>
      <c r="K242" s="97"/>
      <c r="L242" s="97"/>
    </row>
    <row r="243">
      <c r="A243" s="97" t="s">
        <v>952</v>
      </c>
      <c r="B243" s="97"/>
      <c r="C243" s="97"/>
      <c r="D243" s="107">
        <v>1.0</v>
      </c>
      <c r="E243" s="107">
        <v>1.0</v>
      </c>
      <c r="F243" s="107">
        <v>1.0</v>
      </c>
      <c r="G243" s="107">
        <v>1.0</v>
      </c>
      <c r="H243" s="97"/>
      <c r="I243" s="97"/>
      <c r="J243" s="97"/>
      <c r="K243" s="97"/>
      <c r="L243" s="97"/>
    </row>
    <row r="244">
      <c r="A244" s="97" t="s">
        <v>1291</v>
      </c>
      <c r="B244" s="97" t="s">
        <v>1484</v>
      </c>
      <c r="C244" s="97" t="s">
        <v>1499</v>
      </c>
      <c r="D244" s="97" t="s">
        <v>1500</v>
      </c>
      <c r="E244" s="97" t="s">
        <v>1501</v>
      </c>
      <c r="F244" s="97" t="s">
        <v>1502</v>
      </c>
      <c r="G244" s="97" t="s">
        <v>1503</v>
      </c>
      <c r="H244" s="97" t="s">
        <v>1489</v>
      </c>
      <c r="I244" s="97" t="s">
        <v>1504</v>
      </c>
      <c r="J244" s="97" t="s">
        <v>1505</v>
      </c>
      <c r="K244" s="97" t="s">
        <v>1332</v>
      </c>
      <c r="L244" s="97" t="s">
        <v>1032</v>
      </c>
    </row>
    <row r="245">
      <c r="A245" s="97" t="s">
        <v>1281</v>
      </c>
      <c r="B245" s="97"/>
      <c r="C245" s="97"/>
      <c r="D245" s="107">
        <v>1.0</v>
      </c>
      <c r="E245" s="107">
        <v>1.0</v>
      </c>
      <c r="F245" s="107">
        <v>1.0</v>
      </c>
      <c r="G245" s="107">
        <v>1.0</v>
      </c>
      <c r="H245" s="97"/>
      <c r="I245" s="97"/>
      <c r="J245" s="97"/>
      <c r="K245" s="97"/>
      <c r="L245" s="97"/>
    </row>
    <row r="246">
      <c r="A246" s="97" t="s">
        <v>1282</v>
      </c>
      <c r="B246" s="97"/>
      <c r="C246" s="97"/>
      <c r="D246" s="107">
        <v>1.0</v>
      </c>
      <c r="E246" s="107">
        <v>1.0</v>
      </c>
      <c r="F246" s="107">
        <v>1.0</v>
      </c>
      <c r="G246" s="107">
        <v>1.0</v>
      </c>
      <c r="H246" s="97"/>
      <c r="I246" s="97"/>
      <c r="J246" s="97"/>
      <c r="K246" s="97"/>
      <c r="L246" s="97"/>
    </row>
    <row r="247">
      <c r="A247" s="97" t="s">
        <v>948</v>
      </c>
      <c r="B247" s="97"/>
      <c r="C247" s="97"/>
      <c r="D247" s="107">
        <v>1.0</v>
      </c>
      <c r="E247" s="107">
        <v>1.0</v>
      </c>
      <c r="F247" s="107">
        <v>0.0</v>
      </c>
      <c r="G247" s="107">
        <v>1.0</v>
      </c>
      <c r="H247" s="97"/>
      <c r="I247" s="97"/>
      <c r="J247" s="97"/>
      <c r="K247" s="97"/>
      <c r="L247" s="97"/>
    </row>
    <row r="248">
      <c r="A248" s="97" t="s">
        <v>1283</v>
      </c>
      <c r="B248" s="97"/>
      <c r="C248" s="97"/>
      <c r="D248" s="107">
        <v>1.0</v>
      </c>
      <c r="E248" s="107">
        <v>1.0</v>
      </c>
      <c r="F248" s="107">
        <v>1.0</v>
      </c>
      <c r="G248" s="107">
        <v>1.0</v>
      </c>
      <c r="H248" s="97"/>
      <c r="I248" s="97"/>
      <c r="J248" s="97"/>
      <c r="K248" s="97"/>
      <c r="L248" s="97"/>
    </row>
    <row r="249">
      <c r="A249" s="97" t="s">
        <v>950</v>
      </c>
      <c r="B249" s="97"/>
      <c r="C249" s="97"/>
      <c r="D249" s="107">
        <v>1.0</v>
      </c>
      <c r="E249" s="107">
        <v>1.0</v>
      </c>
      <c r="F249" s="107">
        <v>1.0</v>
      </c>
      <c r="G249" s="107">
        <v>1.0</v>
      </c>
      <c r="H249" s="97"/>
      <c r="I249" s="97"/>
      <c r="J249" s="97"/>
      <c r="K249" s="97"/>
      <c r="L249" s="97"/>
    </row>
    <row r="250">
      <c r="A250" s="97" t="s">
        <v>951</v>
      </c>
      <c r="B250" s="97"/>
      <c r="C250" s="97"/>
      <c r="D250" s="107">
        <v>1.0</v>
      </c>
      <c r="E250" s="107">
        <v>1.0</v>
      </c>
      <c r="F250" s="107">
        <v>1.0</v>
      </c>
      <c r="G250" s="107">
        <v>1.0</v>
      </c>
      <c r="H250" s="97"/>
      <c r="I250" s="97"/>
      <c r="J250" s="97"/>
      <c r="K250" s="97"/>
      <c r="L250" s="97"/>
    </row>
    <row r="251">
      <c r="A251" s="97" t="s">
        <v>952</v>
      </c>
      <c r="B251" s="97"/>
      <c r="C251" s="97"/>
      <c r="D251" s="107">
        <v>1.0</v>
      </c>
      <c r="E251" s="107">
        <v>1.0</v>
      </c>
      <c r="F251" s="107">
        <v>1.0</v>
      </c>
      <c r="G251" s="107">
        <v>1.0</v>
      </c>
      <c r="H251" s="97"/>
      <c r="I251" s="97"/>
      <c r="J251" s="97"/>
      <c r="K251" s="97"/>
      <c r="L251" s="97"/>
    </row>
    <row r="252">
      <c r="A252" s="103" t="s">
        <v>1272</v>
      </c>
      <c r="B252" s="103"/>
      <c r="C252" s="103"/>
      <c r="D252" s="59" t="s">
        <v>1094</v>
      </c>
      <c r="E252" s="59" t="s">
        <v>1095</v>
      </c>
      <c r="F252" s="59" t="s">
        <v>1019</v>
      </c>
      <c r="G252" s="59" t="s">
        <v>1096</v>
      </c>
      <c r="H252" s="103"/>
      <c r="I252" s="103"/>
      <c r="J252" s="103"/>
      <c r="K252" s="103"/>
      <c r="L252" s="103"/>
      <c r="M252" s="104"/>
      <c r="N252" s="104"/>
      <c r="O252" s="104"/>
      <c r="P252" s="104"/>
      <c r="Q252" s="104"/>
      <c r="R252" s="104"/>
      <c r="S252" s="104"/>
      <c r="T252" s="104"/>
      <c r="U252" s="104"/>
      <c r="V252" s="104"/>
      <c r="W252" s="104"/>
      <c r="X252" s="104"/>
      <c r="Y252" s="104"/>
      <c r="Z252" s="104"/>
    </row>
    <row r="253">
      <c r="A253" s="108" t="s">
        <v>1273</v>
      </c>
      <c r="B253" s="103" t="s">
        <v>1506</v>
      </c>
      <c r="C253" s="103" t="s">
        <v>1507</v>
      </c>
      <c r="D253" s="103" t="s">
        <v>1508</v>
      </c>
      <c r="E253" s="103" t="s">
        <v>1509</v>
      </c>
      <c r="F253" s="103" t="s">
        <v>1332</v>
      </c>
      <c r="G253" s="103" t="s">
        <v>1510</v>
      </c>
      <c r="H253" s="103" t="s">
        <v>1297</v>
      </c>
      <c r="I253" s="103" t="s">
        <v>1511</v>
      </c>
      <c r="J253" s="103" t="s">
        <v>1512</v>
      </c>
      <c r="K253" s="103" t="s">
        <v>1332</v>
      </c>
      <c r="L253" s="103" t="s">
        <v>1513</v>
      </c>
      <c r="M253" s="104"/>
      <c r="N253" s="104"/>
      <c r="O253" s="104"/>
      <c r="P253" s="104"/>
      <c r="Q253" s="104"/>
      <c r="R253" s="104"/>
      <c r="S253" s="104"/>
      <c r="T253" s="104"/>
      <c r="U253" s="104"/>
      <c r="V253" s="104"/>
      <c r="W253" s="104"/>
      <c r="X253" s="104"/>
      <c r="Y253" s="104"/>
      <c r="Z253" s="104"/>
    </row>
    <row r="254">
      <c r="A254" s="103" t="s">
        <v>1281</v>
      </c>
      <c r="B254" s="103"/>
      <c r="C254" s="103"/>
      <c r="D254" s="102">
        <v>1.0</v>
      </c>
      <c r="E254" s="102">
        <v>1.0</v>
      </c>
      <c r="F254" s="102">
        <v>1.0</v>
      </c>
      <c r="G254" s="102">
        <v>1.0</v>
      </c>
      <c r="H254" s="103"/>
      <c r="I254" s="103"/>
      <c r="J254" s="103"/>
      <c r="K254" s="103"/>
      <c r="L254" s="103"/>
      <c r="M254" s="104"/>
      <c r="N254" s="104"/>
      <c r="O254" s="104"/>
      <c r="P254" s="104"/>
      <c r="Q254" s="104"/>
      <c r="R254" s="104"/>
      <c r="S254" s="104"/>
      <c r="T254" s="104"/>
      <c r="U254" s="104"/>
      <c r="V254" s="104"/>
      <c r="W254" s="104"/>
      <c r="X254" s="104"/>
      <c r="Y254" s="104"/>
      <c r="Z254" s="104"/>
    </row>
    <row r="255">
      <c r="A255" s="103" t="s">
        <v>1282</v>
      </c>
      <c r="B255" s="103"/>
      <c r="C255" s="103"/>
      <c r="D255" s="102">
        <v>1.0</v>
      </c>
      <c r="E255" s="102">
        <v>1.0</v>
      </c>
      <c r="F255" s="102">
        <v>1.0</v>
      </c>
      <c r="G255" s="102">
        <v>1.0</v>
      </c>
      <c r="H255" s="103"/>
      <c r="I255" s="103"/>
      <c r="J255" s="103"/>
      <c r="K255" s="103"/>
      <c r="L255" s="103"/>
      <c r="M255" s="104"/>
      <c r="N255" s="104"/>
      <c r="O255" s="104"/>
      <c r="P255" s="104"/>
      <c r="Q255" s="104"/>
      <c r="R255" s="104"/>
      <c r="S255" s="104"/>
      <c r="T255" s="104"/>
      <c r="U255" s="104"/>
      <c r="V255" s="104"/>
      <c r="W255" s="104"/>
      <c r="X255" s="104"/>
      <c r="Y255" s="104"/>
      <c r="Z255" s="104"/>
    </row>
    <row r="256">
      <c r="A256" s="103" t="s">
        <v>948</v>
      </c>
      <c r="B256" s="103"/>
      <c r="C256" s="103"/>
      <c r="D256" s="102">
        <v>1.0</v>
      </c>
      <c r="E256" s="102">
        <v>1.0</v>
      </c>
      <c r="F256" s="102">
        <v>1.0</v>
      </c>
      <c r="G256" s="102">
        <v>1.0</v>
      </c>
      <c r="H256" s="103"/>
      <c r="I256" s="103"/>
      <c r="J256" s="103"/>
      <c r="K256" s="103"/>
      <c r="L256" s="103"/>
      <c r="M256" s="104"/>
      <c r="N256" s="104"/>
      <c r="O256" s="104"/>
      <c r="P256" s="104"/>
      <c r="Q256" s="104"/>
      <c r="R256" s="104"/>
      <c r="S256" s="104"/>
      <c r="T256" s="104"/>
      <c r="U256" s="104"/>
      <c r="V256" s="104"/>
      <c r="W256" s="104"/>
      <c r="X256" s="104"/>
      <c r="Y256" s="104"/>
      <c r="Z256" s="104"/>
    </row>
    <row r="257">
      <c r="A257" s="103" t="s">
        <v>1283</v>
      </c>
      <c r="B257" s="103"/>
      <c r="C257" s="103"/>
      <c r="D257" s="102">
        <v>1.0</v>
      </c>
      <c r="E257" s="102">
        <v>1.0</v>
      </c>
      <c r="F257" s="102">
        <v>1.0</v>
      </c>
      <c r="G257" s="102">
        <v>1.0</v>
      </c>
      <c r="H257" s="103"/>
      <c r="I257" s="103"/>
      <c r="J257" s="103"/>
      <c r="K257" s="103"/>
      <c r="L257" s="103"/>
      <c r="M257" s="104"/>
      <c r="N257" s="104"/>
      <c r="O257" s="104"/>
      <c r="P257" s="104"/>
      <c r="Q257" s="104"/>
      <c r="R257" s="104"/>
      <c r="S257" s="104"/>
      <c r="T257" s="104"/>
      <c r="U257" s="104"/>
      <c r="V257" s="104"/>
      <c r="W257" s="104"/>
      <c r="X257" s="104"/>
      <c r="Y257" s="104"/>
      <c r="Z257" s="104"/>
    </row>
    <row r="258">
      <c r="A258" s="103" t="s">
        <v>950</v>
      </c>
      <c r="B258" s="103"/>
      <c r="C258" s="103"/>
      <c r="D258" s="102">
        <v>1.0</v>
      </c>
      <c r="E258" s="102">
        <v>1.0</v>
      </c>
      <c r="F258" s="102">
        <v>1.0</v>
      </c>
      <c r="G258" s="102">
        <v>1.0</v>
      </c>
      <c r="H258" s="103"/>
      <c r="I258" s="103"/>
      <c r="J258" s="103"/>
      <c r="K258" s="103"/>
      <c r="L258" s="103"/>
      <c r="M258" s="104"/>
      <c r="N258" s="104"/>
      <c r="O258" s="104"/>
      <c r="P258" s="104"/>
      <c r="Q258" s="104"/>
      <c r="R258" s="104"/>
      <c r="S258" s="104"/>
      <c r="T258" s="104"/>
      <c r="U258" s="104"/>
      <c r="V258" s="104"/>
      <c r="W258" s="104"/>
      <c r="X258" s="104"/>
      <c r="Y258" s="104"/>
      <c r="Z258" s="104"/>
    </row>
    <row r="259">
      <c r="A259" s="103" t="s">
        <v>951</v>
      </c>
      <c r="B259" s="103"/>
      <c r="C259" s="103"/>
      <c r="D259" s="102">
        <v>1.0</v>
      </c>
      <c r="E259" s="102">
        <v>1.0</v>
      </c>
      <c r="F259" s="102">
        <v>1.0</v>
      </c>
      <c r="G259" s="102">
        <v>1.0</v>
      </c>
      <c r="H259" s="103"/>
      <c r="I259" s="103"/>
      <c r="J259" s="103"/>
      <c r="K259" s="103"/>
      <c r="L259" s="103"/>
      <c r="M259" s="104"/>
      <c r="N259" s="104"/>
      <c r="O259" s="104"/>
      <c r="P259" s="104"/>
      <c r="Q259" s="104"/>
      <c r="R259" s="104"/>
      <c r="S259" s="104"/>
      <c r="T259" s="104"/>
      <c r="U259" s="104"/>
      <c r="V259" s="104"/>
      <c r="W259" s="104"/>
      <c r="X259" s="104"/>
      <c r="Y259" s="104"/>
      <c r="Z259" s="104"/>
    </row>
    <row r="260">
      <c r="A260" s="103" t="s">
        <v>952</v>
      </c>
      <c r="B260" s="103"/>
      <c r="C260" s="103"/>
      <c r="D260" s="102">
        <v>1.0</v>
      </c>
      <c r="E260" s="102">
        <v>1.0</v>
      </c>
      <c r="F260" s="102">
        <v>1.0</v>
      </c>
      <c r="G260" s="102">
        <v>1.0</v>
      </c>
      <c r="H260" s="103"/>
      <c r="I260" s="103"/>
      <c r="J260" s="103"/>
      <c r="K260" s="103"/>
      <c r="L260" s="103"/>
      <c r="M260" s="104"/>
      <c r="N260" s="104"/>
      <c r="O260" s="104"/>
      <c r="P260" s="104"/>
      <c r="Q260" s="104"/>
      <c r="R260" s="104"/>
      <c r="S260" s="104"/>
      <c r="T260" s="104"/>
      <c r="U260" s="104"/>
      <c r="V260" s="104"/>
      <c r="W260" s="104"/>
      <c r="X260" s="104"/>
      <c r="Y260" s="104"/>
      <c r="Z260" s="104"/>
    </row>
    <row r="261">
      <c r="A261" s="106" t="s">
        <v>1284</v>
      </c>
      <c r="B261" s="103" t="s">
        <v>1506</v>
      </c>
      <c r="C261" s="103" t="s">
        <v>1514</v>
      </c>
      <c r="D261" s="103" t="s">
        <v>1515</v>
      </c>
      <c r="E261" s="103" t="s">
        <v>1516</v>
      </c>
      <c r="F261" s="103" t="s">
        <v>1332</v>
      </c>
      <c r="G261" s="103" t="s">
        <v>1517</v>
      </c>
      <c r="H261" s="103" t="s">
        <v>1511</v>
      </c>
      <c r="I261" s="103" t="s">
        <v>1518</v>
      </c>
      <c r="J261" s="103" t="s">
        <v>1519</v>
      </c>
      <c r="K261" s="103" t="s">
        <v>1332</v>
      </c>
      <c r="L261" s="103" t="s">
        <v>1021</v>
      </c>
      <c r="M261" s="104"/>
      <c r="N261" s="104"/>
      <c r="O261" s="104"/>
      <c r="P261" s="104"/>
      <c r="Q261" s="104"/>
      <c r="R261" s="104"/>
      <c r="S261" s="104"/>
      <c r="T261" s="104"/>
      <c r="U261" s="104"/>
      <c r="V261" s="104"/>
      <c r="W261" s="104"/>
      <c r="X261" s="104"/>
      <c r="Y261" s="104"/>
      <c r="Z261" s="104"/>
    </row>
    <row r="262">
      <c r="A262" s="103" t="s">
        <v>1281</v>
      </c>
      <c r="B262" s="103"/>
      <c r="C262" s="103"/>
      <c r="D262" s="102">
        <v>1.0</v>
      </c>
      <c r="E262" s="102">
        <v>1.0</v>
      </c>
      <c r="F262" s="102">
        <v>1.0</v>
      </c>
      <c r="G262" s="102">
        <v>1.0</v>
      </c>
      <c r="H262" s="103"/>
      <c r="I262" s="103"/>
      <c r="J262" s="103"/>
      <c r="K262" s="103"/>
      <c r="L262" s="103"/>
      <c r="M262" s="104"/>
      <c r="N262" s="104"/>
      <c r="O262" s="104"/>
      <c r="P262" s="104"/>
      <c r="Q262" s="104"/>
      <c r="R262" s="104"/>
      <c r="S262" s="104"/>
      <c r="T262" s="104"/>
      <c r="U262" s="104"/>
      <c r="V262" s="104"/>
      <c r="W262" s="104"/>
      <c r="X262" s="104"/>
      <c r="Y262" s="104"/>
      <c r="Z262" s="104"/>
    </row>
    <row r="263">
      <c r="A263" s="103" t="s">
        <v>1282</v>
      </c>
      <c r="B263" s="103"/>
      <c r="C263" s="103"/>
      <c r="D263" s="102">
        <v>1.0</v>
      </c>
      <c r="E263" s="102">
        <v>1.0</v>
      </c>
      <c r="F263" s="102">
        <v>1.0</v>
      </c>
      <c r="G263" s="102">
        <v>1.0</v>
      </c>
      <c r="H263" s="103"/>
      <c r="I263" s="103"/>
      <c r="J263" s="103"/>
      <c r="K263" s="103"/>
      <c r="L263" s="103"/>
      <c r="M263" s="104"/>
      <c r="N263" s="104"/>
      <c r="O263" s="104"/>
      <c r="P263" s="104"/>
      <c r="Q263" s="104"/>
      <c r="R263" s="104"/>
      <c r="S263" s="104"/>
      <c r="T263" s="104"/>
      <c r="U263" s="104"/>
      <c r="V263" s="104"/>
      <c r="W263" s="104"/>
      <c r="X263" s="104"/>
      <c r="Y263" s="104"/>
      <c r="Z263" s="104"/>
    </row>
    <row r="264">
      <c r="A264" s="103" t="s">
        <v>948</v>
      </c>
      <c r="B264" s="103"/>
      <c r="C264" s="103"/>
      <c r="D264" s="102">
        <v>0.0</v>
      </c>
      <c r="E264" s="102">
        <v>1.0</v>
      </c>
      <c r="F264" s="102">
        <v>1.0</v>
      </c>
      <c r="G264" s="102">
        <v>1.0</v>
      </c>
      <c r="H264" s="103"/>
      <c r="I264" s="103"/>
      <c r="J264" s="103"/>
      <c r="K264" s="103"/>
      <c r="L264" s="103"/>
      <c r="M264" s="104"/>
      <c r="N264" s="104"/>
      <c r="O264" s="104"/>
      <c r="P264" s="104"/>
      <c r="Q264" s="104"/>
      <c r="R264" s="104"/>
      <c r="S264" s="104"/>
      <c r="T264" s="104"/>
      <c r="U264" s="104"/>
      <c r="V264" s="104"/>
      <c r="W264" s="104"/>
      <c r="X264" s="104"/>
      <c r="Y264" s="104"/>
      <c r="Z264" s="104"/>
    </row>
    <row r="265">
      <c r="A265" s="103" t="s">
        <v>1283</v>
      </c>
      <c r="B265" s="103"/>
      <c r="C265" s="103"/>
      <c r="D265" s="102">
        <v>1.0</v>
      </c>
      <c r="E265" s="102">
        <v>1.0</v>
      </c>
      <c r="F265" s="102">
        <v>1.0</v>
      </c>
      <c r="G265" s="102">
        <v>1.0</v>
      </c>
      <c r="H265" s="103"/>
      <c r="I265" s="103"/>
      <c r="J265" s="103"/>
      <c r="K265" s="103"/>
      <c r="L265" s="103"/>
      <c r="M265" s="104"/>
      <c r="N265" s="104"/>
      <c r="O265" s="104"/>
      <c r="P265" s="104"/>
      <c r="Q265" s="104"/>
      <c r="R265" s="104"/>
      <c r="S265" s="104"/>
      <c r="T265" s="104"/>
      <c r="U265" s="104"/>
      <c r="V265" s="104"/>
      <c r="W265" s="104"/>
      <c r="X265" s="104"/>
      <c r="Y265" s="104"/>
      <c r="Z265" s="104"/>
    </row>
    <row r="266">
      <c r="A266" s="103" t="s">
        <v>950</v>
      </c>
      <c r="B266" s="103"/>
      <c r="C266" s="103"/>
      <c r="D266" s="102">
        <v>1.0</v>
      </c>
      <c r="E266" s="102">
        <v>1.0</v>
      </c>
      <c r="F266" s="102">
        <v>1.0</v>
      </c>
      <c r="G266" s="102">
        <v>1.0</v>
      </c>
      <c r="H266" s="103"/>
      <c r="I266" s="103"/>
      <c r="J266" s="103"/>
      <c r="K266" s="103"/>
      <c r="L266" s="103"/>
      <c r="M266" s="104"/>
      <c r="N266" s="104"/>
      <c r="O266" s="104"/>
      <c r="P266" s="104"/>
      <c r="Q266" s="104"/>
      <c r="R266" s="104"/>
      <c r="S266" s="104"/>
      <c r="T266" s="104"/>
      <c r="U266" s="104"/>
      <c r="V266" s="104"/>
      <c r="W266" s="104"/>
      <c r="X266" s="104"/>
      <c r="Y266" s="104"/>
      <c r="Z266" s="104"/>
    </row>
    <row r="267">
      <c r="A267" s="103" t="s">
        <v>951</v>
      </c>
      <c r="B267" s="103"/>
      <c r="C267" s="103"/>
      <c r="D267" s="102">
        <v>1.0</v>
      </c>
      <c r="E267" s="102">
        <v>1.0</v>
      </c>
      <c r="F267" s="102">
        <v>1.0</v>
      </c>
      <c r="G267" s="102">
        <v>1.0</v>
      </c>
      <c r="H267" s="103"/>
      <c r="I267" s="103"/>
      <c r="J267" s="103"/>
      <c r="K267" s="103"/>
      <c r="L267" s="103"/>
      <c r="M267" s="104"/>
      <c r="N267" s="104"/>
      <c r="O267" s="104"/>
      <c r="P267" s="104"/>
      <c r="Q267" s="104"/>
      <c r="R267" s="104"/>
      <c r="S267" s="104"/>
      <c r="T267" s="104"/>
      <c r="U267" s="104"/>
      <c r="V267" s="104"/>
      <c r="W267" s="104"/>
      <c r="X267" s="104"/>
      <c r="Y267" s="104"/>
      <c r="Z267" s="104"/>
    </row>
    <row r="268">
      <c r="A268" s="103" t="s">
        <v>952</v>
      </c>
      <c r="B268" s="103"/>
      <c r="C268" s="103"/>
      <c r="D268" s="102">
        <v>1.0</v>
      </c>
      <c r="E268" s="102">
        <v>1.0</v>
      </c>
      <c r="F268" s="102">
        <v>1.0</v>
      </c>
      <c r="G268" s="102">
        <v>1.0</v>
      </c>
      <c r="H268" s="103"/>
      <c r="I268" s="103"/>
      <c r="J268" s="103"/>
      <c r="K268" s="103"/>
      <c r="L268" s="103"/>
      <c r="M268" s="104"/>
      <c r="N268" s="104"/>
      <c r="O268" s="104"/>
      <c r="P268" s="104"/>
      <c r="Q268" s="104"/>
      <c r="R268" s="104"/>
      <c r="S268" s="104"/>
      <c r="T268" s="104"/>
      <c r="U268" s="104"/>
      <c r="V268" s="104"/>
      <c r="W268" s="104"/>
      <c r="X268" s="104"/>
      <c r="Y268" s="104"/>
      <c r="Z268" s="104"/>
    </row>
    <row r="269">
      <c r="A269" s="103" t="s">
        <v>1291</v>
      </c>
      <c r="B269" s="103" t="s">
        <v>1506</v>
      </c>
      <c r="C269" s="103" t="s">
        <v>1520</v>
      </c>
      <c r="D269" s="103" t="s">
        <v>1521</v>
      </c>
      <c r="E269" s="103" t="s">
        <v>1522</v>
      </c>
      <c r="F269" s="103" t="s">
        <v>1523</v>
      </c>
      <c r="G269" s="103" t="s">
        <v>1524</v>
      </c>
      <c r="H269" s="103" t="s">
        <v>1511</v>
      </c>
      <c r="I269" s="103" t="s">
        <v>1525</v>
      </c>
      <c r="J269" s="103" t="s">
        <v>1526</v>
      </c>
      <c r="K269" s="103" t="s">
        <v>1332</v>
      </c>
      <c r="L269" s="103" t="s">
        <v>1527</v>
      </c>
      <c r="M269" s="104"/>
      <c r="N269" s="104"/>
      <c r="O269" s="104"/>
      <c r="P269" s="104"/>
      <c r="Q269" s="104"/>
      <c r="R269" s="104"/>
      <c r="S269" s="104"/>
      <c r="T269" s="104"/>
      <c r="U269" s="104"/>
      <c r="V269" s="104"/>
      <c r="W269" s="104"/>
      <c r="X269" s="104"/>
      <c r="Y269" s="104"/>
      <c r="Z269" s="104"/>
    </row>
    <row r="270">
      <c r="A270" s="103" t="s">
        <v>1281</v>
      </c>
      <c r="B270" s="103"/>
      <c r="C270" s="103"/>
      <c r="D270" s="102">
        <v>1.0</v>
      </c>
      <c r="E270" s="102">
        <v>1.0</v>
      </c>
      <c r="F270" s="102">
        <v>1.0</v>
      </c>
      <c r="G270" s="102">
        <v>1.0</v>
      </c>
      <c r="H270" s="103"/>
      <c r="I270" s="103"/>
      <c r="J270" s="103"/>
      <c r="K270" s="103"/>
      <c r="L270" s="103"/>
      <c r="M270" s="104"/>
      <c r="N270" s="104"/>
      <c r="O270" s="104"/>
      <c r="P270" s="104"/>
      <c r="Q270" s="104"/>
      <c r="R270" s="104"/>
      <c r="S270" s="104"/>
      <c r="T270" s="104"/>
      <c r="U270" s="104"/>
      <c r="V270" s="104"/>
      <c r="W270" s="104"/>
      <c r="X270" s="104"/>
      <c r="Y270" s="104"/>
      <c r="Z270" s="104"/>
    </row>
    <row r="271">
      <c r="A271" s="103" t="s">
        <v>1282</v>
      </c>
      <c r="B271" s="103"/>
      <c r="C271" s="103"/>
      <c r="D271" s="102">
        <v>1.0</v>
      </c>
      <c r="E271" s="102">
        <v>1.0</v>
      </c>
      <c r="F271" s="102">
        <v>1.0</v>
      </c>
      <c r="G271" s="102">
        <v>1.0</v>
      </c>
      <c r="H271" s="103"/>
      <c r="I271" s="103"/>
      <c r="J271" s="103"/>
      <c r="K271" s="103"/>
      <c r="L271" s="103"/>
      <c r="M271" s="104"/>
      <c r="N271" s="104"/>
      <c r="O271" s="104"/>
      <c r="P271" s="104"/>
      <c r="Q271" s="104"/>
      <c r="R271" s="104"/>
      <c r="S271" s="104"/>
      <c r="T271" s="104"/>
      <c r="U271" s="104"/>
      <c r="V271" s="104"/>
      <c r="W271" s="104"/>
      <c r="X271" s="104"/>
      <c r="Y271" s="104"/>
      <c r="Z271" s="104"/>
    </row>
    <row r="272">
      <c r="A272" s="103" t="s">
        <v>948</v>
      </c>
      <c r="B272" s="103"/>
      <c r="C272" s="103"/>
      <c r="D272" s="102">
        <v>1.0</v>
      </c>
      <c r="E272" s="102">
        <v>1.0</v>
      </c>
      <c r="F272" s="102">
        <v>1.0</v>
      </c>
      <c r="G272" s="102">
        <v>1.0</v>
      </c>
      <c r="H272" s="103"/>
      <c r="I272" s="103"/>
      <c r="J272" s="103"/>
      <c r="K272" s="103"/>
      <c r="L272" s="103"/>
      <c r="M272" s="104"/>
      <c r="N272" s="104"/>
      <c r="O272" s="104"/>
      <c r="P272" s="104"/>
      <c r="Q272" s="104"/>
      <c r="R272" s="104"/>
      <c r="S272" s="104"/>
      <c r="T272" s="104"/>
      <c r="U272" s="104"/>
      <c r="V272" s="104"/>
      <c r="W272" s="104"/>
      <c r="X272" s="104"/>
      <c r="Y272" s="104"/>
      <c r="Z272" s="104"/>
    </row>
    <row r="273">
      <c r="A273" s="103" t="s">
        <v>1283</v>
      </c>
      <c r="B273" s="103"/>
      <c r="C273" s="103"/>
      <c r="D273" s="102">
        <v>1.0</v>
      </c>
      <c r="E273" s="102">
        <v>1.0</v>
      </c>
      <c r="F273" s="102">
        <v>1.0</v>
      </c>
      <c r="G273" s="102">
        <v>1.0</v>
      </c>
      <c r="H273" s="103"/>
      <c r="I273" s="103"/>
      <c r="J273" s="103"/>
      <c r="K273" s="103"/>
      <c r="L273" s="103"/>
      <c r="M273" s="104"/>
      <c r="N273" s="104"/>
      <c r="O273" s="104"/>
      <c r="P273" s="104"/>
      <c r="Q273" s="104"/>
      <c r="R273" s="104"/>
      <c r="S273" s="104"/>
      <c r="T273" s="104"/>
      <c r="U273" s="104"/>
      <c r="V273" s="104"/>
      <c r="W273" s="104"/>
      <c r="X273" s="104"/>
      <c r="Y273" s="104"/>
      <c r="Z273" s="104"/>
    </row>
    <row r="274">
      <c r="A274" s="103" t="s">
        <v>950</v>
      </c>
      <c r="B274" s="103"/>
      <c r="C274" s="103"/>
      <c r="D274" s="102">
        <v>1.0</v>
      </c>
      <c r="E274" s="102">
        <v>1.0</v>
      </c>
      <c r="F274" s="102">
        <v>1.0</v>
      </c>
      <c r="G274" s="102">
        <v>1.0</v>
      </c>
      <c r="H274" s="103"/>
      <c r="I274" s="103"/>
      <c r="J274" s="103"/>
      <c r="K274" s="103"/>
      <c r="L274" s="103"/>
      <c r="M274" s="104"/>
      <c r="N274" s="104"/>
      <c r="O274" s="104"/>
      <c r="P274" s="104"/>
      <c r="Q274" s="104"/>
      <c r="R274" s="104"/>
      <c r="S274" s="104"/>
      <c r="T274" s="104"/>
      <c r="U274" s="104"/>
      <c r="V274" s="104"/>
      <c r="W274" s="104"/>
      <c r="X274" s="104"/>
      <c r="Y274" s="104"/>
      <c r="Z274" s="104"/>
    </row>
    <row r="275">
      <c r="A275" s="103" t="s">
        <v>951</v>
      </c>
      <c r="B275" s="103"/>
      <c r="C275" s="103"/>
      <c r="D275" s="102">
        <v>1.0</v>
      </c>
      <c r="E275" s="102">
        <v>1.0</v>
      </c>
      <c r="F275" s="102">
        <v>1.0</v>
      </c>
      <c r="G275" s="102">
        <v>1.0</v>
      </c>
      <c r="H275" s="103"/>
      <c r="I275" s="103"/>
      <c r="J275" s="103"/>
      <c r="K275" s="103"/>
      <c r="L275" s="103"/>
      <c r="M275" s="104"/>
      <c r="N275" s="104"/>
      <c r="O275" s="104"/>
      <c r="P275" s="104"/>
      <c r="Q275" s="104"/>
      <c r="R275" s="104"/>
      <c r="S275" s="104"/>
      <c r="T275" s="104"/>
      <c r="U275" s="104"/>
      <c r="V275" s="104"/>
      <c r="W275" s="104"/>
      <c r="X275" s="104"/>
      <c r="Y275" s="104"/>
      <c r="Z275" s="104"/>
    </row>
    <row r="276">
      <c r="A276" s="103" t="s">
        <v>952</v>
      </c>
      <c r="B276" s="103"/>
      <c r="C276" s="103"/>
      <c r="D276" s="102">
        <v>1.0</v>
      </c>
      <c r="E276" s="102">
        <v>1.0</v>
      </c>
      <c r="F276" s="102">
        <v>1.0</v>
      </c>
      <c r="G276" s="102">
        <v>1.0</v>
      </c>
      <c r="H276" s="103"/>
      <c r="I276" s="103"/>
      <c r="J276" s="103"/>
      <c r="K276" s="103"/>
      <c r="L276" s="103"/>
      <c r="M276" s="104"/>
      <c r="N276" s="104"/>
      <c r="O276" s="104"/>
      <c r="P276" s="104"/>
      <c r="Q276" s="104"/>
      <c r="R276" s="104"/>
      <c r="S276" s="104"/>
      <c r="T276" s="104"/>
      <c r="U276" s="104"/>
      <c r="V276" s="104"/>
      <c r="W276" s="104"/>
      <c r="X276" s="104"/>
      <c r="Y276" s="104"/>
      <c r="Z276" s="104"/>
    </row>
    <row r="277">
      <c r="A277" s="97" t="s">
        <v>1272</v>
      </c>
      <c r="B277" s="97"/>
      <c r="C277" s="97"/>
      <c r="D277" s="5" t="s">
        <v>1105</v>
      </c>
      <c r="E277" s="5" t="s">
        <v>1106</v>
      </c>
      <c r="F277" s="5" t="s">
        <v>1019</v>
      </c>
      <c r="G277" s="5" t="s">
        <v>1107</v>
      </c>
      <c r="H277" s="97"/>
      <c r="I277" s="97"/>
      <c r="J277" s="97"/>
      <c r="K277" s="97"/>
      <c r="L277" s="97"/>
    </row>
    <row r="278">
      <c r="A278" s="108" t="s">
        <v>1273</v>
      </c>
      <c r="B278" s="97" t="s">
        <v>1528</v>
      </c>
      <c r="C278" s="97" t="s">
        <v>1529</v>
      </c>
      <c r="D278" s="97" t="s">
        <v>1530</v>
      </c>
      <c r="E278" s="97" t="s">
        <v>1531</v>
      </c>
      <c r="F278" s="97" t="s">
        <v>1332</v>
      </c>
      <c r="G278" s="97" t="s">
        <v>1532</v>
      </c>
      <c r="H278" s="97" t="s">
        <v>1533</v>
      </c>
      <c r="I278" s="97" t="s">
        <v>1534</v>
      </c>
      <c r="J278" s="97" t="s">
        <v>1535</v>
      </c>
      <c r="K278" s="97" t="s">
        <v>1332</v>
      </c>
      <c r="L278" s="97" t="s">
        <v>1532</v>
      </c>
    </row>
    <row r="279">
      <c r="A279" s="97" t="s">
        <v>1281</v>
      </c>
      <c r="B279" s="97"/>
      <c r="C279" s="97"/>
      <c r="D279" s="107">
        <v>1.0</v>
      </c>
      <c r="E279" s="107">
        <v>1.0</v>
      </c>
      <c r="F279" s="107">
        <v>1.0</v>
      </c>
      <c r="G279" s="107">
        <v>0.0</v>
      </c>
      <c r="H279" s="97"/>
      <c r="I279" s="97"/>
      <c r="J279" s="97"/>
      <c r="K279" s="97"/>
      <c r="L279" s="97"/>
    </row>
    <row r="280">
      <c r="A280" s="97" t="s">
        <v>1282</v>
      </c>
      <c r="B280" s="97"/>
      <c r="C280" s="97"/>
      <c r="D280" s="107">
        <v>1.0</v>
      </c>
      <c r="E280" s="107">
        <v>1.0</v>
      </c>
      <c r="F280" s="107">
        <v>1.0</v>
      </c>
      <c r="G280" s="107">
        <v>0.0</v>
      </c>
      <c r="H280" s="97"/>
      <c r="I280" s="97"/>
      <c r="J280" s="97"/>
      <c r="K280" s="97"/>
      <c r="L280" s="97"/>
    </row>
    <row r="281">
      <c r="A281" s="97" t="s">
        <v>948</v>
      </c>
      <c r="B281" s="97"/>
      <c r="C281" s="97"/>
      <c r="D281" s="107">
        <v>1.0</v>
      </c>
      <c r="E281" s="107">
        <v>1.0</v>
      </c>
      <c r="F281" s="107">
        <v>1.0</v>
      </c>
      <c r="G281" s="107">
        <v>1.0</v>
      </c>
      <c r="H281" s="97"/>
      <c r="I281" s="97"/>
      <c r="J281" s="97"/>
      <c r="K281" s="97"/>
      <c r="L281" s="97"/>
    </row>
    <row r="282">
      <c r="A282" s="97" t="s">
        <v>1283</v>
      </c>
      <c r="B282" s="97"/>
      <c r="C282" s="97"/>
      <c r="D282" s="107">
        <v>1.0</v>
      </c>
      <c r="E282" s="107">
        <v>1.0</v>
      </c>
      <c r="F282" s="107">
        <v>1.0</v>
      </c>
      <c r="G282" s="107">
        <v>1.0</v>
      </c>
      <c r="H282" s="97"/>
      <c r="I282" s="97"/>
      <c r="J282" s="97"/>
      <c r="K282" s="97"/>
      <c r="L282" s="97"/>
    </row>
    <row r="283">
      <c r="A283" s="97" t="s">
        <v>950</v>
      </c>
      <c r="B283" s="97"/>
      <c r="C283" s="97"/>
      <c r="D283" s="107">
        <v>1.0</v>
      </c>
      <c r="E283" s="107">
        <v>1.0</v>
      </c>
      <c r="F283" s="107">
        <v>1.0</v>
      </c>
      <c r="G283" s="107">
        <v>0.0</v>
      </c>
      <c r="H283" s="97"/>
      <c r="I283" s="97"/>
      <c r="J283" s="97"/>
      <c r="K283" s="97"/>
      <c r="L283" s="97"/>
    </row>
    <row r="284">
      <c r="A284" s="97" t="s">
        <v>951</v>
      </c>
      <c r="B284" s="97"/>
      <c r="C284" s="97"/>
      <c r="D284" s="107">
        <v>1.0</v>
      </c>
      <c r="E284" s="107">
        <v>1.0</v>
      </c>
      <c r="F284" s="107">
        <v>1.0</v>
      </c>
      <c r="G284" s="107">
        <v>0.0</v>
      </c>
      <c r="H284" s="97"/>
      <c r="I284" s="97"/>
      <c r="J284" s="97"/>
      <c r="K284" s="97"/>
      <c r="L284" s="97"/>
    </row>
    <row r="285">
      <c r="A285" s="97" t="s">
        <v>952</v>
      </c>
      <c r="B285" s="97"/>
      <c r="C285" s="97"/>
      <c r="D285" s="107">
        <v>1.0</v>
      </c>
      <c r="E285" s="107">
        <v>1.0</v>
      </c>
      <c r="F285" s="107">
        <v>1.0</v>
      </c>
      <c r="G285" s="107">
        <v>1.0</v>
      </c>
      <c r="H285" s="97"/>
      <c r="I285" s="97"/>
      <c r="J285" s="97"/>
      <c r="K285" s="97"/>
      <c r="L285" s="97"/>
    </row>
    <row r="286">
      <c r="A286" s="97" t="s">
        <v>1284</v>
      </c>
      <c r="B286" s="97" t="s">
        <v>1528</v>
      </c>
      <c r="C286" s="97" t="s">
        <v>1536</v>
      </c>
      <c r="D286" s="97" t="s">
        <v>1537</v>
      </c>
      <c r="E286" s="97" t="s">
        <v>1538</v>
      </c>
      <c r="F286" s="97" t="s">
        <v>1332</v>
      </c>
      <c r="G286" s="97" t="s">
        <v>1539</v>
      </c>
      <c r="H286" s="97" t="s">
        <v>1540</v>
      </c>
      <c r="I286" s="97" t="s">
        <v>1534</v>
      </c>
      <c r="J286" s="97" t="s">
        <v>1541</v>
      </c>
      <c r="K286" s="97" t="s">
        <v>1332</v>
      </c>
      <c r="L286" s="97" t="s">
        <v>1542</v>
      </c>
    </row>
    <row r="287">
      <c r="A287" s="97" t="s">
        <v>1281</v>
      </c>
      <c r="B287" s="97"/>
      <c r="C287" s="97"/>
      <c r="D287" s="107">
        <v>1.0</v>
      </c>
      <c r="E287" s="107">
        <v>1.0</v>
      </c>
      <c r="F287" s="107">
        <v>1.0</v>
      </c>
      <c r="G287" s="107">
        <v>0.0</v>
      </c>
      <c r="H287" s="97"/>
      <c r="I287" s="97"/>
      <c r="J287" s="97"/>
      <c r="K287" s="97"/>
      <c r="L287" s="97"/>
    </row>
    <row r="288">
      <c r="A288" s="97" t="s">
        <v>1282</v>
      </c>
      <c r="B288" s="97"/>
      <c r="C288" s="97"/>
      <c r="D288" s="107">
        <v>1.0</v>
      </c>
      <c r="E288" s="107">
        <v>1.0</v>
      </c>
      <c r="F288" s="107">
        <v>1.0</v>
      </c>
      <c r="G288" s="107">
        <v>0.0</v>
      </c>
      <c r="H288" s="97"/>
      <c r="I288" s="97"/>
      <c r="J288" s="97"/>
      <c r="K288" s="97"/>
      <c r="L288" s="97"/>
    </row>
    <row r="289">
      <c r="A289" s="97" t="s">
        <v>948</v>
      </c>
      <c r="B289" s="97"/>
      <c r="C289" s="97"/>
      <c r="D289" s="107">
        <v>1.0</v>
      </c>
      <c r="E289" s="107">
        <v>1.0</v>
      </c>
      <c r="F289" s="107">
        <v>1.0</v>
      </c>
      <c r="G289" s="107">
        <v>1.0</v>
      </c>
      <c r="H289" s="97"/>
      <c r="I289" s="97"/>
      <c r="J289" s="97"/>
      <c r="K289" s="97"/>
      <c r="L289" s="97"/>
    </row>
    <row r="290">
      <c r="A290" s="97" t="s">
        <v>1283</v>
      </c>
      <c r="B290" s="97"/>
      <c r="C290" s="97"/>
      <c r="D290" s="107">
        <v>1.0</v>
      </c>
      <c r="E290" s="107">
        <v>1.0</v>
      </c>
      <c r="F290" s="107">
        <v>1.0</v>
      </c>
      <c r="G290" s="107">
        <v>1.0</v>
      </c>
      <c r="H290" s="97"/>
      <c r="I290" s="97"/>
      <c r="J290" s="97"/>
      <c r="K290" s="97"/>
      <c r="L290" s="97"/>
    </row>
    <row r="291">
      <c r="A291" s="97" t="s">
        <v>950</v>
      </c>
      <c r="B291" s="97"/>
      <c r="C291" s="97"/>
      <c r="D291" s="107">
        <v>1.0</v>
      </c>
      <c r="E291" s="107">
        <v>1.0</v>
      </c>
      <c r="F291" s="107">
        <v>1.0</v>
      </c>
      <c r="G291" s="107">
        <v>0.0</v>
      </c>
      <c r="H291" s="97"/>
      <c r="I291" s="97"/>
      <c r="J291" s="97"/>
      <c r="K291" s="97"/>
      <c r="L291" s="97"/>
    </row>
    <row r="292">
      <c r="A292" s="97" t="s">
        <v>951</v>
      </c>
      <c r="B292" s="97"/>
      <c r="C292" s="97"/>
      <c r="D292" s="107">
        <v>1.0</v>
      </c>
      <c r="E292" s="107">
        <v>1.0</v>
      </c>
      <c r="F292" s="107">
        <v>1.0</v>
      </c>
      <c r="G292" s="107">
        <v>0.0</v>
      </c>
      <c r="H292" s="97"/>
      <c r="I292" s="97"/>
      <c r="J292" s="97"/>
      <c r="K292" s="97"/>
      <c r="L292" s="97"/>
    </row>
    <row r="293">
      <c r="A293" s="97" t="s">
        <v>952</v>
      </c>
      <c r="B293" s="97"/>
      <c r="C293" s="97"/>
      <c r="D293" s="107">
        <v>1.0</v>
      </c>
      <c r="E293" s="107">
        <v>1.0</v>
      </c>
      <c r="F293" s="107">
        <v>1.0</v>
      </c>
      <c r="G293" s="107">
        <v>1.0</v>
      </c>
      <c r="H293" s="97"/>
      <c r="I293" s="97"/>
      <c r="J293" s="97"/>
      <c r="K293" s="97"/>
      <c r="L293" s="97"/>
    </row>
    <row r="294">
      <c r="A294" s="97" t="s">
        <v>1291</v>
      </c>
      <c r="B294" s="97" t="s">
        <v>1528</v>
      </c>
      <c r="C294" s="97" t="s">
        <v>1543</v>
      </c>
      <c r="D294" s="97" t="s">
        <v>1544</v>
      </c>
      <c r="E294" s="97" t="s">
        <v>1545</v>
      </c>
      <c r="F294" s="97" t="s">
        <v>1546</v>
      </c>
      <c r="G294" s="97" t="s">
        <v>1547</v>
      </c>
      <c r="H294" s="97" t="s">
        <v>1548</v>
      </c>
      <c r="I294" s="97" t="s">
        <v>1534</v>
      </c>
      <c r="J294" s="97" t="s">
        <v>1535</v>
      </c>
      <c r="K294" s="97" t="s">
        <v>1019</v>
      </c>
      <c r="L294" s="97" t="s">
        <v>1117</v>
      </c>
    </row>
    <row r="295">
      <c r="A295" s="97" t="s">
        <v>1281</v>
      </c>
      <c r="B295" s="97"/>
      <c r="C295" s="97"/>
      <c r="D295" s="107">
        <v>1.0</v>
      </c>
      <c r="E295" s="107">
        <v>1.0</v>
      </c>
      <c r="F295" s="107">
        <v>1.0</v>
      </c>
      <c r="G295" s="107">
        <v>0.0</v>
      </c>
      <c r="H295" s="97"/>
      <c r="I295" s="97"/>
      <c r="J295" s="97"/>
      <c r="K295" s="97"/>
      <c r="L295" s="97"/>
    </row>
    <row r="296">
      <c r="A296" s="97" t="s">
        <v>1282</v>
      </c>
      <c r="B296" s="97"/>
      <c r="C296" s="97"/>
      <c r="D296" s="107">
        <v>1.0</v>
      </c>
      <c r="E296" s="107">
        <v>1.0</v>
      </c>
      <c r="F296" s="107">
        <v>1.0</v>
      </c>
      <c r="G296" s="107">
        <v>0.0</v>
      </c>
      <c r="H296" s="97"/>
      <c r="I296" s="97"/>
      <c r="J296" s="97"/>
      <c r="K296" s="97"/>
      <c r="L296" s="97"/>
    </row>
    <row r="297">
      <c r="A297" s="97" t="s">
        <v>948</v>
      </c>
      <c r="B297" s="97"/>
      <c r="C297" s="97"/>
      <c r="D297" s="107">
        <v>1.0</v>
      </c>
      <c r="E297" s="107">
        <v>1.0</v>
      </c>
      <c r="F297" s="107">
        <v>1.0</v>
      </c>
      <c r="G297" s="107">
        <v>0.0</v>
      </c>
      <c r="H297" s="97"/>
      <c r="I297" s="97"/>
      <c r="J297" s="97"/>
      <c r="K297" s="97"/>
      <c r="L297" s="97"/>
    </row>
    <row r="298">
      <c r="A298" s="97" t="s">
        <v>1283</v>
      </c>
      <c r="B298" s="97"/>
      <c r="C298" s="97"/>
      <c r="D298" s="107">
        <v>1.0</v>
      </c>
      <c r="E298" s="107">
        <v>1.0</v>
      </c>
      <c r="F298" s="107">
        <v>1.0</v>
      </c>
      <c r="G298" s="107">
        <v>1.0</v>
      </c>
      <c r="H298" s="97"/>
      <c r="I298" s="97"/>
      <c r="J298" s="97"/>
      <c r="K298" s="97"/>
      <c r="L298" s="97"/>
    </row>
    <row r="299">
      <c r="A299" s="97" t="s">
        <v>950</v>
      </c>
      <c r="B299" s="97"/>
      <c r="C299" s="97"/>
      <c r="D299" s="107">
        <v>1.0</v>
      </c>
      <c r="E299" s="107">
        <v>1.0</v>
      </c>
      <c r="F299" s="107">
        <v>1.0</v>
      </c>
      <c r="G299" s="107">
        <v>0.0</v>
      </c>
      <c r="H299" s="97"/>
      <c r="I299" s="97"/>
      <c r="J299" s="97"/>
      <c r="K299" s="97"/>
      <c r="L299" s="97"/>
    </row>
    <row r="300">
      <c r="A300" s="97" t="s">
        <v>951</v>
      </c>
      <c r="B300" s="97"/>
      <c r="C300" s="97"/>
      <c r="D300" s="107">
        <v>1.0</v>
      </c>
      <c r="E300" s="107">
        <v>1.0</v>
      </c>
      <c r="F300" s="107">
        <v>1.0</v>
      </c>
      <c r="G300" s="107">
        <v>0.0</v>
      </c>
      <c r="H300" s="97"/>
      <c r="I300" s="97"/>
      <c r="J300" s="97"/>
      <c r="K300" s="97"/>
      <c r="L300" s="97"/>
    </row>
    <row r="301">
      <c r="A301" s="97" t="s">
        <v>952</v>
      </c>
      <c r="B301" s="97"/>
      <c r="C301" s="97"/>
      <c r="D301" s="107">
        <v>1.0</v>
      </c>
      <c r="E301" s="107">
        <v>1.0</v>
      </c>
      <c r="F301" s="107">
        <v>1.0</v>
      </c>
      <c r="G301" s="107">
        <v>1.0</v>
      </c>
      <c r="H301" s="97"/>
      <c r="I301" s="97"/>
      <c r="J301" s="97"/>
      <c r="K301" s="97"/>
      <c r="L301" s="97"/>
    </row>
    <row r="302">
      <c r="A302" s="103" t="s">
        <v>1272</v>
      </c>
      <c r="B302" s="103"/>
      <c r="C302" s="103"/>
      <c r="D302" s="59" t="s">
        <v>1108</v>
      </c>
      <c r="E302" s="59" t="s">
        <v>1114</v>
      </c>
      <c r="F302" s="59" t="s">
        <v>1115</v>
      </c>
      <c r="G302" s="59" t="s">
        <v>1116</v>
      </c>
      <c r="H302" s="103"/>
      <c r="I302" s="103"/>
      <c r="J302" s="103"/>
      <c r="K302" s="103"/>
      <c r="L302" s="103"/>
      <c r="M302" s="104"/>
      <c r="N302" s="104"/>
      <c r="O302" s="104"/>
      <c r="P302" s="104"/>
      <c r="Q302" s="104"/>
      <c r="R302" s="104"/>
      <c r="S302" s="104"/>
      <c r="T302" s="104"/>
      <c r="U302" s="104"/>
      <c r="V302" s="104"/>
      <c r="W302" s="104"/>
      <c r="X302" s="104"/>
      <c r="Y302" s="104"/>
      <c r="Z302" s="104"/>
    </row>
    <row r="303">
      <c r="A303" s="108" t="s">
        <v>1273</v>
      </c>
      <c r="B303" s="103" t="s">
        <v>1549</v>
      </c>
      <c r="C303" s="103" t="s">
        <v>1550</v>
      </c>
      <c r="D303" s="103" t="s">
        <v>1551</v>
      </c>
      <c r="E303" s="103" t="s">
        <v>1552</v>
      </c>
      <c r="F303" s="103" t="s">
        <v>1392</v>
      </c>
      <c r="G303" s="103" t="s">
        <v>1553</v>
      </c>
      <c r="H303" s="103" t="s">
        <v>1550</v>
      </c>
      <c r="I303" s="103" t="s">
        <v>1554</v>
      </c>
      <c r="J303" s="103" t="s">
        <v>1555</v>
      </c>
      <c r="K303" s="103" t="s">
        <v>1392</v>
      </c>
      <c r="L303" s="103" t="s">
        <v>1556</v>
      </c>
      <c r="M303" s="104"/>
      <c r="N303" s="104"/>
      <c r="O303" s="104"/>
      <c r="P303" s="104"/>
      <c r="Q303" s="104"/>
      <c r="R303" s="104"/>
      <c r="S303" s="104"/>
      <c r="T303" s="104"/>
      <c r="U303" s="104"/>
      <c r="V303" s="104"/>
      <c r="W303" s="104"/>
      <c r="X303" s="104"/>
      <c r="Y303" s="104"/>
      <c r="Z303" s="104"/>
    </row>
    <row r="304">
      <c r="A304" s="103" t="s">
        <v>1281</v>
      </c>
      <c r="B304" s="103"/>
      <c r="C304" s="103"/>
      <c r="D304" s="102">
        <v>1.0</v>
      </c>
      <c r="E304" s="102">
        <v>1.0</v>
      </c>
      <c r="F304" s="102">
        <v>1.0</v>
      </c>
      <c r="G304" s="102">
        <v>1.0</v>
      </c>
      <c r="H304" s="103"/>
      <c r="I304" s="103"/>
      <c r="J304" s="103"/>
      <c r="K304" s="103"/>
      <c r="L304" s="103"/>
      <c r="M304" s="104"/>
      <c r="N304" s="104"/>
      <c r="O304" s="104"/>
      <c r="P304" s="104"/>
      <c r="Q304" s="104"/>
      <c r="R304" s="104"/>
      <c r="S304" s="104"/>
      <c r="T304" s="104"/>
      <c r="U304" s="104"/>
      <c r="V304" s="104"/>
      <c r="W304" s="104"/>
      <c r="X304" s="104"/>
      <c r="Y304" s="104"/>
      <c r="Z304" s="104"/>
    </row>
    <row r="305">
      <c r="A305" s="103" t="s">
        <v>1282</v>
      </c>
      <c r="B305" s="103"/>
      <c r="C305" s="103"/>
      <c r="D305" s="102">
        <v>1.0</v>
      </c>
      <c r="E305" s="102">
        <v>1.0</v>
      </c>
      <c r="F305" s="102">
        <v>1.0</v>
      </c>
      <c r="G305" s="102">
        <v>1.0</v>
      </c>
      <c r="H305" s="103"/>
      <c r="I305" s="103"/>
      <c r="J305" s="103"/>
      <c r="K305" s="103"/>
      <c r="L305" s="103"/>
      <c r="M305" s="104"/>
      <c r="N305" s="104"/>
      <c r="O305" s="104"/>
      <c r="P305" s="104"/>
      <c r="Q305" s="104"/>
      <c r="R305" s="104"/>
      <c r="S305" s="104"/>
      <c r="T305" s="104"/>
      <c r="U305" s="104"/>
      <c r="V305" s="104"/>
      <c r="W305" s="104"/>
      <c r="X305" s="104"/>
      <c r="Y305" s="104"/>
      <c r="Z305" s="104"/>
    </row>
    <row r="306">
      <c r="A306" s="103" t="s">
        <v>948</v>
      </c>
      <c r="B306" s="103"/>
      <c r="C306" s="103"/>
      <c r="D306" s="102">
        <v>1.0</v>
      </c>
      <c r="E306" s="102">
        <v>1.0</v>
      </c>
      <c r="F306" s="102">
        <v>1.0</v>
      </c>
      <c r="G306" s="102">
        <v>1.0</v>
      </c>
      <c r="H306" s="103"/>
      <c r="I306" s="103"/>
      <c r="J306" s="103"/>
      <c r="K306" s="103"/>
      <c r="L306" s="103"/>
      <c r="M306" s="104"/>
      <c r="N306" s="104"/>
      <c r="O306" s="104"/>
      <c r="P306" s="104"/>
      <c r="Q306" s="104"/>
      <c r="R306" s="104"/>
      <c r="S306" s="104"/>
      <c r="T306" s="104"/>
      <c r="U306" s="104"/>
      <c r="V306" s="104"/>
      <c r="W306" s="104"/>
      <c r="X306" s="104"/>
      <c r="Y306" s="104"/>
      <c r="Z306" s="104"/>
    </row>
    <row r="307">
      <c r="A307" s="103" t="s">
        <v>1283</v>
      </c>
      <c r="B307" s="103"/>
      <c r="C307" s="103"/>
      <c r="D307" s="102">
        <v>1.0</v>
      </c>
      <c r="E307" s="102">
        <v>1.0</v>
      </c>
      <c r="F307" s="102">
        <v>1.0</v>
      </c>
      <c r="G307" s="102">
        <v>1.0</v>
      </c>
      <c r="H307" s="103"/>
      <c r="I307" s="103"/>
      <c r="J307" s="103"/>
      <c r="K307" s="103"/>
      <c r="L307" s="103"/>
      <c r="M307" s="104"/>
      <c r="N307" s="104"/>
      <c r="O307" s="104"/>
      <c r="P307" s="104"/>
      <c r="Q307" s="104"/>
      <c r="R307" s="104"/>
      <c r="S307" s="104"/>
      <c r="T307" s="104"/>
      <c r="U307" s="104"/>
      <c r="V307" s="104"/>
      <c r="W307" s="104"/>
      <c r="X307" s="104"/>
      <c r="Y307" s="104"/>
      <c r="Z307" s="104"/>
    </row>
    <row r="308">
      <c r="A308" s="103" t="s">
        <v>950</v>
      </c>
      <c r="B308" s="103"/>
      <c r="C308" s="103"/>
      <c r="D308" s="102">
        <v>1.0</v>
      </c>
      <c r="E308" s="102">
        <v>1.0</v>
      </c>
      <c r="F308" s="102">
        <v>1.0</v>
      </c>
      <c r="G308" s="102">
        <v>0.0</v>
      </c>
      <c r="H308" s="103"/>
      <c r="I308" s="103"/>
      <c r="J308" s="103"/>
      <c r="K308" s="103"/>
      <c r="L308" s="103"/>
      <c r="M308" s="104"/>
      <c r="N308" s="104"/>
      <c r="O308" s="104"/>
      <c r="P308" s="104"/>
      <c r="Q308" s="104"/>
      <c r="R308" s="104"/>
      <c r="S308" s="104"/>
      <c r="T308" s="104"/>
      <c r="U308" s="104"/>
      <c r="V308" s="104"/>
      <c r="W308" s="104"/>
      <c r="X308" s="104"/>
      <c r="Y308" s="104"/>
      <c r="Z308" s="104"/>
    </row>
    <row r="309">
      <c r="A309" s="103" t="s">
        <v>951</v>
      </c>
      <c r="B309" s="103"/>
      <c r="C309" s="103"/>
      <c r="D309" s="102">
        <v>1.0</v>
      </c>
      <c r="E309" s="102">
        <v>1.0</v>
      </c>
      <c r="F309" s="102">
        <v>1.0</v>
      </c>
      <c r="G309" s="102">
        <v>1.0</v>
      </c>
      <c r="H309" s="103"/>
      <c r="I309" s="103"/>
      <c r="J309" s="103"/>
      <c r="K309" s="103"/>
      <c r="L309" s="103"/>
      <c r="M309" s="104"/>
      <c r="N309" s="104"/>
      <c r="O309" s="104"/>
      <c r="P309" s="104"/>
      <c r="Q309" s="104"/>
      <c r="R309" s="104"/>
      <c r="S309" s="104"/>
      <c r="T309" s="104"/>
      <c r="U309" s="104"/>
      <c r="V309" s="104"/>
      <c r="W309" s="104"/>
      <c r="X309" s="104"/>
      <c r="Y309" s="104"/>
      <c r="Z309" s="104"/>
    </row>
    <row r="310">
      <c r="A310" s="103" t="s">
        <v>952</v>
      </c>
      <c r="B310" s="103"/>
      <c r="C310" s="103"/>
      <c r="D310" s="102">
        <v>1.0</v>
      </c>
      <c r="E310" s="102">
        <v>1.0</v>
      </c>
      <c r="F310" s="102">
        <v>1.0</v>
      </c>
      <c r="G310" s="102">
        <v>1.0</v>
      </c>
      <c r="H310" s="103"/>
      <c r="I310" s="103"/>
      <c r="J310" s="103"/>
      <c r="K310" s="103"/>
      <c r="L310" s="103"/>
      <c r="M310" s="104"/>
      <c r="N310" s="104"/>
      <c r="O310" s="104"/>
      <c r="P310" s="104"/>
      <c r="Q310" s="104"/>
      <c r="R310" s="104"/>
      <c r="S310" s="104"/>
      <c r="T310" s="104"/>
      <c r="U310" s="104"/>
      <c r="V310" s="104"/>
      <c r="W310" s="104"/>
      <c r="X310" s="104"/>
      <c r="Y310" s="104"/>
      <c r="Z310" s="104"/>
    </row>
    <row r="311">
      <c r="A311" s="103" t="s">
        <v>1284</v>
      </c>
      <c r="B311" s="103" t="s">
        <v>1549</v>
      </c>
      <c r="C311" s="103" t="s">
        <v>1557</v>
      </c>
      <c r="D311" s="103" t="s">
        <v>1558</v>
      </c>
      <c r="E311" s="103" t="s">
        <v>1559</v>
      </c>
      <c r="F311" s="103" t="s">
        <v>1392</v>
      </c>
      <c r="G311" s="103" t="s">
        <v>1560</v>
      </c>
      <c r="H311" s="103" t="s">
        <v>1533</v>
      </c>
      <c r="I311" s="103" t="s">
        <v>1551</v>
      </c>
      <c r="J311" s="103" t="s">
        <v>1519</v>
      </c>
      <c r="K311" s="103" t="s">
        <v>1392</v>
      </c>
      <c r="L311" s="103" t="s">
        <v>1021</v>
      </c>
      <c r="M311" s="104"/>
      <c r="N311" s="104"/>
      <c r="O311" s="104"/>
      <c r="P311" s="104"/>
      <c r="Q311" s="104"/>
      <c r="R311" s="104"/>
      <c r="S311" s="104"/>
      <c r="T311" s="104"/>
      <c r="U311" s="104"/>
      <c r="V311" s="104"/>
      <c r="W311" s="104"/>
      <c r="X311" s="104"/>
      <c r="Y311" s="104"/>
      <c r="Z311" s="104"/>
    </row>
    <row r="312">
      <c r="A312" s="103" t="s">
        <v>1281</v>
      </c>
      <c r="B312" s="103"/>
      <c r="C312" s="103"/>
      <c r="D312" s="102">
        <v>1.0</v>
      </c>
      <c r="E312" s="102">
        <v>1.0</v>
      </c>
      <c r="F312" s="102">
        <v>1.0</v>
      </c>
      <c r="G312" s="102">
        <v>1.0</v>
      </c>
      <c r="H312" s="103"/>
      <c r="I312" s="103"/>
      <c r="J312" s="103"/>
      <c r="K312" s="103"/>
      <c r="L312" s="103"/>
      <c r="M312" s="104"/>
      <c r="N312" s="104"/>
      <c r="O312" s="104"/>
      <c r="P312" s="104"/>
      <c r="Q312" s="104"/>
      <c r="R312" s="104"/>
      <c r="S312" s="104"/>
      <c r="T312" s="104"/>
      <c r="U312" s="104"/>
      <c r="V312" s="104"/>
      <c r="W312" s="104"/>
      <c r="X312" s="104"/>
      <c r="Y312" s="104"/>
      <c r="Z312" s="104"/>
    </row>
    <row r="313">
      <c r="A313" s="103" t="s">
        <v>1282</v>
      </c>
      <c r="B313" s="103"/>
      <c r="C313" s="103"/>
      <c r="D313" s="102">
        <v>1.0</v>
      </c>
      <c r="E313" s="102">
        <v>1.0</v>
      </c>
      <c r="F313" s="102">
        <v>1.0</v>
      </c>
      <c r="G313" s="102">
        <v>1.0</v>
      </c>
      <c r="H313" s="103"/>
      <c r="I313" s="103"/>
      <c r="J313" s="103"/>
      <c r="K313" s="103"/>
      <c r="L313" s="103"/>
      <c r="M313" s="104"/>
      <c r="N313" s="104"/>
      <c r="O313" s="104"/>
      <c r="P313" s="104"/>
      <c r="Q313" s="104"/>
      <c r="R313" s="104"/>
      <c r="S313" s="104"/>
      <c r="T313" s="104"/>
      <c r="U313" s="104"/>
      <c r="V313" s="104"/>
      <c r="W313" s="104"/>
      <c r="X313" s="104"/>
      <c r="Y313" s="104"/>
      <c r="Z313" s="104"/>
    </row>
    <row r="314">
      <c r="A314" s="103" t="s">
        <v>948</v>
      </c>
      <c r="B314" s="103"/>
      <c r="C314" s="103"/>
      <c r="D314" s="102">
        <v>1.0</v>
      </c>
      <c r="E314" s="102">
        <v>1.0</v>
      </c>
      <c r="F314" s="102">
        <v>1.0</v>
      </c>
      <c r="G314" s="102">
        <v>0.0</v>
      </c>
      <c r="H314" s="103"/>
      <c r="I314" s="103"/>
      <c r="J314" s="103"/>
      <c r="K314" s="103"/>
      <c r="L314" s="103"/>
      <c r="M314" s="104"/>
      <c r="N314" s="104"/>
      <c r="O314" s="104"/>
      <c r="P314" s="104"/>
      <c r="Q314" s="104"/>
      <c r="R314" s="104"/>
      <c r="S314" s="104"/>
      <c r="T314" s="104"/>
      <c r="U314" s="104"/>
      <c r="V314" s="104"/>
      <c r="W314" s="104"/>
      <c r="X314" s="104"/>
      <c r="Y314" s="104"/>
      <c r="Z314" s="104"/>
    </row>
    <row r="315">
      <c r="A315" s="103" t="s">
        <v>1283</v>
      </c>
      <c r="B315" s="103"/>
      <c r="C315" s="103"/>
      <c r="D315" s="102">
        <v>1.0</v>
      </c>
      <c r="E315" s="102">
        <v>1.0</v>
      </c>
      <c r="F315" s="102">
        <v>1.0</v>
      </c>
      <c r="G315" s="102">
        <v>1.0</v>
      </c>
      <c r="H315" s="103"/>
      <c r="I315" s="103"/>
      <c r="J315" s="103"/>
      <c r="K315" s="103"/>
      <c r="L315" s="103"/>
      <c r="M315" s="104"/>
      <c r="N315" s="104"/>
      <c r="O315" s="104"/>
      <c r="P315" s="104"/>
      <c r="Q315" s="104"/>
      <c r="R315" s="104"/>
      <c r="S315" s="104"/>
      <c r="T315" s="104"/>
      <c r="U315" s="104"/>
      <c r="V315" s="104"/>
      <c r="W315" s="104"/>
      <c r="X315" s="104"/>
      <c r="Y315" s="104"/>
      <c r="Z315" s="104"/>
    </row>
    <row r="316">
      <c r="A316" s="103" t="s">
        <v>950</v>
      </c>
      <c r="B316" s="103"/>
      <c r="C316" s="103"/>
      <c r="D316" s="102">
        <v>1.0</v>
      </c>
      <c r="E316" s="102">
        <v>0.0</v>
      </c>
      <c r="F316" s="102">
        <v>1.0</v>
      </c>
      <c r="G316" s="102">
        <v>1.0</v>
      </c>
      <c r="H316" s="103"/>
      <c r="I316" s="103"/>
      <c r="J316" s="103"/>
      <c r="K316" s="103"/>
      <c r="L316" s="103"/>
      <c r="M316" s="104"/>
      <c r="N316" s="104"/>
      <c r="O316" s="104"/>
      <c r="P316" s="104"/>
      <c r="Q316" s="104"/>
      <c r="R316" s="104"/>
      <c r="S316" s="104"/>
      <c r="T316" s="104"/>
      <c r="U316" s="104"/>
      <c r="V316" s="104"/>
      <c r="W316" s="104"/>
      <c r="X316" s="104"/>
      <c r="Y316" s="104"/>
      <c r="Z316" s="104"/>
    </row>
    <row r="317">
      <c r="A317" s="103" t="s">
        <v>951</v>
      </c>
      <c r="B317" s="103"/>
      <c r="C317" s="103"/>
      <c r="D317" s="102">
        <v>1.0</v>
      </c>
      <c r="E317" s="102">
        <v>1.0</v>
      </c>
      <c r="F317" s="102">
        <v>1.0</v>
      </c>
      <c r="G317" s="102">
        <v>1.0</v>
      </c>
      <c r="H317" s="103"/>
      <c r="I317" s="103"/>
      <c r="J317" s="103"/>
      <c r="K317" s="103"/>
      <c r="L317" s="103"/>
      <c r="M317" s="104"/>
      <c r="N317" s="104"/>
      <c r="O317" s="104"/>
      <c r="P317" s="104"/>
      <c r="Q317" s="104"/>
      <c r="R317" s="104"/>
      <c r="S317" s="104"/>
      <c r="T317" s="104"/>
      <c r="U317" s="104"/>
      <c r="V317" s="104"/>
      <c r="W317" s="104"/>
      <c r="X317" s="104"/>
      <c r="Y317" s="104"/>
      <c r="Z317" s="104"/>
    </row>
    <row r="318">
      <c r="A318" s="103" t="s">
        <v>952</v>
      </c>
      <c r="B318" s="103"/>
      <c r="C318" s="103"/>
      <c r="D318" s="102">
        <v>1.0</v>
      </c>
      <c r="E318" s="102">
        <v>1.0</v>
      </c>
      <c r="F318" s="102">
        <v>1.0</v>
      </c>
      <c r="G318" s="102">
        <v>1.0</v>
      </c>
      <c r="H318" s="103"/>
      <c r="I318" s="103"/>
      <c r="J318" s="103"/>
      <c r="K318" s="103"/>
      <c r="L318" s="103"/>
      <c r="M318" s="104"/>
      <c r="N318" s="104"/>
      <c r="O318" s="104"/>
      <c r="P318" s="104"/>
      <c r="Q318" s="104"/>
      <c r="R318" s="104"/>
      <c r="S318" s="104"/>
      <c r="T318" s="104"/>
      <c r="U318" s="104"/>
      <c r="V318" s="104"/>
      <c r="W318" s="104"/>
      <c r="X318" s="104"/>
      <c r="Y318" s="104"/>
      <c r="Z318" s="104"/>
    </row>
    <row r="319">
      <c r="A319" s="103" t="s">
        <v>1291</v>
      </c>
      <c r="B319" s="103" t="s">
        <v>1549</v>
      </c>
      <c r="C319" s="103" t="s">
        <v>1561</v>
      </c>
      <c r="D319" s="103" t="s">
        <v>1562</v>
      </c>
      <c r="E319" s="103" t="s">
        <v>1563</v>
      </c>
      <c r="F319" s="103" t="s">
        <v>1564</v>
      </c>
      <c r="G319" s="103" t="s">
        <v>1565</v>
      </c>
      <c r="H319" s="103" t="s">
        <v>1551</v>
      </c>
      <c r="I319" s="103" t="s">
        <v>1551</v>
      </c>
      <c r="J319" s="103" t="s">
        <v>1566</v>
      </c>
      <c r="K319" s="103" t="s">
        <v>1392</v>
      </c>
      <c r="L319" s="103" t="s">
        <v>1002</v>
      </c>
      <c r="M319" s="104"/>
      <c r="N319" s="104"/>
      <c r="O319" s="104"/>
      <c r="P319" s="104"/>
      <c r="Q319" s="104"/>
      <c r="R319" s="104"/>
      <c r="S319" s="104"/>
      <c r="T319" s="104"/>
      <c r="U319" s="104"/>
      <c r="V319" s="104"/>
      <c r="W319" s="104"/>
      <c r="X319" s="104"/>
      <c r="Y319" s="104"/>
      <c r="Z319" s="104"/>
    </row>
    <row r="320">
      <c r="A320" s="103" t="s">
        <v>1281</v>
      </c>
      <c r="B320" s="103"/>
      <c r="C320" s="103"/>
      <c r="D320" s="102">
        <v>1.0</v>
      </c>
      <c r="E320" s="102">
        <v>1.0</v>
      </c>
      <c r="F320" s="102">
        <v>1.0</v>
      </c>
      <c r="G320" s="102">
        <v>1.0</v>
      </c>
      <c r="H320" s="103"/>
      <c r="I320" s="103"/>
      <c r="J320" s="103"/>
      <c r="K320" s="103"/>
      <c r="L320" s="103"/>
      <c r="M320" s="104"/>
      <c r="N320" s="104"/>
      <c r="O320" s="104"/>
      <c r="P320" s="104"/>
      <c r="Q320" s="104"/>
      <c r="R320" s="104"/>
      <c r="S320" s="104"/>
      <c r="T320" s="104"/>
      <c r="U320" s="104"/>
      <c r="V320" s="104"/>
      <c r="W320" s="104"/>
      <c r="X320" s="104"/>
      <c r="Y320" s="104"/>
      <c r="Z320" s="104"/>
    </row>
    <row r="321">
      <c r="A321" s="103" t="s">
        <v>1282</v>
      </c>
      <c r="B321" s="103"/>
      <c r="C321" s="103"/>
      <c r="D321" s="102">
        <v>1.0</v>
      </c>
      <c r="E321" s="102">
        <v>1.0</v>
      </c>
      <c r="F321" s="102">
        <v>1.0</v>
      </c>
      <c r="G321" s="102">
        <v>1.0</v>
      </c>
      <c r="H321" s="103"/>
      <c r="I321" s="103"/>
      <c r="J321" s="103"/>
      <c r="K321" s="103"/>
      <c r="L321" s="103"/>
      <c r="M321" s="104"/>
      <c r="N321" s="104"/>
      <c r="O321" s="104"/>
      <c r="P321" s="104"/>
      <c r="Q321" s="104"/>
      <c r="R321" s="104"/>
      <c r="S321" s="104"/>
      <c r="T321" s="104"/>
      <c r="U321" s="104"/>
      <c r="V321" s="104"/>
      <c r="W321" s="104"/>
      <c r="X321" s="104"/>
      <c r="Y321" s="104"/>
      <c r="Z321" s="104"/>
    </row>
    <row r="322">
      <c r="A322" s="103" t="s">
        <v>948</v>
      </c>
      <c r="B322" s="103"/>
      <c r="C322" s="103"/>
      <c r="D322" s="102">
        <v>1.0</v>
      </c>
      <c r="E322" s="102">
        <v>1.0</v>
      </c>
      <c r="F322" s="102">
        <v>1.0</v>
      </c>
      <c r="G322" s="102">
        <v>0.0</v>
      </c>
      <c r="H322" s="103"/>
      <c r="I322" s="103"/>
      <c r="J322" s="103"/>
      <c r="K322" s="103"/>
      <c r="L322" s="103"/>
      <c r="M322" s="104"/>
      <c r="N322" s="104"/>
      <c r="O322" s="104"/>
      <c r="P322" s="104"/>
      <c r="Q322" s="104"/>
      <c r="R322" s="104"/>
      <c r="S322" s="104"/>
      <c r="T322" s="104"/>
      <c r="U322" s="104"/>
      <c r="V322" s="104"/>
      <c r="W322" s="104"/>
      <c r="X322" s="104"/>
      <c r="Y322" s="104"/>
      <c r="Z322" s="104"/>
    </row>
    <row r="323">
      <c r="A323" s="103" t="s">
        <v>1283</v>
      </c>
      <c r="B323" s="103"/>
      <c r="C323" s="103"/>
      <c r="D323" s="102">
        <v>1.0</v>
      </c>
      <c r="E323" s="102">
        <v>1.0</v>
      </c>
      <c r="F323" s="102">
        <v>1.0</v>
      </c>
      <c r="G323" s="102">
        <v>1.0</v>
      </c>
      <c r="H323" s="103"/>
      <c r="I323" s="103"/>
      <c r="J323" s="103"/>
      <c r="K323" s="103"/>
      <c r="L323" s="103"/>
      <c r="M323" s="104"/>
      <c r="N323" s="104"/>
      <c r="O323" s="104"/>
      <c r="P323" s="104"/>
      <c r="Q323" s="104"/>
      <c r="R323" s="104"/>
      <c r="S323" s="104"/>
      <c r="T323" s="104"/>
      <c r="U323" s="104"/>
      <c r="V323" s="104"/>
      <c r="W323" s="104"/>
      <c r="X323" s="104"/>
      <c r="Y323" s="104"/>
      <c r="Z323" s="104"/>
    </row>
    <row r="324">
      <c r="A324" s="103" t="s">
        <v>950</v>
      </c>
      <c r="B324" s="103"/>
      <c r="C324" s="103"/>
      <c r="D324" s="102">
        <v>1.0</v>
      </c>
      <c r="E324" s="102">
        <v>1.0</v>
      </c>
      <c r="F324" s="102">
        <v>1.0</v>
      </c>
      <c r="G324" s="102">
        <v>1.0</v>
      </c>
      <c r="H324" s="103"/>
      <c r="I324" s="103"/>
      <c r="J324" s="103"/>
      <c r="K324" s="103"/>
      <c r="L324" s="103"/>
      <c r="M324" s="104"/>
      <c r="N324" s="104"/>
      <c r="O324" s="104"/>
      <c r="P324" s="104"/>
      <c r="Q324" s="104"/>
      <c r="R324" s="104"/>
      <c r="S324" s="104"/>
      <c r="T324" s="104"/>
      <c r="U324" s="104"/>
      <c r="V324" s="104"/>
      <c r="W324" s="104"/>
      <c r="X324" s="104"/>
      <c r="Y324" s="104"/>
      <c r="Z324" s="104"/>
    </row>
    <row r="325">
      <c r="A325" s="103" t="s">
        <v>951</v>
      </c>
      <c r="B325" s="103"/>
      <c r="C325" s="103"/>
      <c r="D325" s="102">
        <v>1.0</v>
      </c>
      <c r="E325" s="102">
        <v>1.0</v>
      </c>
      <c r="F325" s="102">
        <v>1.0</v>
      </c>
      <c r="G325" s="102">
        <v>1.0</v>
      </c>
      <c r="H325" s="103"/>
      <c r="I325" s="103"/>
      <c r="J325" s="103"/>
      <c r="K325" s="103"/>
      <c r="L325" s="103"/>
      <c r="M325" s="104"/>
      <c r="N325" s="104"/>
      <c r="O325" s="104"/>
      <c r="P325" s="104"/>
      <c r="Q325" s="104"/>
      <c r="R325" s="104"/>
      <c r="S325" s="104"/>
      <c r="T325" s="104"/>
      <c r="U325" s="104"/>
      <c r="V325" s="104"/>
      <c r="W325" s="104"/>
      <c r="X325" s="104"/>
      <c r="Y325" s="104"/>
      <c r="Z325" s="104"/>
    </row>
    <row r="326">
      <c r="A326" s="103" t="s">
        <v>952</v>
      </c>
      <c r="B326" s="103"/>
      <c r="C326" s="103"/>
      <c r="D326" s="102">
        <v>1.0</v>
      </c>
      <c r="E326" s="102">
        <v>1.0</v>
      </c>
      <c r="F326" s="102">
        <v>1.0</v>
      </c>
      <c r="G326" s="102">
        <v>1.0</v>
      </c>
      <c r="H326" s="103"/>
      <c r="I326" s="103"/>
      <c r="J326" s="103"/>
      <c r="K326" s="103"/>
      <c r="L326" s="103"/>
      <c r="M326" s="104"/>
      <c r="N326" s="104"/>
      <c r="O326" s="104"/>
      <c r="P326" s="104"/>
      <c r="Q326" s="104"/>
      <c r="R326" s="104"/>
      <c r="S326" s="104"/>
      <c r="T326" s="104"/>
      <c r="U326" s="104"/>
      <c r="V326" s="104"/>
      <c r="W326" s="104"/>
      <c r="X326" s="104"/>
      <c r="Y326" s="104"/>
      <c r="Z326" s="104"/>
    </row>
    <row r="327">
      <c r="A327" s="97" t="s">
        <v>1272</v>
      </c>
      <c r="B327" s="97"/>
      <c r="C327" s="97"/>
      <c r="D327" s="5" t="s">
        <v>1108</v>
      </c>
      <c r="E327" s="5" t="s">
        <v>1123</v>
      </c>
      <c r="F327" s="5" t="s">
        <v>1115</v>
      </c>
      <c r="G327" s="5" t="s">
        <v>1124</v>
      </c>
      <c r="H327" s="97"/>
      <c r="I327" s="97"/>
      <c r="J327" s="97"/>
      <c r="K327" s="97"/>
      <c r="L327" s="97"/>
    </row>
    <row r="328">
      <c r="A328" s="108" t="s">
        <v>1273</v>
      </c>
      <c r="B328" s="97" t="s">
        <v>1567</v>
      </c>
      <c r="C328" s="97" t="s">
        <v>1533</v>
      </c>
      <c r="D328" s="97" t="s">
        <v>1568</v>
      </c>
      <c r="E328" s="97" t="s">
        <v>1569</v>
      </c>
      <c r="F328" s="97" t="s">
        <v>1570</v>
      </c>
      <c r="G328" s="97" t="s">
        <v>1571</v>
      </c>
      <c r="H328" s="97" t="s">
        <v>1533</v>
      </c>
      <c r="I328" s="97" t="s">
        <v>1568</v>
      </c>
      <c r="J328" s="97" t="s">
        <v>1572</v>
      </c>
      <c r="K328" s="97" t="s">
        <v>1570</v>
      </c>
      <c r="L328" s="97" t="s">
        <v>1573</v>
      </c>
    </row>
    <row r="329">
      <c r="A329" s="97" t="s">
        <v>1281</v>
      </c>
      <c r="B329" s="97"/>
      <c r="C329" s="97"/>
      <c r="D329" s="107">
        <v>1.0</v>
      </c>
      <c r="E329" s="107">
        <v>1.0</v>
      </c>
      <c r="F329" s="107">
        <v>1.0</v>
      </c>
      <c r="G329" s="107">
        <v>1.0</v>
      </c>
      <c r="H329" s="97"/>
      <c r="I329" s="97"/>
      <c r="J329" s="97"/>
      <c r="K329" s="97"/>
      <c r="L329" s="97"/>
    </row>
    <row r="330">
      <c r="A330" s="97" t="s">
        <v>1282</v>
      </c>
      <c r="B330" s="97"/>
      <c r="C330" s="97"/>
      <c r="D330" s="107">
        <v>1.0</v>
      </c>
      <c r="E330" s="107">
        <v>1.0</v>
      </c>
      <c r="F330" s="107">
        <v>1.0</v>
      </c>
      <c r="G330" s="107">
        <v>1.0</v>
      </c>
      <c r="H330" s="97"/>
      <c r="I330" s="97"/>
      <c r="J330" s="97"/>
      <c r="K330" s="97"/>
      <c r="L330" s="97"/>
    </row>
    <row r="331">
      <c r="A331" s="97" t="s">
        <v>948</v>
      </c>
      <c r="B331" s="97"/>
      <c r="C331" s="97"/>
      <c r="D331" s="107">
        <v>1.0</v>
      </c>
      <c r="E331" s="107">
        <v>1.0</v>
      </c>
      <c r="F331" s="107">
        <v>1.0</v>
      </c>
      <c r="G331" s="107">
        <v>1.0</v>
      </c>
      <c r="H331" s="97"/>
      <c r="I331" s="97"/>
      <c r="J331" s="97"/>
      <c r="K331" s="97"/>
      <c r="L331" s="97"/>
    </row>
    <row r="332">
      <c r="A332" s="97" t="s">
        <v>1283</v>
      </c>
      <c r="B332" s="97"/>
      <c r="C332" s="97"/>
      <c r="D332" s="107">
        <v>1.0</v>
      </c>
      <c r="E332" s="107">
        <v>1.0</v>
      </c>
      <c r="F332" s="107">
        <v>1.0</v>
      </c>
      <c r="G332" s="107">
        <v>1.0</v>
      </c>
      <c r="H332" s="97"/>
      <c r="I332" s="97"/>
      <c r="J332" s="97"/>
      <c r="K332" s="97"/>
      <c r="L332" s="97"/>
    </row>
    <row r="333">
      <c r="A333" s="97" t="s">
        <v>950</v>
      </c>
      <c r="B333" s="97"/>
      <c r="C333" s="97"/>
      <c r="D333" s="107">
        <v>1.0</v>
      </c>
      <c r="E333" s="107">
        <v>0.0</v>
      </c>
      <c r="F333" s="107">
        <v>1.0</v>
      </c>
      <c r="G333" s="107">
        <v>1.0</v>
      </c>
      <c r="H333" s="97"/>
      <c r="I333" s="97"/>
      <c r="J333" s="97"/>
      <c r="K333" s="97"/>
      <c r="L333" s="97"/>
    </row>
    <row r="334">
      <c r="A334" s="97" t="s">
        <v>951</v>
      </c>
      <c r="B334" s="97"/>
      <c r="C334" s="97"/>
      <c r="D334" s="107">
        <v>1.0</v>
      </c>
      <c r="E334" s="107">
        <v>1.0</v>
      </c>
      <c r="F334" s="107">
        <v>1.0</v>
      </c>
      <c r="G334" s="107">
        <v>1.0</v>
      </c>
      <c r="H334" s="97"/>
      <c r="I334" s="97"/>
      <c r="J334" s="97"/>
      <c r="K334" s="97"/>
      <c r="L334" s="97"/>
    </row>
    <row r="335">
      <c r="A335" s="97" t="s">
        <v>952</v>
      </c>
      <c r="B335" s="97"/>
      <c r="C335" s="97"/>
      <c r="D335" s="107">
        <v>1.0</v>
      </c>
      <c r="E335" s="107">
        <v>1.0</v>
      </c>
      <c r="F335" s="107">
        <v>1.0</v>
      </c>
      <c r="G335" s="107">
        <v>1.0</v>
      </c>
      <c r="H335" s="97"/>
      <c r="I335" s="97"/>
      <c r="J335" s="97"/>
      <c r="K335" s="97"/>
      <c r="L335" s="97"/>
    </row>
    <row r="336">
      <c r="A336" s="97" t="s">
        <v>1284</v>
      </c>
      <c r="B336" s="97" t="s">
        <v>1567</v>
      </c>
      <c r="C336" s="97" t="s">
        <v>1574</v>
      </c>
      <c r="D336" s="97" t="s">
        <v>1575</v>
      </c>
      <c r="E336" s="97" t="s">
        <v>1576</v>
      </c>
      <c r="F336" s="97" t="s">
        <v>1577</v>
      </c>
      <c r="G336" s="97" t="s">
        <v>1578</v>
      </c>
      <c r="H336" s="97" t="s">
        <v>1533</v>
      </c>
      <c r="I336" s="97" t="s">
        <v>1568</v>
      </c>
      <c r="J336" s="97" t="s">
        <v>1572</v>
      </c>
      <c r="K336" s="97" t="s">
        <v>1577</v>
      </c>
      <c r="L336" s="97" t="s">
        <v>1021</v>
      </c>
    </row>
    <row r="337">
      <c r="A337" s="97" t="s">
        <v>1281</v>
      </c>
      <c r="B337" s="97"/>
      <c r="C337" s="97"/>
      <c r="D337" s="107">
        <v>1.0</v>
      </c>
      <c r="E337" s="107">
        <v>1.0</v>
      </c>
      <c r="F337" s="107">
        <v>1.0</v>
      </c>
      <c r="G337" s="107">
        <v>1.0</v>
      </c>
      <c r="H337" s="97"/>
      <c r="I337" s="97"/>
      <c r="J337" s="97"/>
      <c r="K337" s="97"/>
      <c r="L337" s="97"/>
    </row>
    <row r="338">
      <c r="A338" s="97" t="s">
        <v>1282</v>
      </c>
      <c r="B338" s="97"/>
      <c r="C338" s="97"/>
      <c r="D338" s="107">
        <v>1.0</v>
      </c>
      <c r="E338" s="107">
        <v>1.0</v>
      </c>
      <c r="F338" s="107">
        <v>1.0</v>
      </c>
      <c r="G338" s="107">
        <v>1.0</v>
      </c>
      <c r="H338" s="97"/>
      <c r="I338" s="97"/>
      <c r="J338" s="97"/>
      <c r="K338" s="97"/>
      <c r="L338" s="97"/>
    </row>
    <row r="339">
      <c r="A339" s="97" t="s">
        <v>948</v>
      </c>
      <c r="B339" s="97"/>
      <c r="C339" s="97"/>
      <c r="D339" s="107">
        <v>1.0</v>
      </c>
      <c r="E339" s="107">
        <v>1.0</v>
      </c>
      <c r="F339" s="107">
        <v>1.0</v>
      </c>
      <c r="G339" s="107">
        <v>1.0</v>
      </c>
      <c r="H339" s="97"/>
      <c r="I339" s="97"/>
      <c r="J339" s="97"/>
      <c r="K339" s="97"/>
      <c r="L339" s="97"/>
    </row>
    <row r="340">
      <c r="A340" s="97" t="s">
        <v>1283</v>
      </c>
      <c r="B340" s="97"/>
      <c r="C340" s="97"/>
      <c r="D340" s="107">
        <v>1.0</v>
      </c>
      <c r="E340" s="107">
        <v>1.0</v>
      </c>
      <c r="F340" s="107">
        <v>1.0</v>
      </c>
      <c r="G340" s="107">
        <v>1.0</v>
      </c>
      <c r="H340" s="97"/>
      <c r="I340" s="97"/>
      <c r="J340" s="97"/>
      <c r="K340" s="97"/>
      <c r="L340" s="97"/>
    </row>
    <row r="341">
      <c r="A341" s="97" t="s">
        <v>950</v>
      </c>
      <c r="B341" s="97"/>
      <c r="C341" s="97"/>
      <c r="D341" s="107">
        <v>1.0</v>
      </c>
      <c r="E341" s="107">
        <v>1.0</v>
      </c>
      <c r="F341" s="107">
        <v>1.0</v>
      </c>
      <c r="G341" s="107">
        <v>1.0</v>
      </c>
      <c r="H341" s="97"/>
      <c r="I341" s="97"/>
      <c r="J341" s="97"/>
      <c r="K341" s="97"/>
      <c r="L341" s="97"/>
    </row>
    <row r="342">
      <c r="A342" s="97" t="s">
        <v>951</v>
      </c>
      <c r="B342" s="97"/>
      <c r="C342" s="97"/>
      <c r="D342" s="107">
        <v>1.0</v>
      </c>
      <c r="E342" s="107">
        <v>1.0</v>
      </c>
      <c r="F342" s="107">
        <v>1.0</v>
      </c>
      <c r="G342" s="107">
        <v>1.0</v>
      </c>
      <c r="H342" s="97"/>
      <c r="I342" s="97"/>
      <c r="J342" s="97"/>
      <c r="K342" s="97"/>
      <c r="L342" s="97"/>
    </row>
    <row r="343">
      <c r="A343" s="97" t="s">
        <v>952</v>
      </c>
      <c r="B343" s="97"/>
      <c r="C343" s="97"/>
      <c r="D343" s="107">
        <v>1.0</v>
      </c>
      <c r="E343" s="107">
        <v>1.0</v>
      </c>
      <c r="F343" s="107">
        <v>1.0</v>
      </c>
      <c r="G343" s="107">
        <v>1.0</v>
      </c>
      <c r="H343" s="97"/>
      <c r="I343" s="97"/>
      <c r="J343" s="97"/>
      <c r="K343" s="97"/>
      <c r="L343" s="97"/>
    </row>
    <row r="344">
      <c r="A344" s="97" t="s">
        <v>1291</v>
      </c>
      <c r="B344" s="97" t="s">
        <v>1567</v>
      </c>
      <c r="C344" s="97" t="s">
        <v>1579</v>
      </c>
      <c r="D344" s="97" t="s">
        <v>1580</v>
      </c>
      <c r="E344" s="97" t="s">
        <v>1581</v>
      </c>
      <c r="F344" s="97" t="s">
        <v>1582</v>
      </c>
      <c r="G344" s="97" t="s">
        <v>1583</v>
      </c>
      <c r="H344" s="97" t="s">
        <v>1568</v>
      </c>
      <c r="I344" s="97" t="s">
        <v>1568</v>
      </c>
      <c r="J344" s="97" t="s">
        <v>1584</v>
      </c>
      <c r="K344" s="97" t="s">
        <v>1585</v>
      </c>
      <c r="L344" s="97" t="s">
        <v>1586</v>
      </c>
    </row>
    <row r="345">
      <c r="A345" s="97" t="s">
        <v>1281</v>
      </c>
      <c r="B345" s="97"/>
      <c r="C345" s="97"/>
      <c r="D345" s="107">
        <v>1.0</v>
      </c>
      <c r="E345" s="107">
        <v>1.0</v>
      </c>
      <c r="F345" s="107">
        <v>1.0</v>
      </c>
      <c r="G345" s="107">
        <v>1.0</v>
      </c>
      <c r="H345" s="97"/>
      <c r="I345" s="97"/>
      <c r="J345" s="97"/>
      <c r="K345" s="97"/>
      <c r="L345" s="97"/>
    </row>
    <row r="346">
      <c r="A346" s="97" t="s">
        <v>1282</v>
      </c>
      <c r="B346" s="97"/>
      <c r="C346" s="97"/>
      <c r="D346" s="107">
        <v>1.0</v>
      </c>
      <c r="E346" s="107">
        <v>1.0</v>
      </c>
      <c r="F346" s="107">
        <v>1.0</v>
      </c>
      <c r="G346" s="107">
        <v>1.0</v>
      </c>
      <c r="H346" s="97"/>
      <c r="I346" s="97"/>
      <c r="J346" s="97"/>
      <c r="K346" s="97"/>
      <c r="L346" s="97"/>
    </row>
    <row r="347">
      <c r="A347" s="97" t="s">
        <v>948</v>
      </c>
      <c r="B347" s="97"/>
      <c r="C347" s="97"/>
      <c r="D347" s="107">
        <v>1.0</v>
      </c>
      <c r="E347" s="107">
        <v>1.0</v>
      </c>
      <c r="F347" s="107">
        <v>1.0</v>
      </c>
      <c r="G347" s="107">
        <v>1.0</v>
      </c>
      <c r="H347" s="97"/>
      <c r="I347" s="97"/>
      <c r="J347" s="97"/>
      <c r="K347" s="97"/>
      <c r="L347" s="97"/>
    </row>
    <row r="348">
      <c r="A348" s="97" t="s">
        <v>1283</v>
      </c>
      <c r="B348" s="97"/>
      <c r="C348" s="97"/>
      <c r="D348" s="107">
        <v>1.0</v>
      </c>
      <c r="E348" s="107">
        <v>1.0</v>
      </c>
      <c r="F348" s="107">
        <v>1.0</v>
      </c>
      <c r="G348" s="107">
        <v>1.0</v>
      </c>
      <c r="H348" s="97"/>
      <c r="I348" s="97"/>
      <c r="J348" s="97"/>
      <c r="K348" s="97"/>
      <c r="L348" s="97"/>
    </row>
    <row r="349">
      <c r="A349" s="97" t="s">
        <v>950</v>
      </c>
      <c r="B349" s="97"/>
      <c r="C349" s="97"/>
      <c r="D349" s="107">
        <v>1.0</v>
      </c>
      <c r="E349" s="107">
        <v>1.0</v>
      </c>
      <c r="F349" s="107">
        <v>1.0</v>
      </c>
      <c r="G349" s="107">
        <v>0.0</v>
      </c>
      <c r="H349" s="97"/>
      <c r="I349" s="97"/>
      <c r="J349" s="97"/>
      <c r="K349" s="97"/>
      <c r="L349" s="97"/>
    </row>
    <row r="350">
      <c r="A350" s="97" t="s">
        <v>951</v>
      </c>
      <c r="B350" s="97"/>
      <c r="C350" s="97"/>
      <c r="D350" s="107">
        <v>1.0</v>
      </c>
      <c r="E350" s="107">
        <v>1.0</v>
      </c>
      <c r="F350" s="107">
        <v>1.0</v>
      </c>
      <c r="G350" s="107">
        <v>1.0</v>
      </c>
      <c r="H350" s="97"/>
      <c r="I350" s="97"/>
      <c r="J350" s="97"/>
      <c r="K350" s="97"/>
      <c r="L350" s="97"/>
    </row>
    <row r="351">
      <c r="A351" s="97" t="s">
        <v>952</v>
      </c>
      <c r="B351" s="97"/>
      <c r="C351" s="97"/>
      <c r="D351" s="107">
        <v>1.0</v>
      </c>
      <c r="E351" s="107">
        <v>1.0</v>
      </c>
      <c r="F351" s="107">
        <v>1.0</v>
      </c>
      <c r="G351" s="107">
        <v>1.0</v>
      </c>
      <c r="H351" s="97"/>
      <c r="I351" s="97"/>
      <c r="J351" s="97"/>
      <c r="K351" s="97"/>
      <c r="L351" s="97"/>
    </row>
    <row r="352">
      <c r="A352" s="103" t="s">
        <v>1272</v>
      </c>
      <c r="B352" s="103"/>
      <c r="C352" s="103"/>
      <c r="D352" s="59" t="s">
        <v>1130</v>
      </c>
      <c r="E352" s="59" t="s">
        <v>1131</v>
      </c>
      <c r="F352" s="59" t="s">
        <v>1132</v>
      </c>
      <c r="G352" s="59" t="s">
        <v>1133</v>
      </c>
      <c r="H352" s="103"/>
      <c r="I352" s="103"/>
      <c r="J352" s="103"/>
      <c r="K352" s="103"/>
      <c r="L352" s="103"/>
      <c r="M352" s="104"/>
      <c r="N352" s="104"/>
      <c r="O352" s="104"/>
      <c r="P352" s="104"/>
      <c r="Q352" s="104"/>
      <c r="R352" s="104"/>
      <c r="S352" s="104"/>
      <c r="T352" s="104"/>
      <c r="U352" s="104"/>
      <c r="V352" s="104"/>
      <c r="W352" s="104"/>
      <c r="X352" s="104"/>
      <c r="Y352" s="104"/>
      <c r="Z352" s="104"/>
    </row>
    <row r="353">
      <c r="A353" s="108" t="s">
        <v>1273</v>
      </c>
      <c r="B353" s="103" t="s">
        <v>1587</v>
      </c>
      <c r="C353" s="103" t="s">
        <v>1588</v>
      </c>
      <c r="D353" s="103" t="s">
        <v>1589</v>
      </c>
      <c r="E353" s="103" t="s">
        <v>1590</v>
      </c>
      <c r="F353" s="103" t="s">
        <v>1591</v>
      </c>
      <c r="G353" s="103" t="s">
        <v>1592</v>
      </c>
      <c r="H353" s="103" t="s">
        <v>1593</v>
      </c>
      <c r="I353" s="103" t="s">
        <v>1594</v>
      </c>
      <c r="J353" s="103" t="s">
        <v>1595</v>
      </c>
      <c r="K353" s="103" t="s">
        <v>1591</v>
      </c>
      <c r="L353" s="103" t="s">
        <v>1002</v>
      </c>
      <c r="M353" s="104"/>
      <c r="N353" s="104"/>
      <c r="O353" s="104"/>
      <c r="P353" s="104"/>
      <c r="Q353" s="104"/>
      <c r="R353" s="104"/>
      <c r="S353" s="104"/>
      <c r="T353" s="104"/>
      <c r="U353" s="104"/>
      <c r="V353" s="104"/>
      <c r="W353" s="104"/>
      <c r="X353" s="104"/>
      <c r="Y353" s="104"/>
      <c r="Z353" s="104"/>
    </row>
    <row r="354">
      <c r="A354" s="103" t="s">
        <v>1281</v>
      </c>
      <c r="B354" s="103"/>
      <c r="C354" s="103"/>
      <c r="D354" s="102">
        <v>1.0</v>
      </c>
      <c r="E354" s="109">
        <v>1.0</v>
      </c>
      <c r="F354" s="109">
        <v>1.0</v>
      </c>
      <c r="G354" s="109">
        <v>1.0</v>
      </c>
      <c r="H354" s="103"/>
      <c r="I354" s="103"/>
      <c r="J354" s="103"/>
      <c r="K354" s="103"/>
      <c r="L354" s="103"/>
      <c r="M354" s="104"/>
      <c r="N354" s="104"/>
      <c r="O354" s="104"/>
      <c r="P354" s="104"/>
      <c r="Q354" s="104"/>
      <c r="R354" s="104"/>
      <c r="S354" s="104"/>
      <c r="T354" s="104"/>
      <c r="U354" s="104"/>
      <c r="V354" s="104"/>
      <c r="W354" s="104"/>
      <c r="X354" s="104"/>
      <c r="Y354" s="104"/>
      <c r="Z354" s="104"/>
    </row>
    <row r="355">
      <c r="A355" s="103" t="s">
        <v>1282</v>
      </c>
      <c r="B355" s="103"/>
      <c r="C355" s="103"/>
      <c r="D355" s="102">
        <v>1.0</v>
      </c>
      <c r="E355" s="109">
        <v>1.0</v>
      </c>
      <c r="F355" s="109">
        <v>1.0</v>
      </c>
      <c r="G355" s="109">
        <v>1.0</v>
      </c>
      <c r="H355" s="103"/>
      <c r="I355" s="103"/>
      <c r="J355" s="103"/>
      <c r="K355" s="103"/>
      <c r="L355" s="103"/>
      <c r="M355" s="104"/>
      <c r="N355" s="104"/>
      <c r="O355" s="104"/>
      <c r="P355" s="104"/>
      <c r="Q355" s="104"/>
      <c r="R355" s="104"/>
      <c r="S355" s="104"/>
      <c r="T355" s="104"/>
      <c r="U355" s="104"/>
      <c r="V355" s="104"/>
      <c r="W355" s="104"/>
      <c r="X355" s="104"/>
      <c r="Y355" s="104"/>
      <c r="Z355" s="104"/>
    </row>
    <row r="356">
      <c r="A356" s="103" t="s">
        <v>948</v>
      </c>
      <c r="B356" s="103"/>
      <c r="C356" s="103"/>
      <c r="D356" s="102">
        <v>0.0</v>
      </c>
      <c r="E356" s="109">
        <v>1.0</v>
      </c>
      <c r="F356" s="109">
        <v>1.0</v>
      </c>
      <c r="G356" s="109">
        <v>1.0</v>
      </c>
      <c r="H356" s="103"/>
      <c r="I356" s="103"/>
      <c r="J356" s="103"/>
      <c r="K356" s="103"/>
      <c r="L356" s="103"/>
      <c r="M356" s="104"/>
      <c r="N356" s="104"/>
      <c r="O356" s="104"/>
      <c r="P356" s="104"/>
      <c r="Q356" s="104"/>
      <c r="R356" s="104"/>
      <c r="S356" s="104"/>
      <c r="T356" s="104"/>
      <c r="U356" s="104"/>
      <c r="V356" s="104"/>
      <c r="W356" s="104"/>
      <c r="X356" s="104"/>
      <c r="Y356" s="104"/>
      <c r="Z356" s="104"/>
    </row>
    <row r="357">
      <c r="A357" s="103" t="s">
        <v>1283</v>
      </c>
      <c r="B357" s="103"/>
      <c r="C357" s="103"/>
      <c r="D357" s="102">
        <v>1.0</v>
      </c>
      <c r="E357" s="109">
        <v>1.0</v>
      </c>
      <c r="F357" s="109">
        <v>1.0</v>
      </c>
      <c r="G357" s="109">
        <v>1.0</v>
      </c>
      <c r="H357" s="103"/>
      <c r="I357" s="103"/>
      <c r="J357" s="103"/>
      <c r="K357" s="103"/>
      <c r="L357" s="103"/>
      <c r="M357" s="104"/>
      <c r="N357" s="104"/>
      <c r="O357" s="104"/>
      <c r="P357" s="104"/>
      <c r="Q357" s="104"/>
      <c r="R357" s="104"/>
      <c r="S357" s="104"/>
      <c r="T357" s="104"/>
      <c r="U357" s="104"/>
      <c r="V357" s="104"/>
      <c r="W357" s="104"/>
      <c r="X357" s="104"/>
      <c r="Y357" s="104"/>
      <c r="Z357" s="104"/>
    </row>
    <row r="358">
      <c r="A358" s="103" t="s">
        <v>950</v>
      </c>
      <c r="B358" s="103"/>
      <c r="C358" s="103"/>
      <c r="D358" s="102">
        <v>1.0</v>
      </c>
      <c r="E358" s="109">
        <v>1.0</v>
      </c>
      <c r="F358" s="109">
        <v>1.0</v>
      </c>
      <c r="G358" s="109">
        <v>1.0</v>
      </c>
      <c r="H358" s="103"/>
      <c r="I358" s="103"/>
      <c r="J358" s="103"/>
      <c r="K358" s="103"/>
      <c r="L358" s="103"/>
      <c r="M358" s="104"/>
      <c r="N358" s="104"/>
      <c r="O358" s="104"/>
      <c r="P358" s="104"/>
      <c r="Q358" s="104"/>
      <c r="R358" s="104"/>
      <c r="S358" s="104"/>
      <c r="T358" s="104"/>
      <c r="U358" s="104"/>
      <c r="V358" s="104"/>
      <c r="W358" s="104"/>
      <c r="X358" s="104"/>
      <c r="Y358" s="104"/>
      <c r="Z358" s="104"/>
    </row>
    <row r="359">
      <c r="A359" s="103" t="s">
        <v>951</v>
      </c>
      <c r="B359" s="103"/>
      <c r="C359" s="103"/>
      <c r="D359" s="102">
        <v>1.0</v>
      </c>
      <c r="E359" s="109">
        <v>1.0</v>
      </c>
      <c r="F359" s="109">
        <v>1.0</v>
      </c>
      <c r="G359" s="109">
        <v>1.0</v>
      </c>
      <c r="H359" s="103"/>
      <c r="I359" s="103"/>
      <c r="J359" s="103"/>
      <c r="K359" s="103"/>
      <c r="L359" s="103"/>
      <c r="M359" s="104"/>
      <c r="N359" s="104"/>
      <c r="O359" s="104"/>
      <c r="P359" s="104"/>
      <c r="Q359" s="104"/>
      <c r="R359" s="104"/>
      <c r="S359" s="104"/>
      <c r="T359" s="104"/>
      <c r="U359" s="104"/>
      <c r="V359" s="104"/>
      <c r="W359" s="104"/>
      <c r="X359" s="104"/>
      <c r="Y359" s="104"/>
      <c r="Z359" s="104"/>
    </row>
    <row r="360">
      <c r="A360" s="103" t="s">
        <v>952</v>
      </c>
      <c r="B360" s="103"/>
      <c r="C360" s="103"/>
      <c r="D360" s="102">
        <v>1.0</v>
      </c>
      <c r="E360" s="109">
        <v>1.0</v>
      </c>
      <c r="F360" s="109">
        <v>1.0</v>
      </c>
      <c r="G360" s="109">
        <v>1.0</v>
      </c>
      <c r="H360" s="103"/>
      <c r="I360" s="103"/>
      <c r="J360" s="103"/>
      <c r="K360" s="103"/>
      <c r="L360" s="103"/>
      <c r="M360" s="104"/>
      <c r="N360" s="104"/>
      <c r="O360" s="104"/>
      <c r="P360" s="104"/>
      <c r="Q360" s="104"/>
      <c r="R360" s="104"/>
      <c r="S360" s="104"/>
      <c r="T360" s="104"/>
      <c r="U360" s="104"/>
      <c r="V360" s="104"/>
      <c r="W360" s="104"/>
      <c r="X360" s="104"/>
      <c r="Y360" s="104"/>
      <c r="Z360" s="104"/>
    </row>
    <row r="361">
      <c r="A361" s="103" t="s">
        <v>1284</v>
      </c>
      <c r="B361" s="103" t="s">
        <v>1587</v>
      </c>
      <c r="C361" s="103" t="s">
        <v>1596</v>
      </c>
      <c r="D361" s="103" t="s">
        <v>1597</v>
      </c>
      <c r="E361" s="103" t="s">
        <v>1598</v>
      </c>
      <c r="F361" s="103" t="s">
        <v>1599</v>
      </c>
      <c r="G361" s="103" t="s">
        <v>1600</v>
      </c>
      <c r="H361" s="103" t="s">
        <v>1551</v>
      </c>
      <c r="I361" s="103" t="s">
        <v>1601</v>
      </c>
      <c r="J361" s="103" t="s">
        <v>1602</v>
      </c>
      <c r="K361" s="103" t="s">
        <v>1134</v>
      </c>
      <c r="L361" s="103" t="s">
        <v>1592</v>
      </c>
      <c r="M361" s="104"/>
      <c r="N361" s="104"/>
      <c r="O361" s="104"/>
      <c r="P361" s="104"/>
      <c r="Q361" s="104"/>
      <c r="R361" s="104"/>
      <c r="S361" s="104"/>
      <c r="T361" s="104"/>
      <c r="U361" s="104"/>
      <c r="V361" s="104"/>
      <c r="W361" s="104"/>
      <c r="X361" s="104"/>
      <c r="Y361" s="104"/>
      <c r="Z361" s="104"/>
    </row>
    <row r="362">
      <c r="A362" s="103" t="s">
        <v>1281</v>
      </c>
      <c r="B362" s="103"/>
      <c r="C362" s="103"/>
      <c r="D362" s="102">
        <v>1.0</v>
      </c>
      <c r="E362" s="109">
        <v>1.0</v>
      </c>
      <c r="F362" s="109">
        <v>1.0</v>
      </c>
      <c r="G362" s="109">
        <v>1.0</v>
      </c>
      <c r="H362" s="103"/>
      <c r="I362" s="103"/>
      <c r="J362" s="103"/>
      <c r="K362" s="103"/>
      <c r="L362" s="103"/>
      <c r="M362" s="104"/>
      <c r="N362" s="104"/>
      <c r="O362" s="104"/>
      <c r="P362" s="104"/>
      <c r="Q362" s="104"/>
      <c r="R362" s="104"/>
      <c r="S362" s="104"/>
      <c r="T362" s="104"/>
      <c r="U362" s="104"/>
      <c r="V362" s="104"/>
      <c r="W362" s="104"/>
      <c r="X362" s="104"/>
      <c r="Y362" s="104"/>
      <c r="Z362" s="104"/>
    </row>
    <row r="363">
      <c r="A363" s="103" t="s">
        <v>1282</v>
      </c>
      <c r="B363" s="103"/>
      <c r="C363" s="103"/>
      <c r="D363" s="102">
        <v>1.0</v>
      </c>
      <c r="E363" s="109">
        <v>1.0</v>
      </c>
      <c r="F363" s="109">
        <v>1.0</v>
      </c>
      <c r="G363" s="109">
        <v>1.0</v>
      </c>
      <c r="H363" s="103"/>
      <c r="I363" s="103"/>
      <c r="J363" s="103"/>
      <c r="K363" s="103"/>
      <c r="L363" s="103"/>
      <c r="M363" s="104"/>
      <c r="N363" s="104"/>
      <c r="O363" s="104"/>
      <c r="P363" s="104"/>
      <c r="Q363" s="104"/>
      <c r="R363" s="104"/>
      <c r="S363" s="104"/>
      <c r="T363" s="104"/>
      <c r="U363" s="104"/>
      <c r="V363" s="104"/>
      <c r="W363" s="104"/>
      <c r="X363" s="104"/>
      <c r="Y363" s="104"/>
      <c r="Z363" s="104"/>
    </row>
    <row r="364">
      <c r="A364" s="103" t="s">
        <v>948</v>
      </c>
      <c r="B364" s="103"/>
      <c r="C364" s="103"/>
      <c r="D364" s="102">
        <v>0.0</v>
      </c>
      <c r="E364" s="109">
        <v>1.0</v>
      </c>
      <c r="F364" s="109">
        <v>1.0</v>
      </c>
      <c r="G364" s="109">
        <v>1.0</v>
      </c>
      <c r="H364" s="103"/>
      <c r="I364" s="103"/>
      <c r="J364" s="103"/>
      <c r="K364" s="103"/>
      <c r="L364" s="103"/>
      <c r="M364" s="104"/>
      <c r="N364" s="104"/>
      <c r="O364" s="104"/>
      <c r="P364" s="104"/>
      <c r="Q364" s="104"/>
      <c r="R364" s="104"/>
      <c r="S364" s="104"/>
      <c r="T364" s="104"/>
      <c r="U364" s="104"/>
      <c r="V364" s="104"/>
      <c r="W364" s="104"/>
      <c r="X364" s="104"/>
      <c r="Y364" s="104"/>
      <c r="Z364" s="104"/>
    </row>
    <row r="365">
      <c r="A365" s="103" t="s">
        <v>1283</v>
      </c>
      <c r="B365" s="103"/>
      <c r="C365" s="103"/>
      <c r="D365" s="102">
        <v>1.0</v>
      </c>
      <c r="E365" s="109">
        <v>1.0</v>
      </c>
      <c r="F365" s="109">
        <v>1.0</v>
      </c>
      <c r="G365" s="109">
        <v>1.0</v>
      </c>
      <c r="H365" s="103"/>
      <c r="I365" s="103"/>
      <c r="J365" s="103"/>
      <c r="K365" s="103"/>
      <c r="L365" s="103"/>
      <c r="M365" s="104"/>
      <c r="N365" s="104"/>
      <c r="O365" s="104"/>
      <c r="P365" s="104"/>
      <c r="Q365" s="104"/>
      <c r="R365" s="104"/>
      <c r="S365" s="104"/>
      <c r="T365" s="104"/>
      <c r="U365" s="104"/>
      <c r="V365" s="104"/>
      <c r="W365" s="104"/>
      <c r="X365" s="104"/>
      <c r="Y365" s="104"/>
      <c r="Z365" s="104"/>
    </row>
    <row r="366">
      <c r="A366" s="103" t="s">
        <v>950</v>
      </c>
      <c r="B366" s="103"/>
      <c r="C366" s="103"/>
      <c r="D366" s="102">
        <v>1.0</v>
      </c>
      <c r="E366" s="110">
        <v>0.0</v>
      </c>
      <c r="F366" s="109">
        <v>1.0</v>
      </c>
      <c r="G366" s="109">
        <v>1.0</v>
      </c>
      <c r="H366" s="103"/>
      <c r="I366" s="103"/>
      <c r="J366" s="103"/>
      <c r="K366" s="103"/>
      <c r="L366" s="103"/>
      <c r="M366" s="104"/>
      <c r="N366" s="104"/>
      <c r="O366" s="104"/>
      <c r="P366" s="104"/>
      <c r="Q366" s="104"/>
      <c r="R366" s="104"/>
      <c r="S366" s="104"/>
      <c r="T366" s="104"/>
      <c r="U366" s="104"/>
      <c r="V366" s="104"/>
      <c r="W366" s="104"/>
      <c r="X366" s="104"/>
      <c r="Y366" s="104"/>
      <c r="Z366" s="104"/>
    </row>
    <row r="367">
      <c r="A367" s="103" t="s">
        <v>951</v>
      </c>
      <c r="B367" s="103"/>
      <c r="C367" s="103"/>
      <c r="D367" s="102">
        <v>1.0</v>
      </c>
      <c r="E367" s="109">
        <v>1.0</v>
      </c>
      <c r="F367" s="109">
        <v>1.0</v>
      </c>
      <c r="G367" s="109">
        <v>1.0</v>
      </c>
      <c r="H367" s="103"/>
      <c r="I367" s="103"/>
      <c r="J367" s="103"/>
      <c r="K367" s="103"/>
      <c r="L367" s="103"/>
      <c r="M367" s="104"/>
      <c r="N367" s="104"/>
      <c r="O367" s="104"/>
      <c r="P367" s="104"/>
      <c r="Q367" s="104"/>
      <c r="R367" s="104"/>
      <c r="S367" s="104"/>
      <c r="T367" s="104"/>
      <c r="U367" s="104"/>
      <c r="V367" s="104"/>
      <c r="W367" s="104"/>
      <c r="X367" s="104"/>
      <c r="Y367" s="104"/>
      <c r="Z367" s="104"/>
    </row>
    <row r="368">
      <c r="A368" s="103" t="s">
        <v>952</v>
      </c>
      <c r="B368" s="103"/>
      <c r="C368" s="103"/>
      <c r="D368" s="102">
        <v>1.0</v>
      </c>
      <c r="E368" s="109">
        <v>1.0</v>
      </c>
      <c r="F368" s="109">
        <v>1.0</v>
      </c>
      <c r="G368" s="109">
        <v>1.0</v>
      </c>
      <c r="H368" s="103"/>
      <c r="I368" s="103"/>
      <c r="J368" s="103"/>
      <c r="K368" s="103"/>
      <c r="L368" s="103"/>
      <c r="M368" s="104"/>
      <c r="N368" s="104"/>
      <c r="O368" s="104"/>
      <c r="P368" s="104"/>
      <c r="Q368" s="104"/>
      <c r="R368" s="104"/>
      <c r="S368" s="104"/>
      <c r="T368" s="104"/>
      <c r="U368" s="104"/>
      <c r="V368" s="104"/>
      <c r="W368" s="104"/>
      <c r="X368" s="104"/>
      <c r="Y368" s="104"/>
      <c r="Z368" s="104"/>
    </row>
    <row r="369">
      <c r="A369" s="103" t="s">
        <v>1291</v>
      </c>
      <c r="B369" s="103" t="s">
        <v>1587</v>
      </c>
      <c r="C369" s="103" t="s">
        <v>1603</v>
      </c>
      <c r="D369" s="103" t="s">
        <v>1604</v>
      </c>
      <c r="E369" s="103" t="s">
        <v>1605</v>
      </c>
      <c r="F369" s="103" t="s">
        <v>1606</v>
      </c>
      <c r="G369" s="103" t="s">
        <v>1607</v>
      </c>
      <c r="H369" s="103" t="s">
        <v>1554</v>
      </c>
      <c r="I369" s="103" t="s">
        <v>1554</v>
      </c>
      <c r="J369" s="103" t="s">
        <v>1608</v>
      </c>
      <c r="K369" s="103" t="s">
        <v>1609</v>
      </c>
      <c r="L369" s="103" t="s">
        <v>1610</v>
      </c>
      <c r="M369" s="104"/>
      <c r="N369" s="104"/>
      <c r="O369" s="104"/>
      <c r="P369" s="104"/>
      <c r="Q369" s="104"/>
      <c r="R369" s="104"/>
      <c r="S369" s="104"/>
      <c r="T369" s="104"/>
      <c r="U369" s="104"/>
      <c r="V369" s="104"/>
      <c r="W369" s="104"/>
      <c r="X369" s="104"/>
      <c r="Y369" s="104"/>
      <c r="Z369" s="104"/>
    </row>
    <row r="370">
      <c r="A370" s="103" t="s">
        <v>1281</v>
      </c>
      <c r="B370" s="103"/>
      <c r="C370" s="103"/>
      <c r="D370" s="102">
        <v>1.0</v>
      </c>
      <c r="E370" s="109">
        <v>1.0</v>
      </c>
      <c r="F370" s="109">
        <v>1.0</v>
      </c>
      <c r="G370" s="109">
        <v>1.0</v>
      </c>
      <c r="H370" s="103"/>
      <c r="I370" s="103"/>
      <c r="J370" s="103"/>
      <c r="K370" s="103"/>
      <c r="L370" s="103"/>
      <c r="M370" s="104"/>
      <c r="N370" s="104"/>
      <c r="O370" s="104"/>
      <c r="P370" s="104"/>
      <c r="Q370" s="104"/>
      <c r="R370" s="104"/>
      <c r="S370" s="104"/>
      <c r="T370" s="104"/>
      <c r="U370" s="104"/>
      <c r="V370" s="104"/>
      <c r="W370" s="104"/>
      <c r="X370" s="104"/>
      <c r="Y370" s="104"/>
      <c r="Z370" s="104"/>
    </row>
    <row r="371">
      <c r="A371" s="103" t="s">
        <v>1282</v>
      </c>
      <c r="B371" s="103"/>
      <c r="C371" s="103"/>
      <c r="D371" s="102">
        <v>1.0</v>
      </c>
      <c r="E371" s="109">
        <v>1.0</v>
      </c>
      <c r="F371" s="109">
        <v>1.0</v>
      </c>
      <c r="G371" s="109">
        <v>1.0</v>
      </c>
      <c r="H371" s="103"/>
      <c r="I371" s="103"/>
      <c r="J371" s="103"/>
      <c r="K371" s="103"/>
      <c r="L371" s="103"/>
      <c r="M371" s="104"/>
      <c r="N371" s="104"/>
      <c r="O371" s="104"/>
      <c r="P371" s="104"/>
      <c r="Q371" s="104"/>
      <c r="R371" s="104"/>
      <c r="S371" s="104"/>
      <c r="T371" s="104"/>
      <c r="U371" s="104"/>
      <c r="V371" s="104"/>
      <c r="W371" s="104"/>
      <c r="X371" s="104"/>
      <c r="Y371" s="104"/>
      <c r="Z371" s="104"/>
    </row>
    <row r="372">
      <c r="A372" s="103" t="s">
        <v>948</v>
      </c>
      <c r="B372" s="103"/>
      <c r="C372" s="103"/>
      <c r="D372" s="102">
        <v>0.0</v>
      </c>
      <c r="E372" s="109">
        <v>1.0</v>
      </c>
      <c r="F372" s="109">
        <v>1.0</v>
      </c>
      <c r="G372" s="109">
        <v>1.0</v>
      </c>
      <c r="H372" s="103"/>
      <c r="I372" s="103"/>
      <c r="J372" s="103"/>
      <c r="K372" s="103"/>
      <c r="L372" s="103"/>
      <c r="M372" s="104"/>
      <c r="N372" s="104"/>
      <c r="O372" s="104"/>
      <c r="P372" s="104"/>
      <c r="Q372" s="104"/>
      <c r="R372" s="104"/>
      <c r="S372" s="104"/>
      <c r="T372" s="104"/>
      <c r="U372" s="104"/>
      <c r="V372" s="104"/>
      <c r="W372" s="104"/>
      <c r="X372" s="104"/>
      <c r="Y372" s="104"/>
      <c r="Z372" s="104"/>
    </row>
    <row r="373">
      <c r="A373" s="103" t="s">
        <v>1283</v>
      </c>
      <c r="B373" s="103"/>
      <c r="C373" s="103"/>
      <c r="D373" s="102">
        <v>1.0</v>
      </c>
      <c r="E373" s="109">
        <v>1.0</v>
      </c>
      <c r="F373" s="109">
        <v>1.0</v>
      </c>
      <c r="G373" s="109">
        <v>1.0</v>
      </c>
      <c r="H373" s="103"/>
      <c r="I373" s="103"/>
      <c r="J373" s="103"/>
      <c r="K373" s="103"/>
      <c r="L373" s="103"/>
      <c r="M373" s="104"/>
      <c r="N373" s="104"/>
      <c r="O373" s="104"/>
      <c r="P373" s="104"/>
      <c r="Q373" s="104"/>
      <c r="R373" s="104"/>
      <c r="S373" s="104"/>
      <c r="T373" s="104"/>
      <c r="U373" s="104"/>
      <c r="V373" s="104"/>
      <c r="W373" s="104"/>
      <c r="X373" s="104"/>
      <c r="Y373" s="104"/>
      <c r="Z373" s="104"/>
    </row>
    <row r="374">
      <c r="A374" s="103" t="s">
        <v>950</v>
      </c>
      <c r="B374" s="103"/>
      <c r="C374" s="103"/>
      <c r="D374" s="102">
        <v>1.0</v>
      </c>
      <c r="E374" s="109">
        <v>1.0</v>
      </c>
      <c r="F374" s="109">
        <v>1.0</v>
      </c>
      <c r="G374" s="109">
        <v>1.0</v>
      </c>
      <c r="H374" s="103"/>
      <c r="I374" s="103"/>
      <c r="J374" s="103"/>
      <c r="K374" s="103"/>
      <c r="L374" s="103"/>
      <c r="M374" s="104"/>
      <c r="N374" s="104"/>
      <c r="O374" s="104"/>
      <c r="P374" s="104"/>
      <c r="Q374" s="104"/>
      <c r="R374" s="104"/>
      <c r="S374" s="104"/>
      <c r="T374" s="104"/>
      <c r="U374" s="104"/>
      <c r="V374" s="104"/>
      <c r="W374" s="104"/>
      <c r="X374" s="104"/>
      <c r="Y374" s="104"/>
      <c r="Z374" s="104"/>
    </row>
    <row r="375">
      <c r="A375" s="103" t="s">
        <v>951</v>
      </c>
      <c r="B375" s="103"/>
      <c r="C375" s="103"/>
      <c r="D375" s="102">
        <v>1.0</v>
      </c>
      <c r="E375" s="109">
        <v>1.0</v>
      </c>
      <c r="F375" s="109">
        <v>1.0</v>
      </c>
      <c r="G375" s="109">
        <v>1.0</v>
      </c>
      <c r="H375" s="103"/>
      <c r="I375" s="103"/>
      <c r="J375" s="103"/>
      <c r="K375" s="103"/>
      <c r="L375" s="103"/>
      <c r="M375" s="104"/>
      <c r="N375" s="104"/>
      <c r="O375" s="104"/>
      <c r="P375" s="104"/>
      <c r="Q375" s="104"/>
      <c r="R375" s="104"/>
      <c r="S375" s="104"/>
      <c r="T375" s="104"/>
      <c r="U375" s="104"/>
      <c r="V375" s="104"/>
      <c r="W375" s="104"/>
      <c r="X375" s="104"/>
      <c r="Y375" s="104"/>
      <c r="Z375" s="104"/>
    </row>
    <row r="376">
      <c r="A376" s="103" t="s">
        <v>952</v>
      </c>
      <c r="B376" s="103"/>
      <c r="C376" s="103"/>
      <c r="D376" s="102">
        <v>1.0</v>
      </c>
      <c r="E376" s="109">
        <v>1.0</v>
      </c>
      <c r="F376" s="109">
        <v>1.0</v>
      </c>
      <c r="G376" s="109">
        <v>1.0</v>
      </c>
      <c r="H376" s="103"/>
      <c r="I376" s="103"/>
      <c r="J376" s="103"/>
      <c r="K376" s="103"/>
      <c r="L376" s="103"/>
      <c r="M376" s="104"/>
      <c r="N376" s="104"/>
      <c r="O376" s="104"/>
      <c r="P376" s="104"/>
      <c r="Q376" s="104"/>
      <c r="R376" s="104"/>
      <c r="S376" s="104"/>
      <c r="T376" s="104"/>
      <c r="U376" s="104"/>
      <c r="V376" s="104"/>
      <c r="W376" s="104"/>
      <c r="X376" s="104"/>
      <c r="Y376" s="104"/>
      <c r="Z376" s="104"/>
    </row>
    <row r="377">
      <c r="A377" s="97" t="s">
        <v>1272</v>
      </c>
      <c r="B377" s="97"/>
      <c r="C377" s="97"/>
      <c r="D377" s="5" t="s">
        <v>1140</v>
      </c>
      <c r="E377" s="5" t="s">
        <v>1141</v>
      </c>
      <c r="F377" s="5" t="s">
        <v>1142</v>
      </c>
      <c r="G377" s="5" t="s">
        <v>1143</v>
      </c>
      <c r="H377" s="97"/>
      <c r="I377" s="97"/>
      <c r="J377" s="97"/>
      <c r="K377" s="97"/>
      <c r="L377" s="97"/>
    </row>
    <row r="378">
      <c r="A378" s="108" t="s">
        <v>1273</v>
      </c>
      <c r="B378" s="97" t="s">
        <v>1611</v>
      </c>
      <c r="C378" s="97" t="s">
        <v>1389</v>
      </c>
      <c r="D378" s="97" t="s">
        <v>1551</v>
      </c>
      <c r="E378" s="97" t="s">
        <v>1612</v>
      </c>
      <c r="F378" s="97" t="s">
        <v>1332</v>
      </c>
      <c r="G378" s="97" t="s">
        <v>1613</v>
      </c>
      <c r="H378" s="97" t="s">
        <v>1394</v>
      </c>
      <c r="I378" s="97" t="s">
        <v>1554</v>
      </c>
      <c r="J378" s="97" t="s">
        <v>1614</v>
      </c>
      <c r="K378" s="97" t="s">
        <v>1332</v>
      </c>
      <c r="L378" s="97" t="s">
        <v>1615</v>
      </c>
    </row>
    <row r="379">
      <c r="A379" s="97" t="s">
        <v>1281</v>
      </c>
      <c r="B379" s="97"/>
      <c r="C379" s="97"/>
      <c r="D379" s="107">
        <v>1.0</v>
      </c>
      <c r="E379" s="107">
        <v>1.0</v>
      </c>
      <c r="F379" s="107">
        <v>1.0</v>
      </c>
      <c r="G379" s="107">
        <v>1.0</v>
      </c>
      <c r="H379" s="97"/>
      <c r="I379" s="97"/>
      <c r="J379" s="97"/>
      <c r="K379" s="97"/>
      <c r="L379" s="97"/>
    </row>
    <row r="380">
      <c r="A380" s="97" t="s">
        <v>1282</v>
      </c>
      <c r="B380" s="97"/>
      <c r="C380" s="97"/>
      <c r="D380" s="107">
        <v>1.0</v>
      </c>
      <c r="E380" s="107">
        <v>1.0</v>
      </c>
      <c r="F380" s="107">
        <v>1.0</v>
      </c>
      <c r="G380" s="107">
        <v>1.0</v>
      </c>
      <c r="H380" s="97"/>
      <c r="I380" s="97"/>
      <c r="J380" s="97"/>
      <c r="K380" s="97"/>
      <c r="L380" s="97"/>
    </row>
    <row r="381">
      <c r="A381" s="97" t="s">
        <v>948</v>
      </c>
      <c r="B381" s="97"/>
      <c r="C381" s="97"/>
      <c r="D381" s="107">
        <v>0.0</v>
      </c>
      <c r="E381" s="107">
        <v>1.0</v>
      </c>
      <c r="F381" s="107">
        <v>0.0</v>
      </c>
      <c r="G381" s="107">
        <v>1.0</v>
      </c>
      <c r="H381" s="97"/>
      <c r="I381" s="97"/>
      <c r="J381" s="97"/>
      <c r="K381" s="97"/>
      <c r="L381" s="97"/>
    </row>
    <row r="382">
      <c r="A382" s="97" t="s">
        <v>1283</v>
      </c>
      <c r="B382" s="97"/>
      <c r="C382" s="97"/>
      <c r="D382" s="107">
        <v>1.0</v>
      </c>
      <c r="E382" s="107">
        <v>1.0</v>
      </c>
      <c r="F382" s="107">
        <v>1.0</v>
      </c>
      <c r="G382" s="107">
        <v>1.0</v>
      </c>
      <c r="H382" s="97"/>
      <c r="I382" s="97"/>
      <c r="J382" s="97"/>
      <c r="K382" s="97"/>
      <c r="L382" s="97"/>
    </row>
    <row r="383">
      <c r="A383" s="97" t="s">
        <v>950</v>
      </c>
      <c r="B383" s="97"/>
      <c r="C383" s="97"/>
      <c r="D383" s="107">
        <v>1.0</v>
      </c>
      <c r="E383" s="107">
        <v>1.0</v>
      </c>
      <c r="F383" s="107">
        <v>1.0</v>
      </c>
      <c r="G383" s="107">
        <v>1.0</v>
      </c>
      <c r="H383" s="97"/>
      <c r="I383" s="97"/>
      <c r="J383" s="97"/>
      <c r="K383" s="97"/>
      <c r="L383" s="97"/>
    </row>
    <row r="384">
      <c r="A384" s="97" t="s">
        <v>951</v>
      </c>
      <c r="B384" s="97"/>
      <c r="C384" s="97"/>
      <c r="D384" s="107">
        <v>1.0</v>
      </c>
      <c r="E384" s="107">
        <v>1.0</v>
      </c>
      <c r="F384" s="107">
        <v>1.0</v>
      </c>
      <c r="G384" s="107">
        <v>1.0</v>
      </c>
      <c r="H384" s="97"/>
      <c r="I384" s="97"/>
      <c r="J384" s="97"/>
      <c r="K384" s="97"/>
      <c r="L384" s="97"/>
    </row>
    <row r="385">
      <c r="A385" s="97" t="s">
        <v>952</v>
      </c>
      <c r="B385" s="97"/>
      <c r="C385" s="97"/>
      <c r="D385" s="107">
        <v>1.0</v>
      </c>
      <c r="E385" s="107">
        <v>1.0</v>
      </c>
      <c r="F385" s="107">
        <v>1.0</v>
      </c>
      <c r="G385" s="107">
        <v>1.0</v>
      </c>
      <c r="H385" s="97"/>
      <c r="I385" s="97"/>
      <c r="J385" s="97"/>
      <c r="K385" s="97"/>
      <c r="L385" s="97"/>
    </row>
    <row r="386">
      <c r="A386" s="97" t="s">
        <v>1284</v>
      </c>
      <c r="B386" s="97" t="s">
        <v>1611</v>
      </c>
      <c r="C386" s="97" t="s">
        <v>1616</v>
      </c>
      <c r="D386" s="97" t="s">
        <v>1617</v>
      </c>
      <c r="E386" s="97" t="s">
        <v>1618</v>
      </c>
      <c r="F386" s="97" t="s">
        <v>1619</v>
      </c>
      <c r="G386" s="97" t="s">
        <v>1620</v>
      </c>
      <c r="H386" s="97" t="s">
        <v>1621</v>
      </c>
      <c r="I386" s="97" t="s">
        <v>1622</v>
      </c>
      <c r="J386" s="97" t="s">
        <v>1623</v>
      </c>
      <c r="K386" s="97" t="s">
        <v>1372</v>
      </c>
      <c r="L386" s="97" t="s">
        <v>1002</v>
      </c>
    </row>
    <row r="387">
      <c r="A387" s="97" t="s">
        <v>1281</v>
      </c>
      <c r="B387" s="97"/>
      <c r="C387" s="97"/>
      <c r="D387" s="107">
        <v>1.0</v>
      </c>
      <c r="E387" s="107">
        <v>1.0</v>
      </c>
      <c r="F387" s="107">
        <v>1.0</v>
      </c>
      <c r="G387" s="107">
        <v>1.0</v>
      </c>
      <c r="H387" s="97"/>
      <c r="I387" s="97"/>
      <c r="J387" s="97"/>
      <c r="K387" s="97"/>
      <c r="L387" s="97"/>
    </row>
    <row r="388">
      <c r="A388" s="97" t="s">
        <v>1282</v>
      </c>
      <c r="B388" s="97"/>
      <c r="C388" s="97"/>
      <c r="D388" s="107">
        <v>1.0</v>
      </c>
      <c r="E388" s="107">
        <v>1.0</v>
      </c>
      <c r="F388" s="107">
        <v>1.0</v>
      </c>
      <c r="G388" s="107">
        <v>1.0</v>
      </c>
      <c r="H388" s="97"/>
      <c r="I388" s="97"/>
      <c r="J388" s="97"/>
      <c r="K388" s="97"/>
      <c r="L388" s="97"/>
    </row>
    <row r="389">
      <c r="A389" s="97" t="s">
        <v>948</v>
      </c>
      <c r="B389" s="97"/>
      <c r="C389" s="97"/>
      <c r="D389" s="107">
        <v>1.0</v>
      </c>
      <c r="E389" s="107">
        <v>1.0</v>
      </c>
      <c r="F389" s="107">
        <v>1.0</v>
      </c>
      <c r="G389" s="107">
        <v>1.0</v>
      </c>
      <c r="H389" s="97"/>
      <c r="I389" s="97"/>
      <c r="J389" s="97"/>
      <c r="K389" s="97"/>
      <c r="L389" s="97"/>
    </row>
    <row r="390">
      <c r="A390" s="97" t="s">
        <v>1283</v>
      </c>
      <c r="B390" s="97"/>
      <c r="C390" s="97"/>
      <c r="D390" s="107">
        <v>1.0</v>
      </c>
      <c r="E390" s="107">
        <v>1.0</v>
      </c>
      <c r="F390" s="107">
        <v>1.0</v>
      </c>
      <c r="G390" s="107">
        <v>1.0</v>
      </c>
      <c r="H390" s="97"/>
      <c r="I390" s="97"/>
      <c r="J390" s="97"/>
      <c r="K390" s="97"/>
      <c r="L390" s="97"/>
    </row>
    <row r="391">
      <c r="A391" s="97" t="s">
        <v>950</v>
      </c>
      <c r="B391" s="97"/>
      <c r="C391" s="97"/>
      <c r="D391" s="107">
        <v>1.0</v>
      </c>
      <c r="E391" s="107">
        <v>1.0</v>
      </c>
      <c r="F391" s="107">
        <v>1.0</v>
      </c>
      <c r="G391" s="107">
        <v>1.0</v>
      </c>
      <c r="H391" s="97"/>
      <c r="I391" s="97"/>
      <c r="J391" s="97"/>
      <c r="K391" s="97"/>
      <c r="L391" s="97"/>
    </row>
    <row r="392">
      <c r="A392" s="97" t="s">
        <v>951</v>
      </c>
      <c r="B392" s="97"/>
      <c r="C392" s="97"/>
      <c r="D392" s="107">
        <v>1.0</v>
      </c>
      <c r="E392" s="107">
        <v>1.0</v>
      </c>
      <c r="F392" s="107">
        <v>1.0</v>
      </c>
      <c r="G392" s="107">
        <v>1.0</v>
      </c>
      <c r="H392" s="97"/>
      <c r="I392" s="97"/>
      <c r="J392" s="97"/>
      <c r="K392" s="97"/>
      <c r="L392" s="97"/>
    </row>
    <row r="393">
      <c r="A393" s="97" t="s">
        <v>952</v>
      </c>
      <c r="B393" s="97"/>
      <c r="C393" s="97"/>
      <c r="D393" s="107">
        <v>1.0</v>
      </c>
      <c r="E393" s="107">
        <v>1.0</v>
      </c>
      <c r="F393" s="107">
        <v>1.0</v>
      </c>
      <c r="G393" s="107">
        <v>1.0</v>
      </c>
      <c r="H393" s="97"/>
      <c r="I393" s="97"/>
      <c r="J393" s="97"/>
      <c r="K393" s="97"/>
      <c r="L393" s="97"/>
    </row>
    <row r="394">
      <c r="A394" s="97" t="s">
        <v>1291</v>
      </c>
      <c r="B394" s="97" t="s">
        <v>1611</v>
      </c>
      <c r="C394" s="97" t="s">
        <v>1624</v>
      </c>
      <c r="D394" s="97" t="s">
        <v>1625</v>
      </c>
      <c r="E394" s="97" t="s">
        <v>1626</v>
      </c>
      <c r="F394" s="97" t="s">
        <v>1627</v>
      </c>
      <c r="G394" s="97" t="s">
        <v>1628</v>
      </c>
      <c r="H394" s="97" t="s">
        <v>1621</v>
      </c>
      <c r="I394" s="97" t="s">
        <v>1551</v>
      </c>
      <c r="J394" s="97" t="s">
        <v>1629</v>
      </c>
      <c r="K394" s="97" t="s">
        <v>1332</v>
      </c>
      <c r="L394" s="97" t="s">
        <v>1002</v>
      </c>
    </row>
    <row r="395">
      <c r="A395" s="97" t="s">
        <v>1281</v>
      </c>
      <c r="B395" s="97"/>
      <c r="C395" s="97"/>
      <c r="D395" s="107">
        <v>1.0</v>
      </c>
      <c r="E395" s="107">
        <v>1.0</v>
      </c>
      <c r="F395" s="107">
        <v>1.0</v>
      </c>
      <c r="G395" s="107">
        <v>1.0</v>
      </c>
      <c r="H395" s="97"/>
      <c r="I395" s="97"/>
      <c r="J395" s="97"/>
      <c r="K395" s="97"/>
      <c r="L395" s="97"/>
    </row>
    <row r="396">
      <c r="A396" s="97" t="s">
        <v>1282</v>
      </c>
      <c r="B396" s="97"/>
      <c r="C396" s="97"/>
      <c r="D396" s="107">
        <v>1.0</v>
      </c>
      <c r="E396" s="107">
        <v>1.0</v>
      </c>
      <c r="F396" s="107">
        <v>1.0</v>
      </c>
      <c r="G396" s="107">
        <v>1.0</v>
      </c>
      <c r="H396" s="97"/>
      <c r="I396" s="97"/>
      <c r="J396" s="97"/>
      <c r="K396" s="97"/>
      <c r="L396" s="97"/>
    </row>
    <row r="397">
      <c r="A397" s="97" t="s">
        <v>948</v>
      </c>
      <c r="B397" s="97"/>
      <c r="C397" s="97"/>
      <c r="D397" s="107">
        <v>0.0</v>
      </c>
      <c r="E397" s="107">
        <v>1.0</v>
      </c>
      <c r="F397" s="107">
        <v>0.0</v>
      </c>
      <c r="G397" s="107">
        <v>1.0</v>
      </c>
      <c r="H397" s="97"/>
      <c r="I397" s="97"/>
      <c r="J397" s="97"/>
      <c r="K397" s="97"/>
      <c r="L397" s="97"/>
    </row>
    <row r="398">
      <c r="A398" s="97" t="s">
        <v>1283</v>
      </c>
      <c r="B398" s="97"/>
      <c r="C398" s="97"/>
      <c r="D398" s="107">
        <v>1.0</v>
      </c>
      <c r="E398" s="107">
        <v>1.0</v>
      </c>
      <c r="F398" s="107">
        <v>1.0</v>
      </c>
      <c r="G398" s="107">
        <v>1.0</v>
      </c>
      <c r="H398" s="97"/>
      <c r="I398" s="97"/>
      <c r="J398" s="97"/>
      <c r="K398" s="97"/>
      <c r="L398" s="97"/>
    </row>
    <row r="399">
      <c r="A399" s="97" t="s">
        <v>950</v>
      </c>
      <c r="B399" s="97"/>
      <c r="C399" s="97"/>
      <c r="D399" s="107">
        <v>1.0</v>
      </c>
      <c r="E399" s="107">
        <v>1.0</v>
      </c>
      <c r="F399" s="107">
        <v>1.0</v>
      </c>
      <c r="G399" s="107">
        <v>1.0</v>
      </c>
      <c r="H399" s="97"/>
      <c r="I399" s="97"/>
      <c r="J399" s="97"/>
      <c r="K399" s="97"/>
      <c r="L399" s="97"/>
    </row>
    <row r="400">
      <c r="A400" s="97" t="s">
        <v>951</v>
      </c>
      <c r="B400" s="97"/>
      <c r="C400" s="97"/>
      <c r="D400" s="107">
        <v>1.0</v>
      </c>
      <c r="E400" s="107">
        <v>1.0</v>
      </c>
      <c r="F400" s="107">
        <v>1.0</v>
      </c>
      <c r="G400" s="107">
        <v>1.0</v>
      </c>
      <c r="H400" s="97"/>
      <c r="I400" s="97"/>
      <c r="J400" s="97"/>
      <c r="K400" s="97"/>
      <c r="L400" s="97"/>
    </row>
    <row r="401">
      <c r="A401" s="97" t="s">
        <v>952</v>
      </c>
      <c r="B401" s="97"/>
      <c r="C401" s="97"/>
      <c r="D401" s="107">
        <v>1.0</v>
      </c>
      <c r="E401" s="107">
        <v>1.0</v>
      </c>
      <c r="F401" s="107">
        <v>1.0</v>
      </c>
      <c r="G401" s="107">
        <v>1.0</v>
      </c>
      <c r="H401" s="97"/>
      <c r="I401" s="97"/>
      <c r="J401" s="97"/>
      <c r="K401" s="97"/>
      <c r="L401" s="97"/>
    </row>
    <row r="402">
      <c r="A402" s="103" t="s">
        <v>1272</v>
      </c>
      <c r="B402" s="103"/>
      <c r="C402" s="103"/>
      <c r="D402" s="59" t="s">
        <v>1152</v>
      </c>
      <c r="E402" s="98" t="s">
        <v>1153</v>
      </c>
      <c r="F402" s="59" t="s">
        <v>1154</v>
      </c>
      <c r="G402" s="59" t="s">
        <v>1155</v>
      </c>
      <c r="H402" s="103"/>
      <c r="I402" s="103"/>
      <c r="J402" s="103"/>
      <c r="K402" s="103"/>
      <c r="L402" s="103"/>
      <c r="M402" s="104"/>
      <c r="N402" s="104"/>
      <c r="O402" s="104"/>
      <c r="P402" s="104"/>
      <c r="Q402" s="104"/>
      <c r="R402" s="104"/>
      <c r="S402" s="104"/>
      <c r="T402" s="104"/>
      <c r="U402" s="104"/>
      <c r="V402" s="104"/>
      <c r="W402" s="104"/>
      <c r="X402" s="104"/>
      <c r="Y402" s="104"/>
      <c r="Z402" s="104"/>
    </row>
    <row r="403">
      <c r="A403" s="108" t="s">
        <v>1273</v>
      </c>
      <c r="B403" s="103" t="s">
        <v>1630</v>
      </c>
      <c r="C403" s="103" t="s">
        <v>1631</v>
      </c>
      <c r="D403" s="103" t="s">
        <v>1632</v>
      </c>
      <c r="E403" s="103" t="s">
        <v>1633</v>
      </c>
      <c r="F403" s="103" t="s">
        <v>1634</v>
      </c>
      <c r="G403" s="103" t="s">
        <v>1635</v>
      </c>
      <c r="H403" s="103" t="s">
        <v>1631</v>
      </c>
      <c r="I403" s="103" t="s">
        <v>1631</v>
      </c>
      <c r="J403" s="103" t="s">
        <v>1636</v>
      </c>
      <c r="K403" s="103" t="s">
        <v>1634</v>
      </c>
      <c r="L403" s="103" t="s">
        <v>1637</v>
      </c>
      <c r="M403" s="104"/>
      <c r="N403" s="104"/>
      <c r="O403" s="104"/>
      <c r="P403" s="104"/>
      <c r="Q403" s="104"/>
      <c r="R403" s="104"/>
      <c r="S403" s="104"/>
      <c r="T403" s="104"/>
      <c r="U403" s="104"/>
      <c r="V403" s="104"/>
      <c r="W403" s="104"/>
      <c r="X403" s="104"/>
      <c r="Y403" s="104"/>
      <c r="Z403" s="104"/>
    </row>
    <row r="404">
      <c r="A404" s="103" t="s">
        <v>1281</v>
      </c>
      <c r="B404" s="103"/>
      <c r="C404" s="103"/>
      <c r="D404" s="102">
        <v>1.0</v>
      </c>
      <c r="E404" s="102">
        <v>1.0</v>
      </c>
      <c r="F404" s="102">
        <v>1.0</v>
      </c>
      <c r="G404" s="102">
        <v>1.0</v>
      </c>
      <c r="H404" s="103"/>
      <c r="I404" s="103"/>
      <c r="J404" s="103"/>
      <c r="K404" s="103"/>
      <c r="L404" s="103"/>
      <c r="M404" s="104"/>
      <c r="N404" s="104"/>
      <c r="O404" s="104"/>
      <c r="P404" s="104"/>
      <c r="Q404" s="104"/>
      <c r="R404" s="104"/>
      <c r="S404" s="104"/>
      <c r="T404" s="104"/>
      <c r="U404" s="104"/>
      <c r="V404" s="104"/>
      <c r="W404" s="104"/>
      <c r="X404" s="104"/>
      <c r="Y404" s="104"/>
      <c r="Z404" s="104"/>
    </row>
    <row r="405">
      <c r="A405" s="103" t="s">
        <v>1282</v>
      </c>
      <c r="B405" s="103"/>
      <c r="C405" s="103"/>
      <c r="D405" s="102">
        <v>1.0</v>
      </c>
      <c r="E405" s="102">
        <v>1.0</v>
      </c>
      <c r="F405" s="102">
        <v>1.0</v>
      </c>
      <c r="G405" s="102">
        <v>1.0</v>
      </c>
      <c r="H405" s="103"/>
      <c r="I405" s="103"/>
      <c r="J405" s="103"/>
      <c r="K405" s="103"/>
      <c r="L405" s="103"/>
      <c r="M405" s="104"/>
      <c r="N405" s="104"/>
      <c r="O405" s="104"/>
      <c r="P405" s="104"/>
      <c r="Q405" s="104"/>
      <c r="R405" s="104"/>
      <c r="S405" s="104"/>
      <c r="T405" s="104"/>
      <c r="U405" s="104"/>
      <c r="V405" s="104"/>
      <c r="W405" s="104"/>
      <c r="X405" s="104"/>
      <c r="Y405" s="104"/>
      <c r="Z405" s="104"/>
    </row>
    <row r="406">
      <c r="A406" s="103" t="s">
        <v>948</v>
      </c>
      <c r="B406" s="103"/>
      <c r="C406" s="103"/>
      <c r="D406" s="102">
        <v>1.0</v>
      </c>
      <c r="E406" s="102">
        <v>1.0</v>
      </c>
      <c r="F406" s="102">
        <v>0.0</v>
      </c>
      <c r="G406" s="102">
        <v>1.0</v>
      </c>
      <c r="H406" s="103"/>
      <c r="I406" s="103"/>
      <c r="J406" s="103"/>
      <c r="K406" s="103"/>
      <c r="L406" s="103"/>
      <c r="M406" s="104"/>
      <c r="N406" s="104"/>
      <c r="O406" s="104"/>
      <c r="P406" s="104"/>
      <c r="Q406" s="104"/>
      <c r="R406" s="104"/>
      <c r="S406" s="104"/>
      <c r="T406" s="104"/>
      <c r="U406" s="104"/>
      <c r="V406" s="104"/>
      <c r="W406" s="104"/>
      <c r="X406" s="104"/>
      <c r="Y406" s="104"/>
      <c r="Z406" s="104"/>
    </row>
    <row r="407">
      <c r="A407" s="103" t="s">
        <v>1283</v>
      </c>
      <c r="B407" s="103"/>
      <c r="C407" s="103"/>
      <c r="D407" s="102">
        <v>1.0</v>
      </c>
      <c r="E407" s="102">
        <v>1.0</v>
      </c>
      <c r="F407" s="102">
        <v>1.0</v>
      </c>
      <c r="G407" s="102">
        <v>1.0</v>
      </c>
      <c r="H407" s="103"/>
      <c r="I407" s="103"/>
      <c r="J407" s="103"/>
      <c r="K407" s="103"/>
      <c r="L407" s="103"/>
      <c r="M407" s="104"/>
      <c r="N407" s="104"/>
      <c r="O407" s="104"/>
      <c r="P407" s="104"/>
      <c r="Q407" s="104"/>
      <c r="R407" s="104"/>
      <c r="S407" s="104"/>
      <c r="T407" s="104"/>
      <c r="U407" s="104"/>
      <c r="V407" s="104"/>
      <c r="W407" s="104"/>
      <c r="X407" s="104"/>
      <c r="Y407" s="104"/>
      <c r="Z407" s="104"/>
    </row>
    <row r="408">
      <c r="A408" s="103" t="s">
        <v>950</v>
      </c>
      <c r="B408" s="103"/>
      <c r="C408" s="103"/>
      <c r="D408" s="102">
        <v>1.0</v>
      </c>
      <c r="E408" s="102">
        <v>1.0</v>
      </c>
      <c r="F408" s="102">
        <v>1.0</v>
      </c>
      <c r="G408" s="102">
        <v>0.0</v>
      </c>
      <c r="H408" s="103"/>
      <c r="I408" s="103"/>
      <c r="J408" s="103"/>
      <c r="K408" s="103"/>
      <c r="L408" s="103"/>
      <c r="M408" s="104"/>
      <c r="N408" s="104"/>
      <c r="O408" s="104"/>
      <c r="P408" s="104"/>
      <c r="Q408" s="104"/>
      <c r="R408" s="104"/>
      <c r="S408" s="104"/>
      <c r="T408" s="104"/>
      <c r="U408" s="104"/>
      <c r="V408" s="104"/>
      <c r="W408" s="104"/>
      <c r="X408" s="104"/>
      <c r="Y408" s="104"/>
      <c r="Z408" s="104"/>
    </row>
    <row r="409">
      <c r="A409" s="103" t="s">
        <v>951</v>
      </c>
      <c r="B409" s="103"/>
      <c r="C409" s="103"/>
      <c r="D409" s="102">
        <v>1.0</v>
      </c>
      <c r="E409" s="102">
        <v>1.0</v>
      </c>
      <c r="F409" s="102">
        <v>1.0</v>
      </c>
      <c r="G409" s="102">
        <v>1.0</v>
      </c>
      <c r="H409" s="103"/>
      <c r="I409" s="103"/>
      <c r="J409" s="103"/>
      <c r="K409" s="103"/>
      <c r="L409" s="103"/>
      <c r="M409" s="104"/>
      <c r="N409" s="104"/>
      <c r="O409" s="104"/>
      <c r="P409" s="104"/>
      <c r="Q409" s="104"/>
      <c r="R409" s="104"/>
      <c r="S409" s="104"/>
      <c r="T409" s="104"/>
      <c r="U409" s="104"/>
      <c r="V409" s="104"/>
      <c r="W409" s="104"/>
      <c r="X409" s="104"/>
      <c r="Y409" s="104"/>
      <c r="Z409" s="104"/>
    </row>
    <row r="410">
      <c r="A410" s="103" t="s">
        <v>952</v>
      </c>
      <c r="B410" s="103"/>
      <c r="C410" s="103"/>
      <c r="D410" s="102">
        <v>1.0</v>
      </c>
      <c r="E410" s="102">
        <v>1.0</v>
      </c>
      <c r="F410" s="102">
        <v>1.0</v>
      </c>
      <c r="G410" s="102">
        <v>1.0</v>
      </c>
      <c r="H410" s="103"/>
      <c r="I410" s="103"/>
      <c r="J410" s="103"/>
      <c r="K410" s="103"/>
      <c r="L410" s="103"/>
      <c r="M410" s="104"/>
      <c r="N410" s="104"/>
      <c r="O410" s="104"/>
      <c r="P410" s="104"/>
      <c r="Q410" s="104"/>
      <c r="R410" s="104"/>
      <c r="S410" s="104"/>
      <c r="T410" s="104"/>
      <c r="U410" s="104"/>
      <c r="V410" s="104"/>
      <c r="W410" s="104"/>
      <c r="X410" s="104"/>
      <c r="Y410" s="104"/>
      <c r="Z410" s="104"/>
    </row>
    <row r="411">
      <c r="A411" s="103" t="s">
        <v>1284</v>
      </c>
      <c r="B411" s="103" t="s">
        <v>1630</v>
      </c>
      <c r="C411" s="103" t="s">
        <v>1638</v>
      </c>
      <c r="D411" s="103" t="s">
        <v>1639</v>
      </c>
      <c r="E411" s="103" t="s">
        <v>1640</v>
      </c>
      <c r="F411" s="103" t="s">
        <v>1641</v>
      </c>
      <c r="G411" s="103" t="s">
        <v>1642</v>
      </c>
      <c r="H411" s="103" t="s">
        <v>1159</v>
      </c>
      <c r="I411" s="103" t="s">
        <v>1631</v>
      </c>
      <c r="J411" s="103" t="s">
        <v>1643</v>
      </c>
      <c r="K411" s="103" t="s">
        <v>1634</v>
      </c>
      <c r="L411" s="103" t="s">
        <v>1644</v>
      </c>
      <c r="M411" s="104"/>
      <c r="N411" s="104"/>
      <c r="O411" s="104"/>
      <c r="P411" s="104"/>
      <c r="Q411" s="104"/>
      <c r="R411" s="104"/>
      <c r="S411" s="104"/>
      <c r="T411" s="104"/>
      <c r="U411" s="104"/>
      <c r="V411" s="104"/>
      <c r="W411" s="104"/>
      <c r="X411" s="104"/>
      <c r="Y411" s="104"/>
      <c r="Z411" s="104"/>
    </row>
    <row r="412">
      <c r="A412" s="103" t="s">
        <v>1281</v>
      </c>
      <c r="B412" s="103"/>
      <c r="C412" s="103"/>
      <c r="D412" s="102">
        <v>1.0</v>
      </c>
      <c r="E412" s="102">
        <v>1.0</v>
      </c>
      <c r="F412" s="102">
        <v>1.0</v>
      </c>
      <c r="G412" s="102">
        <v>1.0</v>
      </c>
      <c r="H412" s="103"/>
      <c r="I412" s="103"/>
      <c r="J412" s="103"/>
      <c r="K412" s="103"/>
      <c r="L412" s="103"/>
      <c r="M412" s="104"/>
      <c r="N412" s="104"/>
      <c r="O412" s="104"/>
      <c r="P412" s="104"/>
      <c r="Q412" s="104"/>
      <c r="R412" s="104"/>
      <c r="S412" s="104"/>
      <c r="T412" s="104"/>
      <c r="U412" s="104"/>
      <c r="V412" s="104"/>
      <c r="W412" s="104"/>
      <c r="X412" s="104"/>
      <c r="Y412" s="104"/>
      <c r="Z412" s="104"/>
    </row>
    <row r="413">
      <c r="A413" s="103" t="s">
        <v>1282</v>
      </c>
      <c r="B413" s="103"/>
      <c r="C413" s="103"/>
      <c r="D413" s="102">
        <v>1.0</v>
      </c>
      <c r="E413" s="102">
        <v>1.0</v>
      </c>
      <c r="F413" s="102">
        <v>1.0</v>
      </c>
      <c r="G413" s="102">
        <v>1.0</v>
      </c>
      <c r="H413" s="103"/>
      <c r="I413" s="103"/>
      <c r="J413" s="103"/>
      <c r="K413" s="103"/>
      <c r="L413" s="103"/>
      <c r="M413" s="104"/>
      <c r="N413" s="104"/>
      <c r="O413" s="104"/>
      <c r="P413" s="104"/>
      <c r="Q413" s="104"/>
      <c r="R413" s="104"/>
      <c r="S413" s="104"/>
      <c r="T413" s="104"/>
      <c r="U413" s="104"/>
      <c r="V413" s="104"/>
      <c r="W413" s="104"/>
      <c r="X413" s="104"/>
      <c r="Y413" s="104"/>
      <c r="Z413" s="104"/>
    </row>
    <row r="414">
      <c r="A414" s="103" t="s">
        <v>948</v>
      </c>
      <c r="B414" s="103"/>
      <c r="C414" s="103"/>
      <c r="D414" s="102">
        <v>1.0</v>
      </c>
      <c r="E414" s="102">
        <v>1.0</v>
      </c>
      <c r="F414" s="102">
        <v>0.0</v>
      </c>
      <c r="G414" s="102">
        <v>1.0</v>
      </c>
      <c r="H414" s="103"/>
      <c r="I414" s="103"/>
      <c r="J414" s="103"/>
      <c r="K414" s="103"/>
      <c r="L414" s="103"/>
      <c r="M414" s="104"/>
      <c r="N414" s="104"/>
      <c r="O414" s="104"/>
      <c r="P414" s="104"/>
      <c r="Q414" s="104"/>
      <c r="R414" s="104"/>
      <c r="S414" s="104"/>
      <c r="T414" s="104"/>
      <c r="U414" s="104"/>
      <c r="V414" s="104"/>
      <c r="W414" s="104"/>
      <c r="X414" s="104"/>
      <c r="Y414" s="104"/>
      <c r="Z414" s="104"/>
    </row>
    <row r="415">
      <c r="A415" s="103" t="s">
        <v>1283</v>
      </c>
      <c r="B415" s="103"/>
      <c r="C415" s="103"/>
      <c r="D415" s="102">
        <v>1.0</v>
      </c>
      <c r="E415" s="102">
        <v>1.0</v>
      </c>
      <c r="F415" s="102">
        <v>1.0</v>
      </c>
      <c r="G415" s="102">
        <v>1.0</v>
      </c>
      <c r="H415" s="103"/>
      <c r="I415" s="103"/>
      <c r="J415" s="103"/>
      <c r="K415" s="103"/>
      <c r="L415" s="103"/>
      <c r="M415" s="104"/>
      <c r="N415" s="104"/>
      <c r="O415" s="104"/>
      <c r="P415" s="104"/>
      <c r="Q415" s="104"/>
      <c r="R415" s="104"/>
      <c r="S415" s="104"/>
      <c r="T415" s="104"/>
      <c r="U415" s="104"/>
      <c r="V415" s="104"/>
      <c r="W415" s="104"/>
      <c r="X415" s="104"/>
      <c r="Y415" s="104"/>
      <c r="Z415" s="104"/>
    </row>
    <row r="416">
      <c r="A416" s="103" t="s">
        <v>950</v>
      </c>
      <c r="B416" s="103"/>
      <c r="C416" s="103"/>
      <c r="D416" s="102">
        <v>1.0</v>
      </c>
      <c r="E416" s="102">
        <v>1.0</v>
      </c>
      <c r="F416" s="102">
        <v>1.0</v>
      </c>
      <c r="G416" s="102">
        <v>1.0</v>
      </c>
      <c r="H416" s="103"/>
      <c r="I416" s="103"/>
      <c r="J416" s="103"/>
      <c r="K416" s="103"/>
      <c r="L416" s="103"/>
      <c r="M416" s="104"/>
      <c r="N416" s="104"/>
      <c r="O416" s="104"/>
      <c r="P416" s="104"/>
      <c r="Q416" s="104"/>
      <c r="R416" s="104"/>
      <c r="S416" s="104"/>
      <c r="T416" s="104"/>
      <c r="U416" s="104"/>
      <c r="V416" s="104"/>
      <c r="W416" s="104"/>
      <c r="X416" s="104"/>
      <c r="Y416" s="104"/>
      <c r="Z416" s="104"/>
    </row>
    <row r="417">
      <c r="A417" s="103" t="s">
        <v>951</v>
      </c>
      <c r="B417" s="103"/>
      <c r="C417" s="103"/>
      <c r="D417" s="102">
        <v>1.0</v>
      </c>
      <c r="E417" s="102">
        <v>1.0</v>
      </c>
      <c r="F417" s="102">
        <v>1.0</v>
      </c>
      <c r="G417" s="102">
        <v>1.0</v>
      </c>
      <c r="H417" s="103"/>
      <c r="I417" s="103"/>
      <c r="J417" s="103"/>
      <c r="K417" s="103"/>
      <c r="L417" s="103"/>
      <c r="M417" s="104"/>
      <c r="N417" s="104"/>
      <c r="O417" s="104"/>
      <c r="P417" s="104"/>
      <c r="Q417" s="104"/>
      <c r="R417" s="104"/>
      <c r="S417" s="104"/>
      <c r="T417" s="104"/>
      <c r="U417" s="104"/>
      <c r="V417" s="104"/>
      <c r="W417" s="104"/>
      <c r="X417" s="104"/>
      <c r="Y417" s="104"/>
      <c r="Z417" s="104"/>
    </row>
    <row r="418">
      <c r="A418" s="103" t="s">
        <v>952</v>
      </c>
      <c r="B418" s="103"/>
      <c r="C418" s="103"/>
      <c r="D418" s="102">
        <v>1.0</v>
      </c>
      <c r="E418" s="102">
        <v>1.0</v>
      </c>
      <c r="F418" s="102">
        <v>1.0</v>
      </c>
      <c r="G418" s="102">
        <v>1.0</v>
      </c>
      <c r="H418" s="103"/>
      <c r="I418" s="103"/>
      <c r="J418" s="103"/>
      <c r="K418" s="103"/>
      <c r="L418" s="103"/>
      <c r="M418" s="104"/>
      <c r="N418" s="104"/>
      <c r="O418" s="104"/>
      <c r="P418" s="104"/>
      <c r="Q418" s="104"/>
      <c r="R418" s="104"/>
      <c r="S418" s="104"/>
      <c r="T418" s="104"/>
      <c r="U418" s="104"/>
      <c r="V418" s="104"/>
      <c r="W418" s="104"/>
      <c r="X418" s="104"/>
      <c r="Y418" s="104"/>
      <c r="Z418" s="104"/>
    </row>
    <row r="419">
      <c r="A419" s="103" t="s">
        <v>1291</v>
      </c>
      <c r="B419" s="103" t="s">
        <v>1630</v>
      </c>
      <c r="C419" s="103" t="s">
        <v>1645</v>
      </c>
      <c r="D419" s="103" t="s">
        <v>1646</v>
      </c>
      <c r="E419" s="103" t="s">
        <v>1647</v>
      </c>
      <c r="F419" s="103" t="s">
        <v>1648</v>
      </c>
      <c r="G419" s="103" t="s">
        <v>1649</v>
      </c>
      <c r="H419" s="103" t="s">
        <v>1650</v>
      </c>
      <c r="I419" s="103" t="s">
        <v>1631</v>
      </c>
      <c r="J419" s="103" t="s">
        <v>1651</v>
      </c>
      <c r="K419" s="103" t="s">
        <v>1634</v>
      </c>
      <c r="L419" s="103" t="s">
        <v>1426</v>
      </c>
      <c r="M419" s="104"/>
      <c r="N419" s="104"/>
      <c r="O419" s="104"/>
      <c r="P419" s="104"/>
      <c r="Q419" s="104"/>
      <c r="R419" s="104"/>
      <c r="S419" s="104"/>
      <c r="T419" s="104"/>
      <c r="U419" s="104"/>
      <c r="V419" s="104"/>
      <c r="W419" s="104"/>
      <c r="X419" s="104"/>
      <c r="Y419" s="104"/>
      <c r="Z419" s="104"/>
    </row>
    <row r="420">
      <c r="A420" s="103" t="s">
        <v>1281</v>
      </c>
      <c r="B420" s="103"/>
      <c r="C420" s="103"/>
      <c r="D420" s="102">
        <v>1.0</v>
      </c>
      <c r="E420" s="102">
        <v>1.0</v>
      </c>
      <c r="F420" s="102">
        <v>1.0</v>
      </c>
      <c r="G420" s="102">
        <v>1.0</v>
      </c>
      <c r="H420" s="103"/>
      <c r="I420" s="103"/>
      <c r="J420" s="103"/>
      <c r="K420" s="103"/>
      <c r="L420" s="103"/>
      <c r="M420" s="104"/>
      <c r="N420" s="104"/>
      <c r="O420" s="104"/>
      <c r="P420" s="104"/>
      <c r="Q420" s="104"/>
      <c r="R420" s="104"/>
      <c r="S420" s="104"/>
      <c r="T420" s="104"/>
      <c r="U420" s="104"/>
      <c r="V420" s="104"/>
      <c r="W420" s="104"/>
      <c r="X420" s="104"/>
      <c r="Y420" s="104"/>
      <c r="Z420" s="104"/>
    </row>
    <row r="421">
      <c r="A421" s="103" t="s">
        <v>1282</v>
      </c>
      <c r="B421" s="103"/>
      <c r="C421" s="103"/>
      <c r="D421" s="102">
        <v>1.0</v>
      </c>
      <c r="E421" s="102">
        <v>1.0</v>
      </c>
      <c r="F421" s="102">
        <v>1.0</v>
      </c>
      <c r="G421" s="102">
        <v>1.0</v>
      </c>
      <c r="H421" s="103"/>
      <c r="I421" s="103"/>
      <c r="J421" s="103"/>
      <c r="K421" s="103"/>
      <c r="L421" s="103"/>
      <c r="M421" s="104"/>
      <c r="N421" s="104"/>
      <c r="O421" s="104"/>
      <c r="P421" s="104"/>
      <c r="Q421" s="104"/>
      <c r="R421" s="104"/>
      <c r="S421" s="104"/>
      <c r="T421" s="104"/>
      <c r="U421" s="104"/>
      <c r="V421" s="104"/>
      <c r="W421" s="104"/>
      <c r="X421" s="104"/>
      <c r="Y421" s="104"/>
      <c r="Z421" s="104"/>
    </row>
    <row r="422">
      <c r="A422" s="103" t="s">
        <v>948</v>
      </c>
      <c r="B422" s="103"/>
      <c r="C422" s="103"/>
      <c r="D422" s="102">
        <v>1.0</v>
      </c>
      <c r="E422" s="102">
        <v>1.0</v>
      </c>
      <c r="F422" s="102">
        <v>0.0</v>
      </c>
      <c r="G422" s="102">
        <v>1.0</v>
      </c>
      <c r="H422" s="103"/>
      <c r="I422" s="103"/>
      <c r="J422" s="103"/>
      <c r="K422" s="103"/>
      <c r="L422" s="103"/>
      <c r="M422" s="104"/>
      <c r="N422" s="104"/>
      <c r="O422" s="104"/>
      <c r="P422" s="104"/>
      <c r="Q422" s="104"/>
      <c r="R422" s="104"/>
      <c r="S422" s="104"/>
      <c r="T422" s="104"/>
      <c r="U422" s="104"/>
      <c r="V422" s="104"/>
      <c r="W422" s="104"/>
      <c r="X422" s="104"/>
      <c r="Y422" s="104"/>
      <c r="Z422" s="104"/>
    </row>
    <row r="423">
      <c r="A423" s="103" t="s">
        <v>1283</v>
      </c>
      <c r="B423" s="103"/>
      <c r="C423" s="103"/>
      <c r="D423" s="102">
        <v>1.0</v>
      </c>
      <c r="E423" s="102">
        <v>1.0</v>
      </c>
      <c r="F423" s="102">
        <v>1.0</v>
      </c>
      <c r="G423" s="102">
        <v>1.0</v>
      </c>
      <c r="H423" s="103"/>
      <c r="I423" s="103"/>
      <c r="J423" s="103"/>
      <c r="K423" s="103"/>
      <c r="L423" s="103"/>
      <c r="M423" s="104"/>
      <c r="N423" s="104"/>
      <c r="O423" s="104"/>
      <c r="P423" s="104"/>
      <c r="Q423" s="104"/>
      <c r="R423" s="104"/>
      <c r="S423" s="104"/>
      <c r="T423" s="104"/>
      <c r="U423" s="104"/>
      <c r="V423" s="104"/>
      <c r="W423" s="104"/>
      <c r="X423" s="104"/>
      <c r="Y423" s="104"/>
      <c r="Z423" s="104"/>
    </row>
    <row r="424">
      <c r="A424" s="103" t="s">
        <v>950</v>
      </c>
      <c r="B424" s="103"/>
      <c r="C424" s="103"/>
      <c r="D424" s="102">
        <v>1.0</v>
      </c>
      <c r="E424" s="102">
        <v>1.0</v>
      </c>
      <c r="F424" s="102">
        <v>1.0</v>
      </c>
      <c r="G424" s="102">
        <v>1.0</v>
      </c>
      <c r="H424" s="103"/>
      <c r="I424" s="103"/>
      <c r="J424" s="103"/>
      <c r="K424" s="103"/>
      <c r="L424" s="103"/>
      <c r="M424" s="104"/>
      <c r="N424" s="104"/>
      <c r="O424" s="104"/>
      <c r="P424" s="104"/>
      <c r="Q424" s="104"/>
      <c r="R424" s="104"/>
      <c r="S424" s="104"/>
      <c r="T424" s="104"/>
      <c r="U424" s="104"/>
      <c r="V424" s="104"/>
      <c r="W424" s="104"/>
      <c r="X424" s="104"/>
      <c r="Y424" s="104"/>
      <c r="Z424" s="104"/>
    </row>
    <row r="425">
      <c r="A425" s="103" t="s">
        <v>951</v>
      </c>
      <c r="B425" s="103"/>
      <c r="C425" s="103"/>
      <c r="D425" s="102">
        <v>1.0</v>
      </c>
      <c r="E425" s="102">
        <v>1.0</v>
      </c>
      <c r="F425" s="102">
        <v>1.0</v>
      </c>
      <c r="G425" s="102">
        <v>1.0</v>
      </c>
      <c r="H425" s="103"/>
      <c r="I425" s="103"/>
      <c r="J425" s="103"/>
      <c r="K425" s="103"/>
      <c r="L425" s="103"/>
      <c r="M425" s="104"/>
      <c r="N425" s="104"/>
      <c r="O425" s="104"/>
      <c r="P425" s="104"/>
      <c r="Q425" s="104"/>
      <c r="R425" s="104"/>
      <c r="S425" s="104"/>
      <c r="T425" s="104"/>
      <c r="U425" s="104"/>
      <c r="V425" s="104"/>
      <c r="W425" s="104"/>
      <c r="X425" s="104"/>
      <c r="Y425" s="104"/>
      <c r="Z425" s="104"/>
    </row>
    <row r="426">
      <c r="A426" s="103" t="s">
        <v>952</v>
      </c>
      <c r="B426" s="103"/>
      <c r="C426" s="103"/>
      <c r="D426" s="102">
        <v>1.0</v>
      </c>
      <c r="E426" s="102">
        <v>1.0</v>
      </c>
      <c r="F426" s="102">
        <v>1.0</v>
      </c>
      <c r="G426" s="102">
        <v>1.0</v>
      </c>
      <c r="H426" s="103"/>
      <c r="I426" s="103"/>
      <c r="J426" s="103"/>
      <c r="K426" s="103"/>
      <c r="L426" s="103"/>
      <c r="M426" s="104"/>
      <c r="N426" s="104"/>
      <c r="O426" s="104"/>
      <c r="P426" s="104"/>
      <c r="Q426" s="104"/>
      <c r="R426" s="104"/>
      <c r="S426" s="104"/>
      <c r="T426" s="104"/>
      <c r="U426" s="104"/>
      <c r="V426" s="104"/>
      <c r="W426" s="104"/>
      <c r="X426" s="104"/>
      <c r="Y426" s="104"/>
      <c r="Z426" s="104"/>
    </row>
    <row r="427">
      <c r="A427" s="97" t="s">
        <v>1272</v>
      </c>
      <c r="B427" s="97"/>
      <c r="C427" s="97"/>
      <c r="D427" s="5" t="s">
        <v>1165</v>
      </c>
      <c r="E427" s="5" t="s">
        <v>1166</v>
      </c>
      <c r="F427" s="5" t="s">
        <v>1167</v>
      </c>
      <c r="G427" s="5" t="s">
        <v>1168</v>
      </c>
      <c r="H427" s="97"/>
      <c r="I427" s="97"/>
      <c r="J427" s="97"/>
      <c r="K427" s="97"/>
      <c r="L427" s="97"/>
    </row>
    <row r="428">
      <c r="A428" s="108" t="s">
        <v>1273</v>
      </c>
      <c r="B428" s="97" t="s">
        <v>1652</v>
      </c>
      <c r="C428" s="97" t="s">
        <v>1653</v>
      </c>
      <c r="D428" s="97" t="s">
        <v>1654</v>
      </c>
      <c r="E428" s="97" t="s">
        <v>1655</v>
      </c>
      <c r="F428" s="97" t="s">
        <v>1656</v>
      </c>
      <c r="G428" s="97" t="s">
        <v>1657</v>
      </c>
      <c r="H428" s="97" t="s">
        <v>1653</v>
      </c>
      <c r="I428" s="97" t="s">
        <v>1658</v>
      </c>
      <c r="J428" s="97" t="s">
        <v>1659</v>
      </c>
      <c r="K428" s="97" t="s">
        <v>1169</v>
      </c>
      <c r="L428" s="97" t="s">
        <v>1660</v>
      </c>
    </row>
    <row r="429">
      <c r="A429" s="97" t="s">
        <v>1281</v>
      </c>
      <c r="B429" s="97"/>
      <c r="C429" s="97"/>
      <c r="D429" s="107">
        <v>1.0</v>
      </c>
      <c r="E429" s="107">
        <v>1.0</v>
      </c>
      <c r="F429" s="107">
        <v>1.0</v>
      </c>
      <c r="G429" s="107">
        <v>1.0</v>
      </c>
      <c r="H429" s="97"/>
      <c r="I429" s="97"/>
      <c r="J429" s="97"/>
      <c r="K429" s="97"/>
      <c r="L429" s="97"/>
    </row>
    <row r="430">
      <c r="A430" s="97" t="s">
        <v>1282</v>
      </c>
      <c r="B430" s="97"/>
      <c r="C430" s="97"/>
      <c r="D430" s="107">
        <v>1.0</v>
      </c>
      <c r="E430" s="107">
        <v>1.0</v>
      </c>
      <c r="F430" s="107">
        <v>1.0</v>
      </c>
      <c r="G430" s="107">
        <v>1.0</v>
      </c>
      <c r="H430" s="97"/>
      <c r="I430" s="97"/>
      <c r="J430" s="97"/>
      <c r="K430" s="97"/>
      <c r="L430" s="97"/>
    </row>
    <row r="431">
      <c r="A431" s="97" t="s">
        <v>948</v>
      </c>
      <c r="B431" s="97"/>
      <c r="C431" s="97"/>
      <c r="D431" s="107">
        <v>1.0</v>
      </c>
      <c r="E431" s="107">
        <v>1.0</v>
      </c>
      <c r="F431" s="107">
        <v>1.0</v>
      </c>
      <c r="G431" s="107">
        <v>1.0</v>
      </c>
      <c r="H431" s="97"/>
      <c r="I431" s="97"/>
      <c r="J431" s="97"/>
      <c r="K431" s="97"/>
      <c r="L431" s="97"/>
    </row>
    <row r="432">
      <c r="A432" s="97" t="s">
        <v>1283</v>
      </c>
      <c r="B432" s="97"/>
      <c r="C432" s="97"/>
      <c r="D432" s="107">
        <v>1.0</v>
      </c>
      <c r="E432" s="107">
        <v>1.0</v>
      </c>
      <c r="F432" s="107">
        <v>1.0</v>
      </c>
      <c r="G432" s="107">
        <v>1.0</v>
      </c>
      <c r="H432" s="97"/>
      <c r="I432" s="97"/>
      <c r="J432" s="97"/>
      <c r="K432" s="97"/>
      <c r="L432" s="97"/>
    </row>
    <row r="433">
      <c r="A433" s="97" t="s">
        <v>950</v>
      </c>
      <c r="B433" s="97"/>
      <c r="C433" s="97"/>
      <c r="D433" s="107">
        <v>1.0</v>
      </c>
      <c r="E433" s="107">
        <v>1.0</v>
      </c>
      <c r="F433" s="107">
        <v>1.0</v>
      </c>
      <c r="G433" s="107">
        <v>0.0</v>
      </c>
      <c r="H433" s="97"/>
      <c r="I433" s="97"/>
      <c r="J433" s="97"/>
      <c r="K433" s="97"/>
      <c r="L433" s="97"/>
    </row>
    <row r="434">
      <c r="A434" s="97" t="s">
        <v>951</v>
      </c>
      <c r="B434" s="97"/>
      <c r="C434" s="97"/>
      <c r="D434" s="107">
        <v>1.0</v>
      </c>
      <c r="E434" s="107">
        <v>1.0</v>
      </c>
      <c r="F434" s="107">
        <v>1.0</v>
      </c>
      <c r="G434" s="107">
        <v>1.0</v>
      </c>
      <c r="H434" s="97"/>
      <c r="I434" s="97"/>
      <c r="J434" s="97"/>
      <c r="K434" s="97"/>
      <c r="L434" s="97"/>
    </row>
    <row r="435">
      <c r="A435" s="97" t="s">
        <v>952</v>
      </c>
      <c r="B435" s="97"/>
      <c r="C435" s="97"/>
      <c r="D435" s="107">
        <v>1.0</v>
      </c>
      <c r="E435" s="107">
        <v>1.0</v>
      </c>
      <c r="F435" s="107">
        <v>1.0</v>
      </c>
      <c r="G435" s="107">
        <v>1.0</v>
      </c>
      <c r="H435" s="97"/>
      <c r="I435" s="97"/>
      <c r="J435" s="97"/>
      <c r="K435" s="97"/>
      <c r="L435" s="97"/>
    </row>
    <row r="436">
      <c r="A436" s="97" t="s">
        <v>1284</v>
      </c>
      <c r="B436" s="97" t="s">
        <v>1652</v>
      </c>
      <c r="C436" s="97" t="s">
        <v>1661</v>
      </c>
      <c r="D436" s="97" t="s">
        <v>1662</v>
      </c>
      <c r="E436" s="97" t="s">
        <v>1663</v>
      </c>
      <c r="F436" s="97" t="s">
        <v>1332</v>
      </c>
      <c r="G436" s="97" t="s">
        <v>1664</v>
      </c>
      <c r="H436" s="97" t="s">
        <v>1665</v>
      </c>
      <c r="I436" s="97" t="s">
        <v>1666</v>
      </c>
      <c r="J436" s="97" t="s">
        <v>1667</v>
      </c>
      <c r="K436" s="97" t="s">
        <v>1332</v>
      </c>
      <c r="L436" s="97" t="s">
        <v>1668</v>
      </c>
    </row>
    <row r="437">
      <c r="A437" s="97" t="s">
        <v>1281</v>
      </c>
      <c r="B437" s="97"/>
      <c r="C437" s="97"/>
      <c r="D437" s="107">
        <v>1.0</v>
      </c>
      <c r="E437" s="107">
        <v>1.0</v>
      </c>
      <c r="F437" s="107">
        <v>1.0</v>
      </c>
      <c r="G437" s="107">
        <v>1.0</v>
      </c>
      <c r="H437" s="97"/>
      <c r="I437" s="97"/>
      <c r="J437" s="97"/>
      <c r="K437" s="97"/>
      <c r="L437" s="97"/>
    </row>
    <row r="438">
      <c r="A438" s="97" t="s">
        <v>1282</v>
      </c>
      <c r="B438" s="97"/>
      <c r="C438" s="97"/>
      <c r="D438" s="107">
        <v>1.0</v>
      </c>
      <c r="E438" s="107">
        <v>1.0</v>
      </c>
      <c r="F438" s="107">
        <v>1.0</v>
      </c>
      <c r="G438" s="107">
        <v>1.0</v>
      </c>
      <c r="H438" s="97"/>
      <c r="I438" s="97"/>
      <c r="J438" s="97"/>
      <c r="K438" s="97"/>
      <c r="L438" s="97"/>
    </row>
    <row r="439">
      <c r="A439" s="97" t="s">
        <v>948</v>
      </c>
      <c r="B439" s="97"/>
      <c r="C439" s="97"/>
      <c r="D439" s="107">
        <v>1.0</v>
      </c>
      <c r="E439" s="107">
        <v>0.0</v>
      </c>
      <c r="F439" s="107">
        <v>0.0</v>
      </c>
      <c r="G439" s="107">
        <v>1.0</v>
      </c>
      <c r="H439" s="97"/>
      <c r="I439" s="97"/>
      <c r="J439" s="97"/>
      <c r="K439" s="97"/>
      <c r="L439" s="97"/>
    </row>
    <row r="440">
      <c r="A440" s="97" t="s">
        <v>1283</v>
      </c>
      <c r="B440" s="97"/>
      <c r="C440" s="97"/>
      <c r="D440" s="107">
        <v>1.0</v>
      </c>
      <c r="E440" s="107">
        <v>1.0</v>
      </c>
      <c r="F440" s="107">
        <v>1.0</v>
      </c>
      <c r="G440" s="107">
        <v>1.0</v>
      </c>
      <c r="H440" s="97"/>
      <c r="I440" s="97"/>
      <c r="J440" s="97"/>
      <c r="K440" s="97"/>
      <c r="L440" s="97"/>
    </row>
    <row r="441">
      <c r="A441" s="97" t="s">
        <v>950</v>
      </c>
      <c r="B441" s="97"/>
      <c r="C441" s="97"/>
      <c r="D441" s="107">
        <v>1.0</v>
      </c>
      <c r="E441" s="107">
        <v>1.0</v>
      </c>
      <c r="F441" s="107">
        <v>1.0</v>
      </c>
      <c r="G441" s="107">
        <v>0.0</v>
      </c>
      <c r="H441" s="97"/>
      <c r="I441" s="97"/>
      <c r="J441" s="97"/>
      <c r="K441" s="97"/>
      <c r="L441" s="97"/>
    </row>
    <row r="442">
      <c r="A442" s="97" t="s">
        <v>951</v>
      </c>
      <c r="B442" s="97"/>
      <c r="C442" s="97"/>
      <c r="D442" s="107">
        <v>1.0</v>
      </c>
      <c r="E442" s="107">
        <v>1.0</v>
      </c>
      <c r="F442" s="107">
        <v>1.0</v>
      </c>
      <c r="G442" s="107">
        <v>1.0</v>
      </c>
      <c r="H442" s="97"/>
      <c r="I442" s="97"/>
      <c r="J442" s="97"/>
      <c r="K442" s="97"/>
      <c r="L442" s="97"/>
    </row>
    <row r="443">
      <c r="A443" s="97" t="s">
        <v>952</v>
      </c>
      <c r="B443" s="97"/>
      <c r="C443" s="97"/>
      <c r="D443" s="107">
        <v>1.0</v>
      </c>
      <c r="E443" s="107">
        <v>1.0</v>
      </c>
      <c r="F443" s="107">
        <v>1.0</v>
      </c>
      <c r="G443" s="107">
        <v>1.0</v>
      </c>
      <c r="H443" s="97"/>
      <c r="I443" s="97"/>
      <c r="J443" s="97"/>
      <c r="K443" s="97"/>
      <c r="L443" s="97"/>
    </row>
    <row r="444">
      <c r="A444" s="97" t="s">
        <v>1291</v>
      </c>
      <c r="B444" s="97" t="s">
        <v>1652</v>
      </c>
      <c r="C444" s="97" t="s">
        <v>1669</v>
      </c>
      <c r="D444" s="97" t="s">
        <v>1670</v>
      </c>
      <c r="E444" s="97" t="s">
        <v>1671</v>
      </c>
      <c r="F444" s="97" t="s">
        <v>1169</v>
      </c>
      <c r="G444" s="97" t="s">
        <v>1672</v>
      </c>
      <c r="H444" s="97" t="s">
        <v>1673</v>
      </c>
      <c r="I444" s="97" t="s">
        <v>1674</v>
      </c>
      <c r="J444" s="97" t="s">
        <v>1659</v>
      </c>
      <c r="K444" s="97" t="s">
        <v>1169</v>
      </c>
      <c r="L444" s="97" t="s">
        <v>1675</v>
      </c>
    </row>
    <row r="445">
      <c r="A445" s="97" t="s">
        <v>1281</v>
      </c>
      <c r="B445" s="97"/>
      <c r="C445" s="97"/>
      <c r="D445" s="107">
        <v>1.0</v>
      </c>
      <c r="E445" s="107">
        <v>1.0</v>
      </c>
      <c r="F445" s="107">
        <v>1.0</v>
      </c>
      <c r="G445" s="107">
        <v>1.0</v>
      </c>
      <c r="H445" s="97"/>
      <c r="I445" s="97"/>
      <c r="J445" s="97"/>
      <c r="K445" s="97"/>
      <c r="L445" s="97"/>
    </row>
    <row r="446">
      <c r="A446" s="97" t="s">
        <v>1282</v>
      </c>
      <c r="B446" s="97"/>
      <c r="C446" s="97"/>
      <c r="D446" s="107">
        <v>1.0</v>
      </c>
      <c r="E446" s="107">
        <v>1.0</v>
      </c>
      <c r="F446" s="107">
        <v>1.0</v>
      </c>
      <c r="G446" s="107">
        <v>1.0</v>
      </c>
      <c r="H446" s="97"/>
      <c r="I446" s="97"/>
      <c r="J446" s="97"/>
      <c r="K446" s="97"/>
      <c r="L446" s="97"/>
    </row>
    <row r="447">
      <c r="A447" s="97" t="s">
        <v>948</v>
      </c>
      <c r="B447" s="97"/>
      <c r="C447" s="97"/>
      <c r="D447" s="107">
        <v>1.0</v>
      </c>
      <c r="E447" s="107">
        <v>1.0</v>
      </c>
      <c r="F447" s="107">
        <v>1.0</v>
      </c>
      <c r="G447" s="107">
        <v>1.0</v>
      </c>
      <c r="H447" s="97"/>
      <c r="I447" s="97"/>
      <c r="J447" s="97"/>
      <c r="K447" s="97"/>
      <c r="L447" s="97"/>
    </row>
    <row r="448">
      <c r="A448" s="97" t="s">
        <v>1283</v>
      </c>
      <c r="B448" s="97"/>
      <c r="C448" s="97"/>
      <c r="D448" s="107">
        <v>1.0</v>
      </c>
      <c r="E448" s="107">
        <v>1.0</v>
      </c>
      <c r="F448" s="107">
        <v>1.0</v>
      </c>
      <c r="G448" s="107">
        <v>1.0</v>
      </c>
      <c r="H448" s="97"/>
      <c r="I448" s="97"/>
      <c r="J448" s="97"/>
      <c r="K448" s="97"/>
      <c r="L448" s="97"/>
    </row>
    <row r="449">
      <c r="A449" s="97" t="s">
        <v>950</v>
      </c>
      <c r="B449" s="97"/>
      <c r="C449" s="97"/>
      <c r="D449" s="107">
        <v>1.0</v>
      </c>
      <c r="E449" s="107">
        <v>1.0</v>
      </c>
      <c r="F449" s="107">
        <v>1.0</v>
      </c>
      <c r="G449" s="107">
        <v>1.0</v>
      </c>
      <c r="H449" s="97"/>
      <c r="I449" s="97"/>
      <c r="J449" s="97"/>
      <c r="K449" s="97"/>
      <c r="L449" s="97"/>
    </row>
    <row r="450">
      <c r="A450" s="97" t="s">
        <v>951</v>
      </c>
      <c r="B450" s="97"/>
      <c r="C450" s="97"/>
      <c r="D450" s="107">
        <v>1.0</v>
      </c>
      <c r="E450" s="107">
        <v>1.0</v>
      </c>
      <c r="F450" s="107">
        <v>1.0</v>
      </c>
      <c r="G450" s="107">
        <v>1.0</v>
      </c>
      <c r="H450" s="97"/>
      <c r="I450" s="97"/>
      <c r="J450" s="97"/>
      <c r="K450" s="97"/>
      <c r="L450" s="97"/>
    </row>
    <row r="451">
      <c r="A451" s="97" t="s">
        <v>952</v>
      </c>
      <c r="B451" s="97"/>
      <c r="C451" s="97"/>
      <c r="D451" s="107">
        <v>1.0</v>
      </c>
      <c r="E451" s="107">
        <v>1.0</v>
      </c>
      <c r="F451" s="107">
        <v>1.0</v>
      </c>
      <c r="G451" s="107">
        <v>1.0</v>
      </c>
      <c r="H451" s="97"/>
      <c r="I451" s="97"/>
      <c r="J451" s="97"/>
      <c r="K451" s="97"/>
      <c r="L451" s="97"/>
    </row>
    <row r="452">
      <c r="A452" s="103" t="s">
        <v>1272</v>
      </c>
      <c r="B452" s="103"/>
      <c r="C452" s="103"/>
      <c r="D452" s="59" t="s">
        <v>1175</v>
      </c>
      <c r="E452" s="59" t="s">
        <v>1176</v>
      </c>
      <c r="F452" s="59" t="s">
        <v>1177</v>
      </c>
      <c r="G452" s="59" t="s">
        <v>1178</v>
      </c>
      <c r="H452" s="103"/>
      <c r="I452" s="103"/>
      <c r="J452" s="103"/>
      <c r="K452" s="103"/>
      <c r="L452" s="103"/>
      <c r="M452" s="104"/>
      <c r="N452" s="104"/>
      <c r="O452" s="104"/>
      <c r="P452" s="104"/>
      <c r="Q452" s="104"/>
      <c r="R452" s="104"/>
      <c r="S452" s="104"/>
      <c r="T452" s="104"/>
      <c r="U452" s="104"/>
      <c r="V452" s="104"/>
      <c r="W452" s="104"/>
      <c r="X452" s="104"/>
      <c r="Y452" s="104"/>
      <c r="Z452" s="104"/>
    </row>
    <row r="453">
      <c r="A453" s="108" t="s">
        <v>1273</v>
      </c>
      <c r="B453" s="103" t="s">
        <v>1676</v>
      </c>
      <c r="C453" s="103" t="s">
        <v>1653</v>
      </c>
      <c r="D453" s="103" t="s">
        <v>1677</v>
      </c>
      <c r="E453" s="103" t="s">
        <v>1678</v>
      </c>
      <c r="F453" s="103" t="s">
        <v>1679</v>
      </c>
      <c r="G453" s="103" t="s">
        <v>1680</v>
      </c>
      <c r="H453" s="103" t="s">
        <v>1653</v>
      </c>
      <c r="I453" s="103" t="s">
        <v>1681</v>
      </c>
      <c r="J453" s="103" t="s">
        <v>1395</v>
      </c>
      <c r="K453" s="103" t="s">
        <v>1679</v>
      </c>
      <c r="L453" s="103" t="s">
        <v>1682</v>
      </c>
      <c r="M453" s="104"/>
      <c r="N453" s="104"/>
      <c r="O453" s="104"/>
      <c r="P453" s="104"/>
      <c r="Q453" s="104"/>
      <c r="R453" s="104"/>
      <c r="S453" s="104"/>
      <c r="T453" s="104"/>
      <c r="U453" s="104"/>
      <c r="V453" s="104"/>
      <c r="W453" s="104"/>
      <c r="X453" s="104"/>
      <c r="Y453" s="104"/>
      <c r="Z453" s="104"/>
    </row>
    <row r="454">
      <c r="A454" s="103" t="s">
        <v>1281</v>
      </c>
      <c r="B454" s="103"/>
      <c r="C454" s="103"/>
      <c r="D454" s="102">
        <v>1.0</v>
      </c>
      <c r="E454" s="102">
        <v>1.0</v>
      </c>
      <c r="F454" s="102">
        <v>1.0</v>
      </c>
      <c r="G454" s="102">
        <v>1.0</v>
      </c>
      <c r="H454" s="103"/>
      <c r="I454" s="103"/>
      <c r="J454" s="103"/>
      <c r="K454" s="103"/>
      <c r="L454" s="103"/>
      <c r="M454" s="104"/>
      <c r="N454" s="104"/>
      <c r="O454" s="104"/>
      <c r="P454" s="104"/>
      <c r="Q454" s="104"/>
      <c r="R454" s="104"/>
      <c r="S454" s="104"/>
      <c r="T454" s="104"/>
      <c r="U454" s="104"/>
      <c r="V454" s="104"/>
      <c r="W454" s="104"/>
      <c r="X454" s="104"/>
      <c r="Y454" s="104"/>
      <c r="Z454" s="104"/>
    </row>
    <row r="455">
      <c r="A455" s="103" t="s">
        <v>1282</v>
      </c>
      <c r="B455" s="103"/>
      <c r="C455" s="103"/>
      <c r="D455" s="102">
        <v>1.0</v>
      </c>
      <c r="E455" s="102">
        <v>1.0</v>
      </c>
      <c r="F455" s="102">
        <v>1.0</v>
      </c>
      <c r="G455" s="102">
        <v>1.0</v>
      </c>
      <c r="H455" s="103"/>
      <c r="I455" s="103"/>
      <c r="J455" s="103"/>
      <c r="K455" s="103"/>
      <c r="L455" s="103"/>
      <c r="M455" s="104"/>
      <c r="N455" s="104"/>
      <c r="O455" s="104"/>
      <c r="P455" s="104"/>
      <c r="Q455" s="104"/>
      <c r="R455" s="104"/>
      <c r="S455" s="104"/>
      <c r="T455" s="104"/>
      <c r="U455" s="104"/>
      <c r="V455" s="104"/>
      <c r="W455" s="104"/>
      <c r="X455" s="104"/>
      <c r="Y455" s="104"/>
      <c r="Z455" s="104"/>
    </row>
    <row r="456">
      <c r="A456" s="103" t="s">
        <v>948</v>
      </c>
      <c r="B456" s="103"/>
      <c r="C456" s="103"/>
      <c r="D456" s="102">
        <v>1.0</v>
      </c>
      <c r="E456" s="102">
        <v>0.0</v>
      </c>
      <c r="F456" s="102">
        <v>1.0</v>
      </c>
      <c r="G456" s="102">
        <v>1.0</v>
      </c>
      <c r="H456" s="103"/>
      <c r="I456" s="103"/>
      <c r="J456" s="103"/>
      <c r="K456" s="103"/>
      <c r="L456" s="103"/>
      <c r="M456" s="104"/>
      <c r="N456" s="104"/>
      <c r="O456" s="104"/>
      <c r="P456" s="104"/>
      <c r="Q456" s="104"/>
      <c r="R456" s="104"/>
      <c r="S456" s="104"/>
      <c r="T456" s="104"/>
      <c r="U456" s="104"/>
      <c r="V456" s="104"/>
      <c r="W456" s="104"/>
      <c r="X456" s="104"/>
      <c r="Y456" s="104"/>
      <c r="Z456" s="104"/>
    </row>
    <row r="457">
      <c r="A457" s="103" t="s">
        <v>1283</v>
      </c>
      <c r="B457" s="103"/>
      <c r="C457" s="103"/>
      <c r="D457" s="102">
        <v>1.0</v>
      </c>
      <c r="E457" s="102">
        <v>1.0</v>
      </c>
      <c r="F457" s="102">
        <v>1.0</v>
      </c>
      <c r="G457" s="102">
        <v>1.0</v>
      </c>
      <c r="H457" s="103"/>
      <c r="I457" s="103"/>
      <c r="J457" s="103"/>
      <c r="K457" s="103"/>
      <c r="L457" s="103"/>
      <c r="M457" s="104"/>
      <c r="N457" s="104"/>
      <c r="O457" s="104"/>
      <c r="P457" s="104"/>
      <c r="Q457" s="104"/>
      <c r="R457" s="104"/>
      <c r="S457" s="104"/>
      <c r="T457" s="104"/>
      <c r="U457" s="104"/>
      <c r="V457" s="104"/>
      <c r="W457" s="104"/>
      <c r="X457" s="104"/>
      <c r="Y457" s="104"/>
      <c r="Z457" s="104"/>
    </row>
    <row r="458">
      <c r="A458" s="103" t="s">
        <v>950</v>
      </c>
      <c r="B458" s="103"/>
      <c r="C458" s="103"/>
      <c r="D458" s="102">
        <v>1.0</v>
      </c>
      <c r="E458" s="102">
        <v>1.0</v>
      </c>
      <c r="F458" s="102">
        <v>1.0</v>
      </c>
      <c r="G458" s="102">
        <v>0.0</v>
      </c>
      <c r="H458" s="103"/>
      <c r="I458" s="103"/>
      <c r="J458" s="103"/>
      <c r="K458" s="103"/>
      <c r="L458" s="103"/>
      <c r="M458" s="104"/>
      <c r="N458" s="104"/>
      <c r="O458" s="104"/>
      <c r="P458" s="104"/>
      <c r="Q458" s="104"/>
      <c r="R458" s="104"/>
      <c r="S458" s="104"/>
      <c r="T458" s="104"/>
      <c r="U458" s="104"/>
      <c r="V458" s="104"/>
      <c r="W458" s="104"/>
      <c r="X458" s="104"/>
      <c r="Y458" s="104"/>
      <c r="Z458" s="104"/>
    </row>
    <row r="459">
      <c r="A459" s="103" t="s">
        <v>951</v>
      </c>
      <c r="B459" s="103"/>
      <c r="C459" s="103"/>
      <c r="D459" s="102">
        <v>1.0</v>
      </c>
      <c r="E459" s="102">
        <v>1.0</v>
      </c>
      <c r="F459" s="102">
        <v>1.0</v>
      </c>
      <c r="G459" s="102">
        <v>1.0</v>
      </c>
      <c r="H459" s="103"/>
      <c r="I459" s="103"/>
      <c r="J459" s="103"/>
      <c r="K459" s="103"/>
      <c r="L459" s="103"/>
      <c r="M459" s="104"/>
      <c r="N459" s="104"/>
      <c r="O459" s="104"/>
      <c r="P459" s="104"/>
      <c r="Q459" s="104"/>
      <c r="R459" s="104"/>
      <c r="S459" s="104"/>
      <c r="T459" s="104"/>
      <c r="U459" s="104"/>
      <c r="V459" s="104"/>
      <c r="W459" s="104"/>
      <c r="X459" s="104"/>
      <c r="Y459" s="104"/>
      <c r="Z459" s="104"/>
    </row>
    <row r="460">
      <c r="A460" s="103" t="s">
        <v>952</v>
      </c>
      <c r="B460" s="103"/>
      <c r="C460" s="103"/>
      <c r="D460" s="102">
        <v>1.0</v>
      </c>
      <c r="E460" s="102">
        <v>1.0</v>
      </c>
      <c r="F460" s="102">
        <v>1.0</v>
      </c>
      <c r="G460" s="102">
        <v>1.0</v>
      </c>
      <c r="H460" s="103"/>
      <c r="I460" s="103"/>
      <c r="J460" s="103"/>
      <c r="K460" s="103"/>
      <c r="L460" s="103"/>
      <c r="M460" s="104"/>
      <c r="N460" s="104"/>
      <c r="O460" s="104"/>
      <c r="P460" s="104"/>
      <c r="Q460" s="104"/>
      <c r="R460" s="104"/>
      <c r="S460" s="104"/>
      <c r="T460" s="104"/>
      <c r="U460" s="104"/>
      <c r="V460" s="104"/>
      <c r="W460" s="104"/>
      <c r="X460" s="104"/>
      <c r="Y460" s="104"/>
      <c r="Z460" s="104"/>
    </row>
    <row r="461">
      <c r="A461" s="103" t="s">
        <v>1284</v>
      </c>
      <c r="B461" s="103" t="s">
        <v>1676</v>
      </c>
      <c r="C461" s="103" t="s">
        <v>1683</v>
      </c>
      <c r="D461" s="103" t="s">
        <v>1684</v>
      </c>
      <c r="E461" s="103" t="s">
        <v>1685</v>
      </c>
      <c r="F461" s="103" t="s">
        <v>1332</v>
      </c>
      <c r="G461" s="103" t="s">
        <v>1686</v>
      </c>
      <c r="H461" s="103" t="s">
        <v>1687</v>
      </c>
      <c r="I461" s="103" t="s">
        <v>1688</v>
      </c>
      <c r="J461" s="103" t="s">
        <v>1395</v>
      </c>
      <c r="K461" s="103" t="s">
        <v>1332</v>
      </c>
      <c r="L461" s="103" t="s">
        <v>1021</v>
      </c>
      <c r="M461" s="104"/>
      <c r="N461" s="104"/>
      <c r="O461" s="104"/>
      <c r="P461" s="104"/>
      <c r="Q461" s="104"/>
      <c r="R461" s="104"/>
      <c r="S461" s="104"/>
      <c r="T461" s="104"/>
      <c r="U461" s="104"/>
      <c r="V461" s="104"/>
      <c r="W461" s="104"/>
      <c r="X461" s="104"/>
      <c r="Y461" s="104"/>
      <c r="Z461" s="104"/>
    </row>
    <row r="462">
      <c r="A462" s="103" t="s">
        <v>1281</v>
      </c>
      <c r="B462" s="103"/>
      <c r="C462" s="103"/>
      <c r="D462" s="102">
        <v>1.0</v>
      </c>
      <c r="E462" s="102">
        <v>1.0</v>
      </c>
      <c r="F462" s="102">
        <v>1.0</v>
      </c>
      <c r="G462" s="102">
        <v>1.0</v>
      </c>
      <c r="H462" s="103"/>
      <c r="I462" s="103"/>
      <c r="J462" s="103"/>
      <c r="K462" s="103"/>
      <c r="L462" s="103"/>
      <c r="M462" s="104"/>
      <c r="N462" s="104"/>
      <c r="O462" s="104"/>
      <c r="P462" s="104"/>
      <c r="Q462" s="104"/>
      <c r="R462" s="104"/>
      <c r="S462" s="104"/>
      <c r="T462" s="104"/>
      <c r="U462" s="104"/>
      <c r="V462" s="104"/>
      <c r="W462" s="104"/>
      <c r="X462" s="104"/>
      <c r="Y462" s="104"/>
      <c r="Z462" s="104"/>
    </row>
    <row r="463">
      <c r="A463" s="103" t="s">
        <v>1282</v>
      </c>
      <c r="B463" s="103"/>
      <c r="C463" s="103"/>
      <c r="D463" s="102">
        <v>1.0</v>
      </c>
      <c r="E463" s="102">
        <v>1.0</v>
      </c>
      <c r="F463" s="102">
        <v>1.0</v>
      </c>
      <c r="G463" s="102">
        <v>1.0</v>
      </c>
      <c r="H463" s="103"/>
      <c r="I463" s="103"/>
      <c r="J463" s="103"/>
      <c r="K463" s="103"/>
      <c r="L463" s="103"/>
      <c r="M463" s="104"/>
      <c r="N463" s="104"/>
      <c r="O463" s="104"/>
      <c r="P463" s="104"/>
      <c r="Q463" s="104"/>
      <c r="R463" s="104"/>
      <c r="S463" s="104"/>
      <c r="T463" s="104"/>
      <c r="U463" s="104"/>
      <c r="V463" s="104"/>
      <c r="W463" s="104"/>
      <c r="X463" s="104"/>
      <c r="Y463" s="104"/>
      <c r="Z463" s="104"/>
    </row>
    <row r="464">
      <c r="A464" s="103" t="s">
        <v>948</v>
      </c>
      <c r="B464" s="103"/>
      <c r="C464" s="103"/>
      <c r="D464" s="102">
        <v>1.0</v>
      </c>
      <c r="E464" s="102">
        <v>0.0</v>
      </c>
      <c r="F464" s="102">
        <v>1.0</v>
      </c>
      <c r="G464" s="102">
        <v>1.0</v>
      </c>
      <c r="H464" s="103"/>
      <c r="I464" s="103"/>
      <c r="J464" s="103"/>
      <c r="K464" s="103"/>
      <c r="L464" s="103"/>
      <c r="M464" s="104"/>
      <c r="N464" s="104"/>
      <c r="O464" s="104"/>
      <c r="P464" s="104"/>
      <c r="Q464" s="104"/>
      <c r="R464" s="104"/>
      <c r="S464" s="104"/>
      <c r="T464" s="104"/>
      <c r="U464" s="104"/>
      <c r="V464" s="104"/>
      <c r="W464" s="104"/>
      <c r="X464" s="104"/>
      <c r="Y464" s="104"/>
      <c r="Z464" s="104"/>
    </row>
    <row r="465">
      <c r="A465" s="103" t="s">
        <v>1283</v>
      </c>
      <c r="B465" s="103"/>
      <c r="C465" s="103"/>
      <c r="D465" s="102">
        <v>1.0</v>
      </c>
      <c r="E465" s="102">
        <v>1.0</v>
      </c>
      <c r="F465" s="102">
        <v>1.0</v>
      </c>
      <c r="G465" s="102">
        <v>1.0</v>
      </c>
      <c r="H465" s="103"/>
      <c r="I465" s="103"/>
      <c r="J465" s="103"/>
      <c r="K465" s="103"/>
      <c r="L465" s="103"/>
      <c r="M465" s="104"/>
      <c r="N465" s="104"/>
      <c r="O465" s="104"/>
      <c r="P465" s="104"/>
      <c r="Q465" s="104"/>
      <c r="R465" s="104"/>
      <c r="S465" s="104"/>
      <c r="T465" s="104"/>
      <c r="U465" s="104"/>
      <c r="V465" s="104"/>
      <c r="W465" s="104"/>
      <c r="X465" s="104"/>
      <c r="Y465" s="104"/>
      <c r="Z465" s="104"/>
    </row>
    <row r="466">
      <c r="A466" s="103" t="s">
        <v>950</v>
      </c>
      <c r="B466" s="103"/>
      <c r="C466" s="103"/>
      <c r="D466" s="102">
        <v>0.0</v>
      </c>
      <c r="E466" s="102">
        <v>1.0</v>
      </c>
      <c r="F466" s="102">
        <v>1.0</v>
      </c>
      <c r="G466" s="102">
        <v>1.0</v>
      </c>
      <c r="H466" s="103"/>
      <c r="I466" s="103"/>
      <c r="J466" s="103"/>
      <c r="K466" s="103"/>
      <c r="L466" s="103"/>
      <c r="M466" s="104"/>
      <c r="N466" s="104"/>
      <c r="O466" s="104"/>
      <c r="P466" s="104"/>
      <c r="Q466" s="104"/>
      <c r="R466" s="104"/>
      <c r="S466" s="104"/>
      <c r="T466" s="104"/>
      <c r="U466" s="104"/>
      <c r="V466" s="104"/>
      <c r="W466" s="104"/>
      <c r="X466" s="104"/>
      <c r="Y466" s="104"/>
      <c r="Z466" s="104"/>
    </row>
    <row r="467">
      <c r="A467" s="103" t="s">
        <v>951</v>
      </c>
      <c r="B467" s="103"/>
      <c r="C467" s="103"/>
      <c r="D467" s="102">
        <v>1.0</v>
      </c>
      <c r="E467" s="102">
        <v>1.0</v>
      </c>
      <c r="F467" s="102">
        <v>1.0</v>
      </c>
      <c r="G467" s="102">
        <v>1.0</v>
      </c>
      <c r="H467" s="103"/>
      <c r="I467" s="103"/>
      <c r="J467" s="103"/>
      <c r="K467" s="103"/>
      <c r="L467" s="103"/>
      <c r="M467" s="104"/>
      <c r="N467" s="104"/>
      <c r="O467" s="104"/>
      <c r="P467" s="104"/>
      <c r="Q467" s="104"/>
      <c r="R467" s="104"/>
      <c r="S467" s="104"/>
      <c r="T467" s="104"/>
      <c r="U467" s="104"/>
      <c r="V467" s="104"/>
      <c r="W467" s="104"/>
      <c r="X467" s="104"/>
      <c r="Y467" s="104"/>
      <c r="Z467" s="104"/>
    </row>
    <row r="468">
      <c r="A468" s="103" t="s">
        <v>952</v>
      </c>
      <c r="B468" s="103"/>
      <c r="C468" s="103"/>
      <c r="D468" s="102">
        <v>1.0</v>
      </c>
      <c r="E468" s="102">
        <v>1.0</v>
      </c>
      <c r="F468" s="102">
        <v>1.0</v>
      </c>
      <c r="G468" s="102">
        <v>1.0</v>
      </c>
      <c r="H468" s="103"/>
      <c r="I468" s="103"/>
      <c r="J468" s="103"/>
      <c r="K468" s="103"/>
      <c r="L468" s="103"/>
      <c r="M468" s="104"/>
      <c r="N468" s="104"/>
      <c r="O468" s="104"/>
      <c r="P468" s="104"/>
      <c r="Q468" s="104"/>
      <c r="R468" s="104"/>
      <c r="S468" s="104"/>
      <c r="T468" s="104"/>
      <c r="U468" s="104"/>
      <c r="V468" s="104"/>
      <c r="W468" s="104"/>
      <c r="X468" s="104"/>
      <c r="Y468" s="104"/>
      <c r="Z468" s="104"/>
    </row>
    <row r="469">
      <c r="A469" s="103" t="s">
        <v>1291</v>
      </c>
      <c r="B469" s="103" t="s">
        <v>1676</v>
      </c>
      <c r="C469" s="103" t="s">
        <v>1689</v>
      </c>
      <c r="D469" s="103" t="s">
        <v>1690</v>
      </c>
      <c r="E469" s="103" t="s">
        <v>1691</v>
      </c>
      <c r="F469" s="103" t="s">
        <v>1692</v>
      </c>
      <c r="G469" s="103" t="s">
        <v>1693</v>
      </c>
      <c r="H469" s="103" t="s">
        <v>1694</v>
      </c>
      <c r="I469" s="103" t="s">
        <v>1695</v>
      </c>
      <c r="J469" s="103" t="s">
        <v>1395</v>
      </c>
      <c r="K469" s="103" t="s">
        <v>1679</v>
      </c>
      <c r="L469" s="103" t="s">
        <v>1021</v>
      </c>
      <c r="M469" s="104"/>
      <c r="N469" s="104"/>
      <c r="O469" s="104"/>
      <c r="P469" s="104"/>
      <c r="Q469" s="104"/>
      <c r="R469" s="104"/>
      <c r="S469" s="104"/>
      <c r="T469" s="104"/>
      <c r="U469" s="104"/>
      <c r="V469" s="104"/>
      <c r="W469" s="104"/>
      <c r="X469" s="104"/>
      <c r="Y469" s="104"/>
      <c r="Z469" s="104"/>
    </row>
    <row r="470">
      <c r="A470" s="103" t="s">
        <v>1281</v>
      </c>
      <c r="B470" s="103"/>
      <c r="C470" s="103"/>
      <c r="D470" s="102">
        <v>1.0</v>
      </c>
      <c r="E470" s="102">
        <v>1.0</v>
      </c>
      <c r="F470" s="102">
        <v>1.0</v>
      </c>
      <c r="G470" s="102">
        <v>1.0</v>
      </c>
      <c r="H470" s="103"/>
      <c r="I470" s="103"/>
      <c r="J470" s="103"/>
      <c r="K470" s="103"/>
      <c r="L470" s="103"/>
      <c r="M470" s="104"/>
      <c r="N470" s="104"/>
      <c r="O470" s="104"/>
      <c r="P470" s="104"/>
      <c r="Q470" s="104"/>
      <c r="R470" s="104"/>
      <c r="S470" s="104"/>
      <c r="T470" s="104"/>
      <c r="U470" s="104"/>
      <c r="V470" s="104"/>
      <c r="W470" s="104"/>
      <c r="X470" s="104"/>
      <c r="Y470" s="104"/>
      <c r="Z470" s="104"/>
    </row>
    <row r="471">
      <c r="A471" s="103" t="s">
        <v>1282</v>
      </c>
      <c r="B471" s="103"/>
      <c r="C471" s="103"/>
      <c r="D471" s="102">
        <v>1.0</v>
      </c>
      <c r="E471" s="102">
        <v>1.0</v>
      </c>
      <c r="F471" s="102">
        <v>1.0</v>
      </c>
      <c r="G471" s="102">
        <v>1.0</v>
      </c>
      <c r="H471" s="103"/>
      <c r="I471" s="103"/>
      <c r="J471" s="103"/>
      <c r="K471" s="103"/>
      <c r="L471" s="103"/>
      <c r="M471" s="104"/>
      <c r="N471" s="104"/>
      <c r="O471" s="104"/>
      <c r="P471" s="104"/>
      <c r="Q471" s="104"/>
      <c r="R471" s="104"/>
      <c r="S471" s="104"/>
      <c r="T471" s="104"/>
      <c r="U471" s="104"/>
      <c r="V471" s="104"/>
      <c r="W471" s="104"/>
      <c r="X471" s="104"/>
      <c r="Y471" s="104"/>
      <c r="Z471" s="104"/>
    </row>
    <row r="472">
      <c r="A472" s="103" t="s">
        <v>948</v>
      </c>
      <c r="B472" s="103"/>
      <c r="C472" s="103"/>
      <c r="D472" s="102">
        <v>1.0</v>
      </c>
      <c r="E472" s="102">
        <v>0.0</v>
      </c>
      <c r="F472" s="102">
        <v>1.0</v>
      </c>
      <c r="G472" s="102">
        <v>1.0</v>
      </c>
      <c r="H472" s="103"/>
      <c r="I472" s="103"/>
      <c r="J472" s="103"/>
      <c r="K472" s="103"/>
      <c r="L472" s="103"/>
      <c r="M472" s="104"/>
      <c r="N472" s="104"/>
      <c r="O472" s="104"/>
      <c r="P472" s="104"/>
      <c r="Q472" s="104"/>
      <c r="R472" s="104"/>
      <c r="S472" s="104"/>
      <c r="T472" s="104"/>
      <c r="U472" s="104"/>
      <c r="V472" s="104"/>
      <c r="W472" s="104"/>
      <c r="X472" s="104"/>
      <c r="Y472" s="104"/>
      <c r="Z472" s="104"/>
    </row>
    <row r="473">
      <c r="A473" s="103" t="s">
        <v>1283</v>
      </c>
      <c r="B473" s="103"/>
      <c r="C473" s="103"/>
      <c r="D473" s="102">
        <v>1.0</v>
      </c>
      <c r="E473" s="102">
        <v>1.0</v>
      </c>
      <c r="F473" s="102">
        <v>1.0</v>
      </c>
      <c r="G473" s="102">
        <v>1.0</v>
      </c>
      <c r="H473" s="103"/>
      <c r="I473" s="103"/>
      <c r="J473" s="103"/>
      <c r="K473" s="103"/>
      <c r="L473" s="103"/>
      <c r="M473" s="104"/>
      <c r="N473" s="104"/>
      <c r="O473" s="104"/>
      <c r="P473" s="104"/>
      <c r="Q473" s="104"/>
      <c r="R473" s="104"/>
      <c r="S473" s="104"/>
      <c r="T473" s="104"/>
      <c r="U473" s="104"/>
      <c r="V473" s="104"/>
      <c r="W473" s="104"/>
      <c r="X473" s="104"/>
      <c r="Y473" s="104"/>
      <c r="Z473" s="104"/>
    </row>
    <row r="474">
      <c r="A474" s="103" t="s">
        <v>950</v>
      </c>
      <c r="B474" s="103"/>
      <c r="C474" s="103"/>
      <c r="D474" s="102">
        <v>1.0</v>
      </c>
      <c r="E474" s="102">
        <v>1.0</v>
      </c>
      <c r="F474" s="102">
        <v>1.0</v>
      </c>
      <c r="G474" s="102">
        <v>1.0</v>
      </c>
      <c r="H474" s="103"/>
      <c r="I474" s="103"/>
      <c r="J474" s="103"/>
      <c r="K474" s="103"/>
      <c r="L474" s="103"/>
      <c r="M474" s="104"/>
      <c r="N474" s="104"/>
      <c r="O474" s="104"/>
      <c r="P474" s="104"/>
      <c r="Q474" s="104"/>
      <c r="R474" s="104"/>
      <c r="S474" s="104"/>
      <c r="T474" s="104"/>
      <c r="U474" s="104"/>
      <c r="V474" s="104"/>
      <c r="W474" s="104"/>
      <c r="X474" s="104"/>
      <c r="Y474" s="104"/>
      <c r="Z474" s="104"/>
    </row>
    <row r="475">
      <c r="A475" s="103" t="s">
        <v>951</v>
      </c>
      <c r="B475" s="103"/>
      <c r="C475" s="103"/>
      <c r="D475" s="102">
        <v>1.0</v>
      </c>
      <c r="E475" s="102">
        <v>1.0</v>
      </c>
      <c r="F475" s="102">
        <v>1.0</v>
      </c>
      <c r="G475" s="102">
        <v>1.0</v>
      </c>
      <c r="H475" s="103"/>
      <c r="I475" s="103"/>
      <c r="J475" s="103"/>
      <c r="K475" s="103"/>
      <c r="L475" s="103"/>
      <c r="M475" s="104"/>
      <c r="N475" s="104"/>
      <c r="O475" s="104"/>
      <c r="P475" s="104"/>
      <c r="Q475" s="104"/>
      <c r="R475" s="104"/>
      <c r="S475" s="104"/>
      <c r="T475" s="104"/>
      <c r="U475" s="104"/>
      <c r="V475" s="104"/>
      <c r="W475" s="104"/>
      <c r="X475" s="104"/>
      <c r="Y475" s="104"/>
      <c r="Z475" s="104"/>
    </row>
    <row r="476">
      <c r="A476" s="103" t="s">
        <v>952</v>
      </c>
      <c r="B476" s="103"/>
      <c r="C476" s="103"/>
      <c r="D476" s="102">
        <v>1.0</v>
      </c>
      <c r="E476" s="102">
        <v>1.0</v>
      </c>
      <c r="F476" s="102">
        <v>1.0</v>
      </c>
      <c r="G476" s="102">
        <v>1.0</v>
      </c>
      <c r="H476" s="103"/>
      <c r="I476" s="103"/>
      <c r="J476" s="103"/>
      <c r="K476" s="103"/>
      <c r="L476" s="103"/>
      <c r="M476" s="104"/>
      <c r="N476" s="104"/>
      <c r="O476" s="104"/>
      <c r="P476" s="104"/>
      <c r="Q476" s="104"/>
      <c r="R476" s="104"/>
      <c r="S476" s="104"/>
      <c r="T476" s="104"/>
      <c r="U476" s="104"/>
      <c r="V476" s="104"/>
      <c r="W476" s="104"/>
      <c r="X476" s="104"/>
      <c r="Y476" s="104"/>
      <c r="Z476" s="104"/>
    </row>
    <row r="477">
      <c r="A477" s="97" t="s">
        <v>1272</v>
      </c>
      <c r="B477" s="97"/>
      <c r="C477" s="97"/>
      <c r="D477" s="5" t="s">
        <v>1184</v>
      </c>
      <c r="E477" s="5" t="s">
        <v>1185</v>
      </c>
      <c r="F477" s="5" t="s">
        <v>1696</v>
      </c>
      <c r="G477" s="5" t="s">
        <v>1186</v>
      </c>
      <c r="H477" s="97"/>
      <c r="I477" s="97"/>
      <c r="J477" s="97"/>
      <c r="K477" s="97"/>
      <c r="L477" s="97"/>
    </row>
    <row r="478">
      <c r="A478" s="108" t="s">
        <v>1273</v>
      </c>
      <c r="B478" s="97" t="s">
        <v>1697</v>
      </c>
      <c r="C478" s="97" t="s">
        <v>1698</v>
      </c>
      <c r="D478" s="97" t="s">
        <v>1699</v>
      </c>
      <c r="E478" s="97" t="s">
        <v>1700</v>
      </c>
      <c r="F478" s="97" t="s">
        <v>1392</v>
      </c>
      <c r="G478" s="97" t="s">
        <v>1701</v>
      </c>
      <c r="H478" s="97" t="s">
        <v>1187</v>
      </c>
      <c r="I478" s="97" t="s">
        <v>1702</v>
      </c>
      <c r="J478" s="97" t="s">
        <v>1703</v>
      </c>
      <c r="K478" s="97" t="s">
        <v>1392</v>
      </c>
      <c r="L478" s="97" t="s">
        <v>1704</v>
      </c>
    </row>
    <row r="479">
      <c r="A479" s="97" t="s">
        <v>1281</v>
      </c>
      <c r="B479" s="97"/>
      <c r="C479" s="97"/>
      <c r="D479" s="107">
        <v>1.0</v>
      </c>
      <c r="E479" s="107">
        <v>1.0</v>
      </c>
      <c r="F479" s="107">
        <v>0.0</v>
      </c>
      <c r="G479" s="107">
        <v>1.0</v>
      </c>
      <c r="H479" s="97"/>
      <c r="I479" s="97"/>
      <c r="J479" s="97"/>
      <c r="K479" s="97"/>
      <c r="L479" s="97"/>
    </row>
    <row r="480">
      <c r="A480" s="97" t="s">
        <v>1282</v>
      </c>
      <c r="B480" s="97"/>
      <c r="C480" s="97"/>
      <c r="D480" s="107">
        <v>1.0</v>
      </c>
      <c r="E480" s="107">
        <v>1.0</v>
      </c>
      <c r="F480" s="107">
        <v>0.0</v>
      </c>
      <c r="G480" s="107">
        <v>1.0</v>
      </c>
      <c r="H480" s="97"/>
      <c r="I480" s="97"/>
      <c r="J480" s="97"/>
      <c r="K480" s="97"/>
      <c r="L480" s="97"/>
    </row>
    <row r="481">
      <c r="A481" s="97" t="s">
        <v>948</v>
      </c>
      <c r="B481" s="97"/>
      <c r="C481" s="97"/>
      <c r="D481" s="107">
        <v>1.0</v>
      </c>
      <c r="E481" s="107">
        <v>1.0</v>
      </c>
      <c r="F481" s="107">
        <v>1.0</v>
      </c>
      <c r="G481" s="107">
        <v>1.0</v>
      </c>
      <c r="H481" s="97"/>
      <c r="I481" s="97"/>
      <c r="J481" s="97"/>
      <c r="K481" s="97"/>
      <c r="L481" s="97"/>
    </row>
    <row r="482">
      <c r="A482" s="97" t="s">
        <v>1283</v>
      </c>
      <c r="B482" s="97"/>
      <c r="C482" s="97"/>
      <c r="D482" s="107">
        <v>1.0</v>
      </c>
      <c r="E482" s="107">
        <v>1.0</v>
      </c>
      <c r="F482" s="107">
        <v>1.0</v>
      </c>
      <c r="G482" s="107">
        <v>1.0</v>
      </c>
      <c r="H482" s="97"/>
      <c r="I482" s="97"/>
      <c r="J482" s="97"/>
      <c r="K482" s="97"/>
      <c r="L482" s="97"/>
    </row>
    <row r="483">
      <c r="A483" s="97" t="s">
        <v>950</v>
      </c>
      <c r="B483" s="97"/>
      <c r="C483" s="97"/>
      <c r="D483" s="107">
        <v>1.0</v>
      </c>
      <c r="E483" s="107">
        <v>1.0</v>
      </c>
      <c r="F483" s="107">
        <v>1.0</v>
      </c>
      <c r="G483" s="107">
        <v>1.0</v>
      </c>
      <c r="H483" s="97"/>
      <c r="I483" s="97"/>
      <c r="J483" s="97"/>
      <c r="K483" s="97"/>
      <c r="L483" s="97"/>
    </row>
    <row r="484">
      <c r="A484" s="97" t="s">
        <v>951</v>
      </c>
      <c r="B484" s="97"/>
      <c r="C484" s="97"/>
      <c r="D484" s="107">
        <v>1.0</v>
      </c>
      <c r="E484" s="107">
        <v>1.0</v>
      </c>
      <c r="F484" s="107">
        <v>0.0</v>
      </c>
      <c r="G484" s="107">
        <v>1.0</v>
      </c>
      <c r="H484" s="97"/>
      <c r="I484" s="97"/>
      <c r="J484" s="97"/>
      <c r="K484" s="97"/>
      <c r="L484" s="97"/>
    </row>
    <row r="485">
      <c r="A485" s="97" t="s">
        <v>952</v>
      </c>
      <c r="B485" s="97"/>
      <c r="C485" s="97"/>
      <c r="D485" s="107">
        <v>1.0</v>
      </c>
      <c r="E485" s="107">
        <v>1.0</v>
      </c>
      <c r="F485" s="107">
        <v>1.0</v>
      </c>
      <c r="G485" s="107">
        <v>1.0</v>
      </c>
      <c r="H485" s="97"/>
      <c r="I485" s="97"/>
      <c r="J485" s="97"/>
      <c r="K485" s="97"/>
      <c r="L485" s="97"/>
    </row>
    <row r="486">
      <c r="A486" s="97" t="s">
        <v>1284</v>
      </c>
      <c r="B486" s="97" t="s">
        <v>1697</v>
      </c>
      <c r="C486" s="97" t="s">
        <v>1705</v>
      </c>
      <c r="D486" s="97" t="s">
        <v>1706</v>
      </c>
      <c r="E486" s="97" t="s">
        <v>1707</v>
      </c>
      <c r="F486" s="97" t="s">
        <v>1708</v>
      </c>
      <c r="G486" s="97" t="s">
        <v>1709</v>
      </c>
      <c r="H486" s="97" t="s">
        <v>1187</v>
      </c>
      <c r="I486" s="97" t="s">
        <v>1551</v>
      </c>
      <c r="J486" s="97" t="s">
        <v>1710</v>
      </c>
      <c r="K486" s="97" t="s">
        <v>1019</v>
      </c>
      <c r="L486" s="97" t="s">
        <v>1711</v>
      </c>
    </row>
    <row r="487">
      <c r="A487" s="97" t="s">
        <v>1281</v>
      </c>
      <c r="B487" s="97"/>
      <c r="C487" s="97"/>
      <c r="D487" s="107">
        <v>1.0</v>
      </c>
      <c r="E487" s="107">
        <v>1.0</v>
      </c>
      <c r="F487" s="107">
        <v>1.0</v>
      </c>
      <c r="G487" s="107">
        <v>1.0</v>
      </c>
      <c r="H487" s="97"/>
      <c r="I487" s="97"/>
      <c r="J487" s="97"/>
      <c r="K487" s="97"/>
      <c r="L487" s="97"/>
    </row>
    <row r="488">
      <c r="A488" s="97" t="s">
        <v>1282</v>
      </c>
      <c r="B488" s="97"/>
      <c r="C488" s="97"/>
      <c r="D488" s="107">
        <v>1.0</v>
      </c>
      <c r="E488" s="107">
        <v>1.0</v>
      </c>
      <c r="F488" s="107">
        <v>1.0</v>
      </c>
      <c r="G488" s="107">
        <v>1.0</v>
      </c>
      <c r="H488" s="97"/>
      <c r="I488" s="97"/>
      <c r="J488" s="97"/>
      <c r="K488" s="97"/>
      <c r="L488" s="97"/>
    </row>
    <row r="489">
      <c r="A489" s="97" t="s">
        <v>948</v>
      </c>
      <c r="B489" s="97"/>
      <c r="C489" s="97"/>
      <c r="D489" s="107">
        <v>1.0</v>
      </c>
      <c r="E489" s="107">
        <v>0.0</v>
      </c>
      <c r="F489" s="107">
        <v>0.0</v>
      </c>
      <c r="G489" s="107">
        <v>1.0</v>
      </c>
      <c r="H489" s="97"/>
      <c r="I489" s="97"/>
      <c r="J489" s="97"/>
      <c r="K489" s="97"/>
      <c r="L489" s="97"/>
    </row>
    <row r="490">
      <c r="A490" s="97" t="s">
        <v>1283</v>
      </c>
      <c r="B490" s="97"/>
      <c r="C490" s="97"/>
      <c r="D490" s="107">
        <v>1.0</v>
      </c>
      <c r="E490" s="107">
        <v>1.0</v>
      </c>
      <c r="F490" s="107">
        <v>1.0</v>
      </c>
      <c r="G490" s="107">
        <v>1.0</v>
      </c>
      <c r="H490" s="97"/>
      <c r="I490" s="97"/>
      <c r="J490" s="97"/>
      <c r="K490" s="97"/>
      <c r="L490" s="97"/>
    </row>
    <row r="491">
      <c r="A491" s="97" t="s">
        <v>950</v>
      </c>
      <c r="B491" s="97"/>
      <c r="C491" s="97"/>
      <c r="D491" s="107">
        <v>1.0</v>
      </c>
      <c r="E491" s="107">
        <v>1.0</v>
      </c>
      <c r="F491" s="107">
        <v>1.0</v>
      </c>
      <c r="G491" s="107">
        <v>1.0</v>
      </c>
      <c r="H491" s="97"/>
      <c r="I491" s="97"/>
      <c r="J491" s="97"/>
      <c r="K491" s="97"/>
      <c r="L491" s="97"/>
    </row>
    <row r="492">
      <c r="A492" s="97" t="s">
        <v>951</v>
      </c>
      <c r="B492" s="97"/>
      <c r="C492" s="97"/>
      <c r="D492" s="107">
        <v>1.0</v>
      </c>
      <c r="E492" s="107">
        <v>1.0</v>
      </c>
      <c r="F492" s="107">
        <v>1.0</v>
      </c>
      <c r="G492" s="107">
        <v>1.0</v>
      </c>
      <c r="H492" s="97"/>
      <c r="I492" s="97"/>
      <c r="J492" s="97"/>
      <c r="K492" s="97"/>
      <c r="L492" s="97"/>
    </row>
    <row r="493">
      <c r="A493" s="97" t="s">
        <v>952</v>
      </c>
      <c r="B493" s="97"/>
      <c r="C493" s="97"/>
      <c r="D493" s="107">
        <v>1.0</v>
      </c>
      <c r="E493" s="107">
        <v>1.0</v>
      </c>
      <c r="F493" s="107">
        <v>1.0</v>
      </c>
      <c r="G493" s="107">
        <v>1.0</v>
      </c>
      <c r="H493" s="97"/>
      <c r="I493" s="97"/>
      <c r="J493" s="97"/>
      <c r="K493" s="97"/>
      <c r="L493" s="97"/>
    </row>
    <row r="494">
      <c r="A494" s="97" t="s">
        <v>1291</v>
      </c>
      <c r="B494" s="97" t="s">
        <v>1697</v>
      </c>
      <c r="C494" s="97" t="s">
        <v>1712</v>
      </c>
      <c r="D494" s="97" t="s">
        <v>1713</v>
      </c>
      <c r="E494" s="97" t="s">
        <v>1714</v>
      </c>
      <c r="F494" s="97" t="s">
        <v>1715</v>
      </c>
      <c r="G494" s="97" t="s">
        <v>1716</v>
      </c>
      <c r="H494" s="97" t="s">
        <v>1717</v>
      </c>
      <c r="I494" s="97" t="s">
        <v>1718</v>
      </c>
      <c r="J494" s="97" t="s">
        <v>1719</v>
      </c>
      <c r="K494" s="97" t="s">
        <v>1720</v>
      </c>
      <c r="L494" s="97" t="s">
        <v>1721</v>
      </c>
    </row>
    <row r="495">
      <c r="A495" s="97" t="s">
        <v>1281</v>
      </c>
      <c r="B495" s="97"/>
      <c r="C495" s="97"/>
      <c r="D495" s="107">
        <v>1.0</v>
      </c>
      <c r="E495" s="107">
        <v>0.0</v>
      </c>
      <c r="F495" s="107">
        <v>0.0</v>
      </c>
      <c r="G495" s="107">
        <v>1.0</v>
      </c>
      <c r="H495" s="97"/>
      <c r="I495" s="97"/>
      <c r="J495" s="97"/>
      <c r="K495" s="97"/>
      <c r="L495" s="97"/>
    </row>
    <row r="496">
      <c r="A496" s="97" t="s">
        <v>1282</v>
      </c>
      <c r="B496" s="97"/>
      <c r="C496" s="97"/>
      <c r="D496" s="107">
        <v>1.0</v>
      </c>
      <c r="E496" s="107">
        <v>0.0</v>
      </c>
      <c r="F496" s="107">
        <v>0.0</v>
      </c>
      <c r="G496" s="107">
        <v>1.0</v>
      </c>
      <c r="H496" s="97"/>
      <c r="I496" s="97"/>
      <c r="J496" s="97"/>
      <c r="K496" s="97"/>
      <c r="L496" s="97"/>
    </row>
    <row r="497">
      <c r="A497" s="97" t="s">
        <v>948</v>
      </c>
      <c r="B497" s="97"/>
      <c r="C497" s="97"/>
      <c r="D497" s="107">
        <v>1.0</v>
      </c>
      <c r="E497" s="107">
        <v>1.0</v>
      </c>
      <c r="F497" s="107">
        <v>1.0</v>
      </c>
      <c r="G497" s="107">
        <v>1.0</v>
      </c>
      <c r="H497" s="97"/>
      <c r="I497" s="97"/>
      <c r="J497" s="97"/>
      <c r="K497" s="97"/>
      <c r="L497" s="97"/>
    </row>
    <row r="498">
      <c r="A498" s="97" t="s">
        <v>1283</v>
      </c>
      <c r="B498" s="97"/>
      <c r="C498" s="97"/>
      <c r="D498" s="107">
        <v>1.0</v>
      </c>
      <c r="E498" s="107">
        <v>1.0</v>
      </c>
      <c r="F498" s="107">
        <v>1.0</v>
      </c>
      <c r="G498" s="107">
        <v>1.0</v>
      </c>
      <c r="H498" s="97"/>
      <c r="I498" s="97"/>
      <c r="J498" s="97"/>
      <c r="K498" s="97"/>
      <c r="L498" s="97"/>
    </row>
    <row r="499">
      <c r="A499" s="97" t="s">
        <v>950</v>
      </c>
      <c r="B499" s="97"/>
      <c r="C499" s="97"/>
      <c r="D499" s="107">
        <v>1.0</v>
      </c>
      <c r="E499" s="107">
        <v>1.0</v>
      </c>
      <c r="F499" s="107">
        <v>1.0</v>
      </c>
      <c r="G499" s="107">
        <v>1.0</v>
      </c>
      <c r="H499" s="97"/>
      <c r="I499" s="97"/>
      <c r="J499" s="97"/>
      <c r="K499" s="97"/>
      <c r="L499" s="97"/>
    </row>
    <row r="500">
      <c r="A500" s="97" t="s">
        <v>951</v>
      </c>
      <c r="B500" s="97"/>
      <c r="C500" s="97"/>
      <c r="D500" s="107">
        <v>1.0</v>
      </c>
      <c r="E500" s="107">
        <v>0.0</v>
      </c>
      <c r="F500" s="107">
        <v>0.0</v>
      </c>
      <c r="G500" s="107">
        <v>1.0</v>
      </c>
      <c r="H500" s="97"/>
      <c r="I500" s="97"/>
      <c r="J500" s="97"/>
      <c r="K500" s="97"/>
      <c r="L500" s="97"/>
    </row>
    <row r="501">
      <c r="A501" s="97" t="s">
        <v>952</v>
      </c>
      <c r="B501" s="97"/>
      <c r="C501" s="97"/>
      <c r="D501" s="107">
        <v>1.0</v>
      </c>
      <c r="E501" s="107">
        <v>1.0</v>
      </c>
      <c r="F501" s="107">
        <v>1.0</v>
      </c>
      <c r="G501" s="107">
        <v>1.0</v>
      </c>
      <c r="H501" s="97"/>
      <c r="I501" s="97"/>
      <c r="J501" s="97"/>
      <c r="K501" s="97"/>
      <c r="L501" s="97"/>
    </row>
    <row r="502">
      <c r="A502" s="103" t="s">
        <v>1272</v>
      </c>
      <c r="B502" s="103"/>
      <c r="C502" s="103"/>
      <c r="D502" s="59" t="s">
        <v>1193</v>
      </c>
      <c r="E502" s="59" t="s">
        <v>1194</v>
      </c>
      <c r="F502" s="59" t="s">
        <v>1195</v>
      </c>
      <c r="G502" s="59" t="s">
        <v>1196</v>
      </c>
      <c r="H502" s="103"/>
      <c r="I502" s="103"/>
      <c r="J502" s="103"/>
      <c r="K502" s="103"/>
      <c r="L502" s="103"/>
      <c r="M502" s="104"/>
      <c r="N502" s="104"/>
      <c r="O502" s="104"/>
      <c r="P502" s="104"/>
      <c r="Q502" s="104"/>
      <c r="R502" s="104"/>
      <c r="S502" s="104"/>
      <c r="T502" s="104"/>
      <c r="U502" s="104"/>
      <c r="V502" s="104"/>
      <c r="W502" s="104"/>
      <c r="X502" s="104"/>
      <c r="Y502" s="104"/>
      <c r="Z502" s="104"/>
    </row>
    <row r="503">
      <c r="A503" s="108" t="s">
        <v>1273</v>
      </c>
      <c r="B503" s="103" t="s">
        <v>1722</v>
      </c>
      <c r="C503" s="103" t="s">
        <v>1723</v>
      </c>
      <c r="D503" s="103" t="s">
        <v>1724</v>
      </c>
      <c r="E503" s="103" t="s">
        <v>1725</v>
      </c>
      <c r="F503" s="103" t="s">
        <v>1372</v>
      </c>
      <c r="G503" s="103" t="s">
        <v>1032</v>
      </c>
      <c r="H503" s="103" t="s">
        <v>1726</v>
      </c>
      <c r="I503" s="103" t="s">
        <v>1727</v>
      </c>
      <c r="J503" s="103" t="s">
        <v>1728</v>
      </c>
      <c r="K503" s="103" t="s">
        <v>1372</v>
      </c>
      <c r="L503" s="103" t="s">
        <v>1032</v>
      </c>
      <c r="M503" s="104"/>
      <c r="N503" s="104"/>
      <c r="O503" s="104"/>
      <c r="P503" s="104"/>
      <c r="Q503" s="104"/>
      <c r="R503" s="104"/>
      <c r="S503" s="104"/>
      <c r="T503" s="104"/>
      <c r="U503" s="104"/>
      <c r="V503" s="104"/>
      <c r="W503" s="104"/>
      <c r="X503" s="104"/>
      <c r="Y503" s="104"/>
      <c r="Z503" s="104"/>
    </row>
    <row r="504">
      <c r="A504" s="103" t="s">
        <v>1281</v>
      </c>
      <c r="B504" s="103"/>
      <c r="C504" s="103"/>
      <c r="D504" s="102">
        <v>1.0</v>
      </c>
      <c r="E504" s="102">
        <v>1.0</v>
      </c>
      <c r="F504" s="102">
        <v>0.0</v>
      </c>
      <c r="G504" s="102">
        <v>1.0</v>
      </c>
      <c r="H504" s="103"/>
      <c r="I504" s="103"/>
      <c r="J504" s="103"/>
      <c r="K504" s="103"/>
      <c r="L504" s="103"/>
      <c r="M504" s="104"/>
      <c r="N504" s="104"/>
      <c r="O504" s="104"/>
      <c r="P504" s="104"/>
      <c r="Q504" s="104"/>
      <c r="R504" s="104"/>
      <c r="S504" s="104"/>
      <c r="T504" s="104"/>
      <c r="U504" s="104"/>
      <c r="V504" s="104"/>
      <c r="W504" s="104"/>
      <c r="X504" s="104"/>
      <c r="Y504" s="104"/>
      <c r="Z504" s="104"/>
    </row>
    <row r="505">
      <c r="A505" s="103" t="s">
        <v>1282</v>
      </c>
      <c r="B505" s="103"/>
      <c r="C505" s="103"/>
      <c r="D505" s="102">
        <v>1.0</v>
      </c>
      <c r="E505" s="102">
        <v>1.0</v>
      </c>
      <c r="F505" s="102">
        <v>0.0</v>
      </c>
      <c r="G505" s="102">
        <v>1.0</v>
      </c>
      <c r="H505" s="103"/>
      <c r="I505" s="103"/>
      <c r="J505" s="103"/>
      <c r="K505" s="103"/>
      <c r="L505" s="103"/>
      <c r="M505" s="104"/>
      <c r="N505" s="104"/>
      <c r="O505" s="104"/>
      <c r="P505" s="104"/>
      <c r="Q505" s="104"/>
      <c r="R505" s="104"/>
      <c r="S505" s="104"/>
      <c r="T505" s="104"/>
      <c r="U505" s="104"/>
      <c r="V505" s="104"/>
      <c r="W505" s="104"/>
      <c r="X505" s="104"/>
      <c r="Y505" s="104"/>
      <c r="Z505" s="104"/>
    </row>
    <row r="506">
      <c r="A506" s="103" t="s">
        <v>948</v>
      </c>
      <c r="B506" s="103"/>
      <c r="C506" s="103"/>
      <c r="D506" s="102">
        <v>1.0</v>
      </c>
      <c r="E506" s="102">
        <v>1.0</v>
      </c>
      <c r="F506" s="102">
        <v>0.0</v>
      </c>
      <c r="G506" s="102">
        <v>1.0</v>
      </c>
      <c r="H506" s="103"/>
      <c r="I506" s="103"/>
      <c r="J506" s="103"/>
      <c r="K506" s="103"/>
      <c r="L506" s="103"/>
      <c r="M506" s="104"/>
      <c r="N506" s="104"/>
      <c r="O506" s="104"/>
      <c r="P506" s="104"/>
      <c r="Q506" s="104"/>
      <c r="R506" s="104"/>
      <c r="S506" s="104"/>
      <c r="T506" s="104"/>
      <c r="U506" s="104"/>
      <c r="V506" s="104"/>
      <c r="W506" s="104"/>
      <c r="X506" s="104"/>
      <c r="Y506" s="104"/>
      <c r="Z506" s="104"/>
    </row>
    <row r="507">
      <c r="A507" s="103" t="s">
        <v>1283</v>
      </c>
      <c r="B507" s="103"/>
      <c r="C507" s="103"/>
      <c r="D507" s="102">
        <v>1.0</v>
      </c>
      <c r="E507" s="102">
        <v>1.0</v>
      </c>
      <c r="F507" s="102">
        <v>1.0</v>
      </c>
      <c r="G507" s="102">
        <v>1.0</v>
      </c>
      <c r="H507" s="103"/>
      <c r="I507" s="103"/>
      <c r="J507" s="103"/>
      <c r="K507" s="103"/>
      <c r="L507" s="103"/>
      <c r="M507" s="104"/>
      <c r="N507" s="104"/>
      <c r="O507" s="104"/>
      <c r="P507" s="104"/>
      <c r="Q507" s="104"/>
      <c r="R507" s="104"/>
      <c r="S507" s="104"/>
      <c r="T507" s="104"/>
      <c r="U507" s="104"/>
      <c r="V507" s="104"/>
      <c r="W507" s="104"/>
      <c r="X507" s="104"/>
      <c r="Y507" s="104"/>
      <c r="Z507" s="104"/>
    </row>
    <row r="508">
      <c r="A508" s="103" t="s">
        <v>950</v>
      </c>
      <c r="B508" s="103"/>
      <c r="C508" s="103"/>
      <c r="D508" s="102">
        <v>1.0</v>
      </c>
      <c r="E508" s="102">
        <v>1.0</v>
      </c>
      <c r="F508" s="102">
        <v>1.0</v>
      </c>
      <c r="G508" s="102">
        <v>1.0</v>
      </c>
      <c r="H508" s="103"/>
      <c r="I508" s="103"/>
      <c r="J508" s="103"/>
      <c r="K508" s="103"/>
      <c r="L508" s="103"/>
      <c r="M508" s="104"/>
      <c r="N508" s="104"/>
      <c r="O508" s="104"/>
      <c r="P508" s="104"/>
      <c r="Q508" s="104"/>
      <c r="R508" s="104"/>
      <c r="S508" s="104"/>
      <c r="T508" s="104"/>
      <c r="U508" s="104"/>
      <c r="V508" s="104"/>
      <c r="W508" s="104"/>
      <c r="X508" s="104"/>
      <c r="Y508" s="104"/>
      <c r="Z508" s="104"/>
    </row>
    <row r="509">
      <c r="A509" s="103" t="s">
        <v>951</v>
      </c>
      <c r="B509" s="103"/>
      <c r="C509" s="103"/>
      <c r="D509" s="102">
        <v>1.0</v>
      </c>
      <c r="E509" s="102">
        <v>1.0</v>
      </c>
      <c r="F509" s="102">
        <v>0.0</v>
      </c>
      <c r="G509" s="102">
        <v>1.0</v>
      </c>
      <c r="H509" s="103"/>
      <c r="I509" s="103"/>
      <c r="J509" s="103"/>
      <c r="K509" s="103"/>
      <c r="L509" s="103"/>
      <c r="M509" s="104"/>
      <c r="N509" s="104"/>
      <c r="O509" s="104"/>
      <c r="P509" s="104"/>
      <c r="Q509" s="104"/>
      <c r="R509" s="104"/>
      <c r="S509" s="104"/>
      <c r="T509" s="104"/>
      <c r="U509" s="104"/>
      <c r="V509" s="104"/>
      <c r="W509" s="104"/>
      <c r="X509" s="104"/>
      <c r="Y509" s="104"/>
      <c r="Z509" s="104"/>
    </row>
    <row r="510">
      <c r="A510" s="103" t="s">
        <v>952</v>
      </c>
      <c r="B510" s="103"/>
      <c r="C510" s="103"/>
      <c r="D510" s="102">
        <v>1.0</v>
      </c>
      <c r="E510" s="102">
        <v>1.0</v>
      </c>
      <c r="F510" s="102">
        <v>1.0</v>
      </c>
      <c r="G510" s="102">
        <v>1.0</v>
      </c>
      <c r="H510" s="103"/>
      <c r="I510" s="103"/>
      <c r="J510" s="103"/>
      <c r="K510" s="103"/>
      <c r="L510" s="103"/>
      <c r="M510" s="104"/>
      <c r="N510" s="104"/>
      <c r="O510" s="104"/>
      <c r="P510" s="104"/>
      <c r="Q510" s="104"/>
      <c r="R510" s="104"/>
      <c r="S510" s="104"/>
      <c r="T510" s="104"/>
      <c r="U510" s="104"/>
      <c r="V510" s="104"/>
      <c r="W510" s="104"/>
      <c r="X510" s="104"/>
      <c r="Y510" s="104"/>
      <c r="Z510" s="104"/>
    </row>
    <row r="511">
      <c r="A511" s="103" t="s">
        <v>1284</v>
      </c>
      <c r="B511" s="103" t="s">
        <v>1722</v>
      </c>
      <c r="C511" s="103" t="s">
        <v>1729</v>
      </c>
      <c r="D511" s="103" t="s">
        <v>1730</v>
      </c>
      <c r="E511" s="103" t="s">
        <v>1731</v>
      </c>
      <c r="F511" s="103" t="s">
        <v>1732</v>
      </c>
      <c r="G511" s="103" t="s">
        <v>1358</v>
      </c>
      <c r="H511" s="103" t="s">
        <v>1733</v>
      </c>
      <c r="I511" s="103" t="s">
        <v>1734</v>
      </c>
      <c r="J511" s="103" t="s">
        <v>1735</v>
      </c>
      <c r="K511" s="103" t="s">
        <v>1736</v>
      </c>
      <c r="L511" s="103" t="s">
        <v>1032</v>
      </c>
      <c r="M511" s="104"/>
      <c r="N511" s="104"/>
      <c r="O511" s="104"/>
      <c r="P511" s="104"/>
      <c r="Q511" s="104"/>
      <c r="R511" s="104"/>
      <c r="S511" s="104"/>
      <c r="T511" s="104"/>
      <c r="U511" s="104"/>
      <c r="V511" s="104"/>
      <c r="W511" s="104"/>
      <c r="X511" s="104"/>
      <c r="Y511" s="104"/>
      <c r="Z511" s="104"/>
    </row>
    <row r="512">
      <c r="A512" s="103" t="s">
        <v>1281</v>
      </c>
      <c r="B512" s="103"/>
      <c r="C512" s="103"/>
      <c r="D512" s="102">
        <v>1.0</v>
      </c>
      <c r="E512" s="102">
        <v>0.0</v>
      </c>
      <c r="F512" s="102">
        <v>0.0</v>
      </c>
      <c r="G512" s="102">
        <v>1.0</v>
      </c>
      <c r="H512" s="103"/>
      <c r="I512" s="103"/>
      <c r="J512" s="103"/>
      <c r="K512" s="103"/>
      <c r="L512" s="103"/>
      <c r="M512" s="104"/>
      <c r="N512" s="104"/>
      <c r="O512" s="104"/>
      <c r="P512" s="104"/>
      <c r="Q512" s="104"/>
      <c r="R512" s="104"/>
      <c r="S512" s="104"/>
      <c r="T512" s="104"/>
      <c r="U512" s="104"/>
      <c r="V512" s="104"/>
      <c r="W512" s="104"/>
      <c r="X512" s="104"/>
      <c r="Y512" s="104"/>
      <c r="Z512" s="104"/>
    </row>
    <row r="513">
      <c r="A513" s="103" t="s">
        <v>1282</v>
      </c>
      <c r="B513" s="103"/>
      <c r="C513" s="103"/>
      <c r="D513" s="102">
        <v>1.0</v>
      </c>
      <c r="E513" s="102">
        <v>1.0</v>
      </c>
      <c r="F513" s="102">
        <v>1.0</v>
      </c>
      <c r="G513" s="102">
        <v>1.0</v>
      </c>
      <c r="H513" s="103"/>
      <c r="I513" s="103"/>
      <c r="J513" s="103"/>
      <c r="K513" s="103"/>
      <c r="L513" s="103"/>
      <c r="M513" s="104"/>
      <c r="N513" s="104"/>
      <c r="O513" s="104"/>
      <c r="P513" s="104"/>
      <c r="Q513" s="104"/>
      <c r="R513" s="104"/>
      <c r="S513" s="104"/>
      <c r="T513" s="104"/>
      <c r="U513" s="104"/>
      <c r="V513" s="104"/>
      <c r="W513" s="104"/>
      <c r="X513" s="104"/>
      <c r="Y513" s="104"/>
      <c r="Z513" s="104"/>
    </row>
    <row r="514">
      <c r="A514" s="103" t="s">
        <v>948</v>
      </c>
      <c r="B514" s="103"/>
      <c r="C514" s="103"/>
      <c r="D514" s="102">
        <v>1.0</v>
      </c>
      <c r="E514" s="102">
        <v>0.0</v>
      </c>
      <c r="F514" s="102">
        <v>0.0</v>
      </c>
      <c r="G514" s="102">
        <v>1.0</v>
      </c>
      <c r="H514" s="103"/>
      <c r="I514" s="103"/>
      <c r="J514" s="103"/>
      <c r="K514" s="103"/>
      <c r="L514" s="103"/>
      <c r="M514" s="104"/>
      <c r="N514" s="104"/>
      <c r="O514" s="104"/>
      <c r="P514" s="104"/>
      <c r="Q514" s="104"/>
      <c r="R514" s="104"/>
      <c r="S514" s="104"/>
      <c r="T514" s="104"/>
      <c r="U514" s="104"/>
      <c r="V514" s="104"/>
      <c r="W514" s="104"/>
      <c r="X514" s="104"/>
      <c r="Y514" s="104"/>
      <c r="Z514" s="104"/>
    </row>
    <row r="515">
      <c r="A515" s="103" t="s">
        <v>1283</v>
      </c>
      <c r="B515" s="103"/>
      <c r="C515" s="103"/>
      <c r="D515" s="102">
        <v>1.0</v>
      </c>
      <c r="E515" s="102">
        <v>1.0</v>
      </c>
      <c r="F515" s="102">
        <v>1.0</v>
      </c>
      <c r="G515" s="102">
        <v>1.0</v>
      </c>
      <c r="H515" s="103"/>
      <c r="I515" s="103"/>
      <c r="J515" s="103"/>
      <c r="K515" s="103"/>
      <c r="L515" s="103"/>
      <c r="M515" s="104"/>
      <c r="N515" s="104"/>
      <c r="O515" s="104"/>
      <c r="P515" s="104"/>
      <c r="Q515" s="104"/>
      <c r="R515" s="104"/>
      <c r="S515" s="104"/>
      <c r="T515" s="104"/>
      <c r="U515" s="104"/>
      <c r="V515" s="104"/>
      <c r="W515" s="104"/>
      <c r="X515" s="104"/>
      <c r="Y515" s="104"/>
      <c r="Z515" s="104"/>
    </row>
    <row r="516">
      <c r="A516" s="103" t="s">
        <v>950</v>
      </c>
      <c r="B516" s="103"/>
      <c r="C516" s="103"/>
      <c r="D516" s="102">
        <v>0.0</v>
      </c>
      <c r="E516" s="102">
        <v>0.0</v>
      </c>
      <c r="F516" s="102">
        <v>1.0</v>
      </c>
      <c r="G516" s="102">
        <v>1.0</v>
      </c>
      <c r="H516" s="103"/>
      <c r="I516" s="103"/>
      <c r="J516" s="103"/>
      <c r="K516" s="103"/>
      <c r="L516" s="103"/>
      <c r="M516" s="104"/>
      <c r="N516" s="104"/>
      <c r="O516" s="104"/>
      <c r="P516" s="104"/>
      <c r="Q516" s="104"/>
      <c r="R516" s="104"/>
      <c r="S516" s="104"/>
      <c r="T516" s="104"/>
      <c r="U516" s="104"/>
      <c r="V516" s="104"/>
      <c r="W516" s="104"/>
      <c r="X516" s="104"/>
      <c r="Y516" s="104"/>
      <c r="Z516" s="104"/>
    </row>
    <row r="517">
      <c r="A517" s="103" t="s">
        <v>951</v>
      </c>
      <c r="B517" s="103"/>
      <c r="C517" s="103"/>
      <c r="D517" s="102">
        <v>1.0</v>
      </c>
      <c r="E517" s="102">
        <v>1.0</v>
      </c>
      <c r="F517" s="102">
        <v>1.0</v>
      </c>
      <c r="G517" s="102">
        <v>1.0</v>
      </c>
      <c r="H517" s="103"/>
      <c r="I517" s="103"/>
      <c r="J517" s="103"/>
      <c r="K517" s="103"/>
      <c r="L517" s="103"/>
      <c r="M517" s="104"/>
      <c r="N517" s="104"/>
      <c r="O517" s="104"/>
      <c r="P517" s="104"/>
      <c r="Q517" s="104"/>
      <c r="R517" s="104"/>
      <c r="S517" s="104"/>
      <c r="T517" s="104"/>
      <c r="U517" s="104"/>
      <c r="V517" s="104"/>
      <c r="W517" s="104"/>
      <c r="X517" s="104"/>
      <c r="Y517" s="104"/>
      <c r="Z517" s="104"/>
    </row>
    <row r="518">
      <c r="A518" s="103" t="s">
        <v>952</v>
      </c>
      <c r="B518" s="103"/>
      <c r="C518" s="103"/>
      <c r="D518" s="102">
        <v>1.0</v>
      </c>
      <c r="E518" s="102">
        <v>1.0</v>
      </c>
      <c r="F518" s="102">
        <v>1.0</v>
      </c>
      <c r="G518" s="102">
        <v>1.0</v>
      </c>
      <c r="H518" s="103"/>
      <c r="I518" s="103"/>
      <c r="J518" s="103"/>
      <c r="K518" s="103"/>
      <c r="L518" s="103"/>
      <c r="M518" s="104"/>
      <c r="N518" s="104"/>
      <c r="O518" s="104"/>
      <c r="P518" s="104"/>
      <c r="Q518" s="104"/>
      <c r="R518" s="104"/>
      <c r="S518" s="104"/>
      <c r="T518" s="104"/>
      <c r="U518" s="104"/>
      <c r="V518" s="104"/>
      <c r="W518" s="104"/>
      <c r="X518" s="104"/>
      <c r="Y518" s="104"/>
      <c r="Z518" s="104"/>
    </row>
    <row r="519">
      <c r="A519" s="103" t="s">
        <v>1291</v>
      </c>
      <c r="B519" s="103" t="s">
        <v>1722</v>
      </c>
      <c r="C519" s="103" t="s">
        <v>1737</v>
      </c>
      <c r="D519" s="103" t="s">
        <v>1738</v>
      </c>
      <c r="E519" s="103" t="s">
        <v>1739</v>
      </c>
      <c r="F519" s="103" t="s">
        <v>1740</v>
      </c>
      <c r="G519" s="103" t="s">
        <v>1503</v>
      </c>
      <c r="H519" s="103" t="s">
        <v>1733</v>
      </c>
      <c r="I519" s="103" t="s">
        <v>1733</v>
      </c>
      <c r="J519" s="103" t="s">
        <v>1741</v>
      </c>
      <c r="K519" s="103" t="s">
        <v>1742</v>
      </c>
      <c r="L519" s="103" t="s">
        <v>1032</v>
      </c>
      <c r="M519" s="104"/>
      <c r="N519" s="104"/>
      <c r="O519" s="104"/>
      <c r="P519" s="104"/>
      <c r="Q519" s="104"/>
      <c r="R519" s="104"/>
      <c r="S519" s="104"/>
      <c r="T519" s="104"/>
      <c r="U519" s="104"/>
      <c r="V519" s="104"/>
      <c r="W519" s="104"/>
      <c r="X519" s="104"/>
      <c r="Y519" s="104"/>
      <c r="Z519" s="104"/>
    </row>
    <row r="520">
      <c r="A520" s="103" t="s">
        <v>1281</v>
      </c>
      <c r="B520" s="103"/>
      <c r="C520" s="103"/>
      <c r="D520" s="102">
        <v>1.0</v>
      </c>
      <c r="E520" s="102">
        <v>1.0</v>
      </c>
      <c r="F520" s="102">
        <v>1.0</v>
      </c>
      <c r="G520" s="102">
        <v>1.0</v>
      </c>
      <c r="H520" s="103"/>
      <c r="I520" s="103"/>
      <c r="J520" s="103"/>
      <c r="K520" s="103"/>
      <c r="L520" s="103"/>
      <c r="M520" s="104"/>
      <c r="N520" s="104"/>
      <c r="O520" s="104"/>
      <c r="P520" s="104"/>
      <c r="Q520" s="104"/>
      <c r="R520" s="104"/>
      <c r="S520" s="104"/>
      <c r="T520" s="104"/>
      <c r="U520" s="104"/>
      <c r="V520" s="104"/>
      <c r="W520" s="104"/>
      <c r="X520" s="104"/>
      <c r="Y520" s="104"/>
      <c r="Z520" s="104"/>
    </row>
    <row r="521">
      <c r="A521" s="103" t="s">
        <v>1282</v>
      </c>
      <c r="B521" s="103"/>
      <c r="C521" s="103"/>
      <c r="D521" s="102">
        <v>1.0</v>
      </c>
      <c r="E521" s="102">
        <v>1.0</v>
      </c>
      <c r="F521" s="102">
        <v>1.0</v>
      </c>
      <c r="G521" s="102">
        <v>1.0</v>
      </c>
      <c r="H521" s="103"/>
      <c r="I521" s="103"/>
      <c r="J521" s="103"/>
      <c r="K521" s="103"/>
      <c r="L521" s="103"/>
      <c r="M521" s="104"/>
      <c r="N521" s="104"/>
      <c r="O521" s="104"/>
      <c r="P521" s="104"/>
      <c r="Q521" s="104"/>
      <c r="R521" s="104"/>
      <c r="S521" s="104"/>
      <c r="T521" s="104"/>
      <c r="U521" s="104"/>
      <c r="V521" s="104"/>
      <c r="W521" s="104"/>
      <c r="X521" s="104"/>
      <c r="Y521" s="104"/>
      <c r="Z521" s="104"/>
    </row>
    <row r="522">
      <c r="A522" s="103" t="s">
        <v>948</v>
      </c>
      <c r="B522" s="103"/>
      <c r="C522" s="103"/>
      <c r="D522" s="102">
        <v>1.0</v>
      </c>
      <c r="E522" s="102">
        <v>1.0</v>
      </c>
      <c r="F522" s="102">
        <v>1.0</v>
      </c>
      <c r="G522" s="102">
        <v>1.0</v>
      </c>
      <c r="H522" s="103"/>
      <c r="I522" s="103"/>
      <c r="J522" s="103"/>
      <c r="K522" s="103"/>
      <c r="L522" s="103"/>
      <c r="M522" s="104"/>
      <c r="N522" s="104"/>
      <c r="O522" s="104"/>
      <c r="P522" s="104"/>
      <c r="Q522" s="104"/>
      <c r="R522" s="104"/>
      <c r="S522" s="104"/>
      <c r="T522" s="104"/>
      <c r="U522" s="104"/>
      <c r="V522" s="104"/>
      <c r="W522" s="104"/>
      <c r="X522" s="104"/>
      <c r="Y522" s="104"/>
      <c r="Z522" s="104"/>
    </row>
    <row r="523">
      <c r="A523" s="103" t="s">
        <v>1283</v>
      </c>
      <c r="B523" s="103"/>
      <c r="C523" s="103"/>
      <c r="D523" s="102">
        <v>1.0</v>
      </c>
      <c r="E523" s="102">
        <v>1.0</v>
      </c>
      <c r="F523" s="102">
        <v>1.0</v>
      </c>
      <c r="G523" s="102">
        <v>1.0</v>
      </c>
      <c r="H523" s="103"/>
      <c r="I523" s="103"/>
      <c r="J523" s="103"/>
      <c r="K523" s="103"/>
      <c r="L523" s="103"/>
      <c r="M523" s="104"/>
      <c r="N523" s="104"/>
      <c r="O523" s="104"/>
      <c r="P523" s="104"/>
      <c r="Q523" s="104"/>
      <c r="R523" s="104"/>
      <c r="S523" s="104"/>
      <c r="T523" s="104"/>
      <c r="U523" s="104"/>
      <c r="V523" s="104"/>
      <c r="W523" s="104"/>
      <c r="X523" s="104"/>
      <c r="Y523" s="104"/>
      <c r="Z523" s="104"/>
    </row>
    <row r="524">
      <c r="A524" s="103" t="s">
        <v>950</v>
      </c>
      <c r="B524" s="103"/>
      <c r="C524" s="103"/>
      <c r="D524" s="102">
        <v>1.0</v>
      </c>
      <c r="E524" s="102">
        <v>1.0</v>
      </c>
      <c r="F524" s="102">
        <v>1.0</v>
      </c>
      <c r="G524" s="102">
        <v>1.0</v>
      </c>
      <c r="H524" s="103"/>
      <c r="I524" s="103"/>
      <c r="J524" s="103"/>
      <c r="K524" s="103"/>
      <c r="L524" s="103"/>
      <c r="M524" s="104"/>
      <c r="N524" s="104"/>
      <c r="O524" s="104"/>
      <c r="P524" s="104"/>
      <c r="Q524" s="104"/>
      <c r="R524" s="104"/>
      <c r="S524" s="104"/>
      <c r="T524" s="104"/>
      <c r="U524" s="104"/>
      <c r="V524" s="104"/>
      <c r="W524" s="104"/>
      <c r="X524" s="104"/>
      <c r="Y524" s="104"/>
      <c r="Z524" s="104"/>
    </row>
    <row r="525">
      <c r="A525" s="103" t="s">
        <v>951</v>
      </c>
      <c r="B525" s="103"/>
      <c r="C525" s="103"/>
      <c r="D525" s="102">
        <v>1.0</v>
      </c>
      <c r="E525" s="102">
        <v>1.0</v>
      </c>
      <c r="F525" s="102">
        <v>1.0</v>
      </c>
      <c r="G525" s="102">
        <v>1.0</v>
      </c>
      <c r="H525" s="103"/>
      <c r="I525" s="103"/>
      <c r="J525" s="103"/>
      <c r="K525" s="103"/>
      <c r="L525" s="103"/>
      <c r="M525" s="104"/>
      <c r="N525" s="104"/>
      <c r="O525" s="104"/>
      <c r="P525" s="104"/>
      <c r="Q525" s="104"/>
      <c r="R525" s="104"/>
      <c r="S525" s="104"/>
      <c r="T525" s="104"/>
      <c r="U525" s="104"/>
      <c r="V525" s="104"/>
      <c r="W525" s="104"/>
      <c r="X525" s="104"/>
      <c r="Y525" s="104"/>
      <c r="Z525" s="104"/>
    </row>
    <row r="526">
      <c r="A526" s="103" t="s">
        <v>952</v>
      </c>
      <c r="B526" s="103"/>
      <c r="C526" s="103"/>
      <c r="D526" s="102">
        <v>1.0</v>
      </c>
      <c r="E526" s="102">
        <v>1.0</v>
      </c>
      <c r="F526" s="102">
        <v>1.0</v>
      </c>
      <c r="G526" s="102">
        <v>1.0</v>
      </c>
      <c r="H526" s="103"/>
      <c r="I526" s="103"/>
      <c r="J526" s="103"/>
      <c r="K526" s="103"/>
      <c r="L526" s="103"/>
      <c r="M526" s="104"/>
      <c r="N526" s="104"/>
      <c r="O526" s="104"/>
      <c r="P526" s="104"/>
      <c r="Q526" s="104"/>
      <c r="R526" s="104"/>
      <c r="S526" s="104"/>
      <c r="T526" s="104"/>
      <c r="U526" s="104"/>
      <c r="V526" s="104"/>
      <c r="W526" s="104"/>
      <c r="X526" s="104"/>
      <c r="Y526" s="104"/>
      <c r="Z526" s="104"/>
    </row>
    <row r="527">
      <c r="A527" s="97" t="s">
        <v>1272</v>
      </c>
      <c r="B527" s="97"/>
      <c r="C527" s="97"/>
      <c r="D527" s="5" t="s">
        <v>1203</v>
      </c>
      <c r="E527" s="5" t="s">
        <v>1204</v>
      </c>
      <c r="F527" s="5" t="s">
        <v>1205</v>
      </c>
      <c r="G527" s="5" t="s">
        <v>1206</v>
      </c>
      <c r="H527" s="97"/>
      <c r="I527" s="97"/>
      <c r="J527" s="97"/>
      <c r="K527" s="97"/>
      <c r="L527" s="97"/>
    </row>
    <row r="528">
      <c r="A528" s="108" t="s">
        <v>1273</v>
      </c>
      <c r="B528" s="97" t="s">
        <v>1743</v>
      </c>
      <c r="C528" s="97" t="s">
        <v>1744</v>
      </c>
      <c r="D528" s="97" t="s">
        <v>1745</v>
      </c>
      <c r="E528" s="97" t="s">
        <v>1746</v>
      </c>
      <c r="F528" s="97" t="s">
        <v>1372</v>
      </c>
      <c r="G528" s="97" t="s">
        <v>1208</v>
      </c>
      <c r="H528" s="97" t="s">
        <v>1744</v>
      </c>
      <c r="I528" s="97" t="s">
        <v>1203</v>
      </c>
      <c r="J528" s="97" t="s">
        <v>1747</v>
      </c>
      <c r="K528" s="97" t="s">
        <v>1372</v>
      </c>
      <c r="L528" s="97" t="s">
        <v>1208</v>
      </c>
    </row>
    <row r="529">
      <c r="A529" s="97" t="s">
        <v>1281</v>
      </c>
      <c r="B529" s="97"/>
      <c r="C529" s="97"/>
      <c r="D529" s="107">
        <v>1.0</v>
      </c>
      <c r="E529" s="107">
        <v>0.0</v>
      </c>
      <c r="F529" s="107">
        <v>0.0</v>
      </c>
      <c r="G529" s="107">
        <v>1.0</v>
      </c>
      <c r="H529" s="97"/>
      <c r="I529" s="97"/>
      <c r="J529" s="97"/>
      <c r="K529" s="97"/>
      <c r="L529" s="97"/>
    </row>
    <row r="530">
      <c r="A530" s="97" t="s">
        <v>1282</v>
      </c>
      <c r="B530" s="97"/>
      <c r="C530" s="97"/>
      <c r="D530" s="107">
        <v>1.0</v>
      </c>
      <c r="E530" s="107">
        <v>0.0</v>
      </c>
      <c r="F530" s="107">
        <v>0.0</v>
      </c>
      <c r="G530" s="107">
        <v>1.0</v>
      </c>
      <c r="H530" s="97"/>
      <c r="I530" s="97"/>
      <c r="J530" s="97"/>
      <c r="K530" s="97"/>
      <c r="L530" s="97"/>
    </row>
    <row r="531">
      <c r="A531" s="97" t="s">
        <v>948</v>
      </c>
      <c r="B531" s="97"/>
      <c r="C531" s="97"/>
      <c r="D531" s="107">
        <v>1.0</v>
      </c>
      <c r="E531" s="107">
        <v>1.0</v>
      </c>
      <c r="F531" s="107">
        <v>0.0</v>
      </c>
      <c r="G531" s="107">
        <v>1.0</v>
      </c>
      <c r="H531" s="97"/>
      <c r="I531" s="97"/>
      <c r="J531" s="97"/>
      <c r="K531" s="97"/>
      <c r="L531" s="97"/>
    </row>
    <row r="532">
      <c r="A532" s="97" t="s">
        <v>1283</v>
      </c>
      <c r="B532" s="97"/>
      <c r="C532" s="97"/>
      <c r="D532" s="107">
        <v>1.0</v>
      </c>
      <c r="E532" s="107">
        <v>1.0</v>
      </c>
      <c r="F532" s="107">
        <v>1.0</v>
      </c>
      <c r="G532" s="107">
        <v>1.0</v>
      </c>
      <c r="H532" s="97"/>
      <c r="I532" s="97"/>
      <c r="J532" s="97"/>
      <c r="K532" s="97"/>
      <c r="L532" s="97"/>
    </row>
    <row r="533">
      <c r="A533" s="97" t="s">
        <v>950</v>
      </c>
      <c r="B533" s="97"/>
      <c r="C533" s="97"/>
      <c r="D533" s="107">
        <v>1.0</v>
      </c>
      <c r="E533" s="107">
        <v>1.0</v>
      </c>
      <c r="F533" s="107">
        <v>1.0</v>
      </c>
      <c r="G533" s="107">
        <v>1.0</v>
      </c>
      <c r="H533" s="97"/>
      <c r="I533" s="97"/>
      <c r="J533" s="97"/>
      <c r="K533" s="97"/>
      <c r="L533" s="97"/>
    </row>
    <row r="534">
      <c r="A534" s="97" t="s">
        <v>951</v>
      </c>
      <c r="B534" s="97"/>
      <c r="C534" s="97"/>
      <c r="D534" s="107">
        <v>1.0</v>
      </c>
      <c r="E534" s="107">
        <v>0.0</v>
      </c>
      <c r="F534" s="107">
        <v>0.0</v>
      </c>
      <c r="G534" s="107">
        <v>1.0</v>
      </c>
      <c r="H534" s="97"/>
      <c r="I534" s="97"/>
      <c r="J534" s="97"/>
      <c r="K534" s="97"/>
      <c r="L534" s="97"/>
    </row>
    <row r="535">
      <c r="A535" s="97" t="s">
        <v>952</v>
      </c>
      <c r="B535" s="97"/>
      <c r="C535" s="97"/>
      <c r="D535" s="107">
        <v>1.0</v>
      </c>
      <c r="E535" s="107">
        <v>1.0</v>
      </c>
      <c r="F535" s="107">
        <v>1.0</v>
      </c>
      <c r="G535" s="107">
        <v>1.0</v>
      </c>
      <c r="H535" s="97"/>
      <c r="I535" s="97"/>
      <c r="J535" s="97"/>
      <c r="K535" s="97"/>
      <c r="L535" s="97"/>
    </row>
    <row r="536">
      <c r="A536" s="97" t="s">
        <v>1284</v>
      </c>
      <c r="B536" s="97" t="s">
        <v>1743</v>
      </c>
      <c r="C536" s="97" t="s">
        <v>1748</v>
      </c>
      <c r="D536" s="97" t="s">
        <v>1749</v>
      </c>
      <c r="E536" s="97" t="s">
        <v>1750</v>
      </c>
      <c r="F536" s="97" t="s">
        <v>1751</v>
      </c>
      <c r="G536" s="97" t="s">
        <v>1752</v>
      </c>
      <c r="H536" s="97" t="s">
        <v>1753</v>
      </c>
      <c r="I536" s="97" t="s">
        <v>1203</v>
      </c>
      <c r="J536" s="97" t="s">
        <v>1754</v>
      </c>
      <c r="K536" s="97" t="s">
        <v>1392</v>
      </c>
      <c r="L536" s="97" t="s">
        <v>1208</v>
      </c>
    </row>
    <row r="537">
      <c r="A537" s="97" t="s">
        <v>1281</v>
      </c>
      <c r="B537" s="97"/>
      <c r="C537" s="97"/>
      <c r="D537" s="107">
        <v>1.0</v>
      </c>
      <c r="E537" s="107">
        <v>1.0</v>
      </c>
      <c r="F537" s="107">
        <v>1.0</v>
      </c>
      <c r="G537" s="107">
        <v>1.0</v>
      </c>
      <c r="H537" s="97"/>
      <c r="I537" s="97"/>
      <c r="J537" s="97"/>
      <c r="K537" s="97"/>
      <c r="L537" s="97"/>
    </row>
    <row r="538">
      <c r="A538" s="97" t="s">
        <v>1282</v>
      </c>
      <c r="B538" s="97"/>
      <c r="C538" s="97"/>
      <c r="D538" s="107">
        <v>1.0</v>
      </c>
      <c r="E538" s="107">
        <v>1.0</v>
      </c>
      <c r="F538" s="107">
        <v>1.0</v>
      </c>
      <c r="G538" s="107">
        <v>1.0</v>
      </c>
      <c r="H538" s="97"/>
      <c r="I538" s="97"/>
      <c r="J538" s="97"/>
      <c r="K538" s="97"/>
      <c r="L538" s="97"/>
    </row>
    <row r="539">
      <c r="A539" s="97" t="s">
        <v>948</v>
      </c>
      <c r="B539" s="97"/>
      <c r="C539" s="97"/>
      <c r="D539" s="107">
        <v>1.0</v>
      </c>
      <c r="E539" s="107">
        <v>1.0</v>
      </c>
      <c r="F539" s="107">
        <v>0.0</v>
      </c>
      <c r="G539" s="107">
        <v>1.0</v>
      </c>
      <c r="H539" s="97"/>
      <c r="I539" s="97"/>
      <c r="J539" s="97"/>
      <c r="K539" s="97"/>
      <c r="L539" s="97"/>
    </row>
    <row r="540">
      <c r="A540" s="97" t="s">
        <v>1283</v>
      </c>
      <c r="B540" s="97"/>
      <c r="C540" s="97"/>
      <c r="D540" s="107">
        <v>1.0</v>
      </c>
      <c r="E540" s="107">
        <v>1.0</v>
      </c>
      <c r="F540" s="107">
        <v>1.0</v>
      </c>
      <c r="G540" s="107">
        <v>1.0</v>
      </c>
      <c r="H540" s="97"/>
      <c r="I540" s="97"/>
      <c r="J540" s="97"/>
      <c r="K540" s="97"/>
      <c r="L540" s="97"/>
    </row>
    <row r="541">
      <c r="A541" s="97" t="s">
        <v>950</v>
      </c>
      <c r="B541" s="97"/>
      <c r="C541" s="97"/>
      <c r="D541" s="107">
        <v>1.0</v>
      </c>
      <c r="E541" s="107">
        <v>1.0</v>
      </c>
      <c r="F541" s="107">
        <v>1.0</v>
      </c>
      <c r="G541" s="107">
        <v>1.0</v>
      </c>
      <c r="H541" s="97"/>
      <c r="I541" s="97"/>
      <c r="J541" s="97"/>
      <c r="K541" s="97"/>
      <c r="L541" s="97"/>
    </row>
    <row r="542">
      <c r="A542" s="97" t="s">
        <v>951</v>
      </c>
      <c r="B542" s="97"/>
      <c r="C542" s="97"/>
      <c r="D542" s="107">
        <v>1.0</v>
      </c>
      <c r="E542" s="107">
        <v>1.0</v>
      </c>
      <c r="F542" s="107">
        <v>1.0</v>
      </c>
      <c r="G542" s="107">
        <v>1.0</v>
      </c>
      <c r="H542" s="97"/>
      <c r="I542" s="97"/>
      <c r="J542" s="97"/>
      <c r="K542" s="97"/>
      <c r="L542" s="97"/>
    </row>
    <row r="543">
      <c r="A543" s="97" t="s">
        <v>952</v>
      </c>
      <c r="B543" s="97"/>
      <c r="C543" s="97"/>
      <c r="D543" s="107">
        <v>1.0</v>
      </c>
      <c r="E543" s="107">
        <v>1.0</v>
      </c>
      <c r="F543" s="107">
        <v>1.0</v>
      </c>
      <c r="G543" s="107">
        <v>1.0</v>
      </c>
      <c r="H543" s="97"/>
      <c r="I543" s="97"/>
      <c r="J543" s="97"/>
      <c r="K543" s="97"/>
      <c r="L543" s="97"/>
    </row>
    <row r="544">
      <c r="A544" s="97" t="s">
        <v>1291</v>
      </c>
      <c r="B544" s="97" t="s">
        <v>1743</v>
      </c>
      <c r="C544" s="97" t="s">
        <v>1755</v>
      </c>
      <c r="D544" s="97" t="s">
        <v>1756</v>
      </c>
      <c r="E544" s="97" t="s">
        <v>1757</v>
      </c>
      <c r="F544" s="97" t="s">
        <v>1758</v>
      </c>
      <c r="G544" s="97" t="s">
        <v>1759</v>
      </c>
      <c r="H544" s="97" t="s">
        <v>1760</v>
      </c>
      <c r="I544" s="97" t="s">
        <v>1753</v>
      </c>
      <c r="J544" s="97" t="s">
        <v>1761</v>
      </c>
      <c r="K544" s="97" t="s">
        <v>1762</v>
      </c>
      <c r="L544" s="97" t="s">
        <v>1208</v>
      </c>
    </row>
    <row r="545">
      <c r="A545" s="97" t="s">
        <v>1281</v>
      </c>
      <c r="B545" s="97"/>
      <c r="C545" s="97"/>
      <c r="D545" s="107">
        <v>1.0</v>
      </c>
      <c r="E545" s="107">
        <v>1.0</v>
      </c>
      <c r="F545" s="107">
        <v>1.0</v>
      </c>
      <c r="G545" s="107">
        <v>1.0</v>
      </c>
      <c r="H545" s="97"/>
      <c r="I545" s="97"/>
      <c r="J545" s="97"/>
      <c r="K545" s="97"/>
      <c r="L545" s="97"/>
    </row>
    <row r="546">
      <c r="A546" s="97" t="s">
        <v>1282</v>
      </c>
      <c r="B546" s="97"/>
      <c r="C546" s="97"/>
      <c r="D546" s="107">
        <v>1.0</v>
      </c>
      <c r="E546" s="107">
        <v>1.0</v>
      </c>
      <c r="F546" s="107">
        <v>1.0</v>
      </c>
      <c r="G546" s="107">
        <v>1.0</v>
      </c>
      <c r="H546" s="97"/>
      <c r="I546" s="97"/>
      <c r="J546" s="97"/>
      <c r="K546" s="97"/>
      <c r="L546" s="97"/>
    </row>
    <row r="547">
      <c r="A547" s="97" t="s">
        <v>948</v>
      </c>
      <c r="B547" s="97"/>
      <c r="C547" s="97"/>
      <c r="D547" s="107">
        <v>1.0</v>
      </c>
      <c r="E547" s="107">
        <v>1.0</v>
      </c>
      <c r="F547" s="107">
        <v>1.0</v>
      </c>
      <c r="G547" s="107">
        <v>1.0</v>
      </c>
      <c r="H547" s="97"/>
      <c r="I547" s="97"/>
      <c r="J547" s="97"/>
      <c r="K547" s="97"/>
      <c r="L547" s="97"/>
    </row>
    <row r="548">
      <c r="A548" s="97" t="s">
        <v>1283</v>
      </c>
      <c r="B548" s="97"/>
      <c r="C548" s="97"/>
      <c r="D548" s="107">
        <v>1.0</v>
      </c>
      <c r="E548" s="107">
        <v>1.0</v>
      </c>
      <c r="F548" s="107">
        <v>1.0</v>
      </c>
      <c r="G548" s="107">
        <v>1.0</v>
      </c>
      <c r="H548" s="97"/>
      <c r="I548" s="97"/>
      <c r="J548" s="97"/>
      <c r="K548" s="97"/>
      <c r="L548" s="97"/>
    </row>
    <row r="549">
      <c r="A549" s="97" t="s">
        <v>950</v>
      </c>
      <c r="B549" s="97"/>
      <c r="C549" s="97"/>
      <c r="D549" s="107">
        <v>1.0</v>
      </c>
      <c r="E549" s="107">
        <v>1.0</v>
      </c>
      <c r="F549" s="107">
        <v>1.0</v>
      </c>
      <c r="G549" s="107">
        <v>1.0</v>
      </c>
      <c r="H549" s="97"/>
      <c r="I549" s="97"/>
      <c r="J549" s="97"/>
      <c r="K549" s="97"/>
      <c r="L549" s="97"/>
    </row>
    <row r="550">
      <c r="A550" s="97" t="s">
        <v>951</v>
      </c>
      <c r="B550" s="97"/>
      <c r="C550" s="97"/>
      <c r="D550" s="107">
        <v>1.0</v>
      </c>
      <c r="E550" s="107">
        <v>1.0</v>
      </c>
      <c r="F550" s="107">
        <v>1.0</v>
      </c>
      <c r="G550" s="107">
        <v>1.0</v>
      </c>
      <c r="H550" s="97"/>
      <c r="I550" s="97"/>
      <c r="J550" s="97"/>
      <c r="K550" s="97"/>
      <c r="L550" s="97"/>
    </row>
    <row r="551">
      <c r="A551" s="97" t="s">
        <v>952</v>
      </c>
      <c r="B551" s="97"/>
      <c r="C551" s="97"/>
      <c r="D551" s="107">
        <v>1.0</v>
      </c>
      <c r="E551" s="107">
        <v>1.0</v>
      </c>
      <c r="F551" s="107">
        <v>1.0</v>
      </c>
      <c r="G551" s="107">
        <v>1.0</v>
      </c>
      <c r="H551" s="97"/>
      <c r="I551" s="97"/>
      <c r="J551" s="97"/>
      <c r="K551" s="97"/>
      <c r="L551" s="97"/>
    </row>
    <row r="552">
      <c r="A552" s="103" t="s">
        <v>1272</v>
      </c>
      <c r="B552" s="103"/>
      <c r="C552" s="103"/>
      <c r="D552" s="59" t="s">
        <v>1214</v>
      </c>
      <c r="E552" s="59" t="s">
        <v>1215</v>
      </c>
      <c r="F552" s="59" t="s">
        <v>1216</v>
      </c>
      <c r="G552" s="59" t="s">
        <v>1217</v>
      </c>
      <c r="H552" s="103"/>
      <c r="I552" s="103"/>
      <c r="J552" s="103"/>
      <c r="K552" s="103"/>
      <c r="L552" s="103"/>
      <c r="M552" s="104"/>
      <c r="N552" s="104"/>
      <c r="O552" s="104"/>
      <c r="P552" s="104"/>
      <c r="Q552" s="104"/>
      <c r="R552" s="104"/>
      <c r="S552" s="104"/>
      <c r="T552" s="104"/>
      <c r="U552" s="104"/>
      <c r="V552" s="104"/>
      <c r="W552" s="104"/>
      <c r="X552" s="104"/>
      <c r="Y552" s="104"/>
      <c r="Z552" s="104"/>
    </row>
    <row r="553">
      <c r="A553" s="103" t="s">
        <v>1273</v>
      </c>
      <c r="B553" s="103" t="s">
        <v>1763</v>
      </c>
      <c r="C553" s="103" t="s">
        <v>1764</v>
      </c>
      <c r="D553" s="103" t="s">
        <v>1765</v>
      </c>
      <c r="E553" s="103" t="s">
        <v>1766</v>
      </c>
      <c r="F553" s="103" t="s">
        <v>1767</v>
      </c>
      <c r="G553" s="103" t="s">
        <v>1010</v>
      </c>
      <c r="H553" s="103" t="s">
        <v>1768</v>
      </c>
      <c r="I553" s="103" t="s">
        <v>1769</v>
      </c>
      <c r="J553" s="103" t="s">
        <v>1770</v>
      </c>
      <c r="K553" s="103" t="s">
        <v>1767</v>
      </c>
      <c r="L553" s="103" t="s">
        <v>1010</v>
      </c>
      <c r="M553" s="104"/>
      <c r="N553" s="104"/>
      <c r="O553" s="104"/>
      <c r="P553" s="104"/>
      <c r="Q553" s="104"/>
      <c r="R553" s="104"/>
      <c r="S553" s="104"/>
      <c r="T553" s="104"/>
      <c r="U553" s="104"/>
      <c r="V553" s="104"/>
      <c r="W553" s="104"/>
      <c r="X553" s="104"/>
      <c r="Y553" s="104"/>
      <c r="Z553" s="104"/>
    </row>
    <row r="554">
      <c r="A554" s="103" t="s">
        <v>1281</v>
      </c>
      <c r="B554" s="103"/>
      <c r="C554" s="103"/>
      <c r="D554" s="102">
        <v>1.0</v>
      </c>
      <c r="E554" s="102">
        <v>1.0</v>
      </c>
      <c r="F554" s="102">
        <v>0.0</v>
      </c>
      <c r="G554" s="102">
        <v>0.0</v>
      </c>
      <c r="H554" s="103"/>
      <c r="I554" s="103"/>
      <c r="J554" s="103"/>
      <c r="K554" s="103"/>
      <c r="L554" s="103"/>
      <c r="M554" s="104"/>
      <c r="N554" s="104"/>
      <c r="O554" s="104"/>
      <c r="P554" s="104"/>
      <c r="Q554" s="104"/>
      <c r="R554" s="104"/>
      <c r="S554" s="104"/>
      <c r="T554" s="104"/>
      <c r="U554" s="104"/>
      <c r="V554" s="104"/>
      <c r="W554" s="104"/>
      <c r="X554" s="104"/>
      <c r="Y554" s="104"/>
      <c r="Z554" s="104"/>
    </row>
    <row r="555">
      <c r="A555" s="103" t="s">
        <v>1282</v>
      </c>
      <c r="B555" s="103"/>
      <c r="C555" s="103"/>
      <c r="D555" s="102">
        <v>1.0</v>
      </c>
      <c r="E555" s="102">
        <v>1.0</v>
      </c>
      <c r="F555" s="102">
        <v>0.0</v>
      </c>
      <c r="G555" s="102">
        <v>0.0</v>
      </c>
      <c r="H555" s="103"/>
      <c r="I555" s="103"/>
      <c r="J555" s="103"/>
      <c r="K555" s="103"/>
      <c r="L555" s="103"/>
      <c r="M555" s="104"/>
      <c r="N555" s="104"/>
      <c r="O555" s="104"/>
      <c r="P555" s="104"/>
      <c r="Q555" s="104"/>
      <c r="R555" s="104"/>
      <c r="S555" s="104"/>
      <c r="T555" s="104"/>
      <c r="U555" s="104"/>
      <c r="V555" s="104"/>
      <c r="W555" s="104"/>
      <c r="X555" s="104"/>
      <c r="Y555" s="104"/>
      <c r="Z555" s="104"/>
    </row>
    <row r="556">
      <c r="A556" s="103" t="s">
        <v>948</v>
      </c>
      <c r="B556" s="103"/>
      <c r="C556" s="103"/>
      <c r="D556" s="102">
        <v>1.0</v>
      </c>
      <c r="E556" s="102">
        <v>0.0</v>
      </c>
      <c r="F556" s="102">
        <v>0.0</v>
      </c>
      <c r="G556" s="102">
        <v>0.0</v>
      </c>
      <c r="H556" s="103"/>
      <c r="I556" s="103"/>
      <c r="J556" s="103"/>
      <c r="K556" s="103"/>
      <c r="L556" s="103"/>
      <c r="M556" s="104"/>
      <c r="N556" s="104"/>
      <c r="O556" s="104"/>
      <c r="P556" s="104"/>
      <c r="Q556" s="104"/>
      <c r="R556" s="104"/>
      <c r="S556" s="104"/>
      <c r="T556" s="104"/>
      <c r="U556" s="104"/>
      <c r="V556" s="104"/>
      <c r="W556" s="104"/>
      <c r="X556" s="104"/>
      <c r="Y556" s="104"/>
      <c r="Z556" s="104"/>
    </row>
    <row r="557">
      <c r="A557" s="103" t="s">
        <v>1283</v>
      </c>
      <c r="B557" s="103"/>
      <c r="C557" s="103"/>
      <c r="D557" s="102">
        <v>1.0</v>
      </c>
      <c r="E557" s="102">
        <v>1.0</v>
      </c>
      <c r="F557" s="102">
        <v>1.0</v>
      </c>
      <c r="G557" s="102">
        <v>1.0</v>
      </c>
      <c r="H557" s="103"/>
      <c r="I557" s="103"/>
      <c r="J557" s="103"/>
      <c r="K557" s="103"/>
      <c r="L557" s="103"/>
      <c r="M557" s="104"/>
      <c r="N557" s="104"/>
      <c r="O557" s="104"/>
      <c r="P557" s="104"/>
      <c r="Q557" s="104"/>
      <c r="R557" s="104"/>
      <c r="S557" s="104"/>
      <c r="T557" s="104"/>
      <c r="U557" s="104"/>
      <c r="V557" s="104"/>
      <c r="W557" s="104"/>
      <c r="X557" s="104"/>
      <c r="Y557" s="104"/>
      <c r="Z557" s="104"/>
    </row>
    <row r="558">
      <c r="A558" s="103" t="s">
        <v>950</v>
      </c>
      <c r="B558" s="103"/>
      <c r="C558" s="103"/>
      <c r="D558" s="102">
        <v>1.0</v>
      </c>
      <c r="E558" s="102">
        <v>0.0</v>
      </c>
      <c r="F558" s="102">
        <v>1.0</v>
      </c>
      <c r="G558" s="102">
        <v>0.0</v>
      </c>
      <c r="H558" s="103"/>
      <c r="I558" s="103"/>
      <c r="J558" s="103"/>
      <c r="K558" s="103"/>
      <c r="L558" s="103"/>
      <c r="M558" s="104"/>
      <c r="N558" s="104"/>
      <c r="O558" s="104"/>
      <c r="P558" s="104"/>
      <c r="Q558" s="104"/>
      <c r="R558" s="104"/>
      <c r="S558" s="104"/>
      <c r="T558" s="104"/>
      <c r="U558" s="104"/>
      <c r="V558" s="104"/>
      <c r="W558" s="104"/>
      <c r="X558" s="104"/>
      <c r="Y558" s="104"/>
      <c r="Z558" s="104"/>
    </row>
    <row r="559">
      <c r="A559" s="103" t="s">
        <v>951</v>
      </c>
      <c r="B559" s="103"/>
      <c r="C559" s="103"/>
      <c r="D559" s="102">
        <v>1.0</v>
      </c>
      <c r="E559" s="102">
        <v>1.0</v>
      </c>
      <c r="F559" s="102">
        <v>0.0</v>
      </c>
      <c r="G559" s="102">
        <v>0.0</v>
      </c>
      <c r="H559" s="103"/>
      <c r="I559" s="103"/>
      <c r="J559" s="103"/>
      <c r="K559" s="103"/>
      <c r="L559" s="103"/>
      <c r="M559" s="104"/>
      <c r="N559" s="104"/>
      <c r="O559" s="104"/>
      <c r="P559" s="104"/>
      <c r="Q559" s="104"/>
      <c r="R559" s="104"/>
      <c r="S559" s="104"/>
      <c r="T559" s="104"/>
      <c r="U559" s="104"/>
      <c r="V559" s="104"/>
      <c r="W559" s="104"/>
      <c r="X559" s="104"/>
      <c r="Y559" s="104"/>
      <c r="Z559" s="104"/>
    </row>
    <row r="560">
      <c r="A560" s="103" t="s">
        <v>952</v>
      </c>
      <c r="B560" s="103"/>
      <c r="C560" s="103"/>
      <c r="D560" s="102">
        <v>1.0</v>
      </c>
      <c r="E560" s="102">
        <v>1.0</v>
      </c>
      <c r="F560" s="102">
        <v>1.0</v>
      </c>
      <c r="G560" s="102">
        <v>1.0</v>
      </c>
      <c r="H560" s="103"/>
      <c r="I560" s="103"/>
      <c r="J560" s="103"/>
      <c r="K560" s="103"/>
      <c r="L560" s="103"/>
      <c r="M560" s="104"/>
      <c r="N560" s="104"/>
      <c r="O560" s="104"/>
      <c r="P560" s="104"/>
      <c r="Q560" s="104"/>
      <c r="R560" s="104"/>
      <c r="S560" s="104"/>
      <c r="T560" s="104"/>
      <c r="U560" s="104"/>
      <c r="V560" s="104"/>
      <c r="W560" s="104"/>
      <c r="X560" s="104"/>
      <c r="Y560" s="104"/>
      <c r="Z560" s="104"/>
    </row>
    <row r="561">
      <c r="A561" s="103" t="s">
        <v>1284</v>
      </c>
      <c r="B561" s="103" t="s">
        <v>1763</v>
      </c>
      <c r="C561" s="103" t="s">
        <v>1771</v>
      </c>
      <c r="D561" s="103" t="s">
        <v>1772</v>
      </c>
      <c r="E561" s="103" t="s">
        <v>1773</v>
      </c>
      <c r="F561" s="103" t="s">
        <v>1774</v>
      </c>
      <c r="G561" s="103" t="s">
        <v>1775</v>
      </c>
      <c r="H561" s="103" t="s">
        <v>1764</v>
      </c>
      <c r="I561" s="103" t="s">
        <v>1776</v>
      </c>
      <c r="J561" s="103" t="s">
        <v>1777</v>
      </c>
      <c r="K561" s="103" t="s">
        <v>1778</v>
      </c>
      <c r="L561" s="103" t="s">
        <v>1779</v>
      </c>
      <c r="M561" s="104"/>
      <c r="N561" s="104"/>
      <c r="O561" s="104"/>
      <c r="P561" s="104"/>
      <c r="Q561" s="104"/>
      <c r="R561" s="104"/>
      <c r="S561" s="104"/>
      <c r="T561" s="104"/>
      <c r="U561" s="104"/>
      <c r="V561" s="104"/>
      <c r="W561" s="104"/>
      <c r="X561" s="104"/>
      <c r="Y561" s="104"/>
      <c r="Z561" s="104"/>
    </row>
    <row r="562">
      <c r="A562" s="103" t="s">
        <v>1281</v>
      </c>
      <c r="B562" s="103"/>
      <c r="C562" s="103"/>
      <c r="D562" s="102">
        <v>1.0</v>
      </c>
      <c r="E562" s="102">
        <v>1.0</v>
      </c>
      <c r="F562" s="102">
        <v>1.0</v>
      </c>
      <c r="G562" s="102">
        <v>0.0</v>
      </c>
      <c r="H562" s="103"/>
      <c r="I562" s="103"/>
      <c r="J562" s="103"/>
      <c r="K562" s="103"/>
      <c r="L562" s="103"/>
      <c r="M562" s="104"/>
      <c r="N562" s="104"/>
      <c r="O562" s="104"/>
      <c r="P562" s="104"/>
      <c r="Q562" s="104"/>
      <c r="R562" s="104"/>
      <c r="S562" s="104"/>
      <c r="T562" s="104"/>
      <c r="U562" s="104"/>
      <c r="V562" s="104"/>
      <c r="W562" s="104"/>
      <c r="X562" s="104"/>
      <c r="Y562" s="104"/>
      <c r="Z562" s="104"/>
    </row>
    <row r="563">
      <c r="A563" s="103" t="s">
        <v>1282</v>
      </c>
      <c r="B563" s="103"/>
      <c r="C563" s="103"/>
      <c r="D563" s="102">
        <v>1.0</v>
      </c>
      <c r="E563" s="102">
        <v>1.0</v>
      </c>
      <c r="F563" s="102">
        <v>1.0</v>
      </c>
      <c r="G563" s="102">
        <v>0.0</v>
      </c>
      <c r="H563" s="103"/>
      <c r="I563" s="103"/>
      <c r="J563" s="103"/>
      <c r="K563" s="103"/>
      <c r="L563" s="103"/>
      <c r="M563" s="104"/>
      <c r="N563" s="104"/>
      <c r="O563" s="104"/>
      <c r="P563" s="104"/>
      <c r="Q563" s="104"/>
      <c r="R563" s="104"/>
      <c r="S563" s="104"/>
      <c r="T563" s="104"/>
      <c r="U563" s="104"/>
      <c r="V563" s="104"/>
      <c r="W563" s="104"/>
      <c r="X563" s="104"/>
      <c r="Y563" s="104"/>
      <c r="Z563" s="104"/>
    </row>
    <row r="564">
      <c r="A564" s="103" t="s">
        <v>948</v>
      </c>
      <c r="B564" s="103"/>
      <c r="C564" s="103"/>
      <c r="D564" s="102">
        <v>1.0</v>
      </c>
      <c r="E564" s="102">
        <v>0.0</v>
      </c>
      <c r="F564" s="102">
        <v>0.0</v>
      </c>
      <c r="G564" s="102">
        <v>0.0</v>
      </c>
      <c r="H564" s="103"/>
      <c r="I564" s="103"/>
      <c r="J564" s="103"/>
      <c r="K564" s="103"/>
      <c r="L564" s="103"/>
      <c r="M564" s="104"/>
      <c r="N564" s="104"/>
      <c r="O564" s="104"/>
      <c r="P564" s="104"/>
      <c r="Q564" s="104"/>
      <c r="R564" s="104"/>
      <c r="S564" s="104"/>
      <c r="T564" s="104"/>
      <c r="U564" s="104"/>
      <c r="V564" s="104"/>
      <c r="W564" s="104"/>
      <c r="X564" s="104"/>
      <c r="Y564" s="104"/>
      <c r="Z564" s="104"/>
    </row>
    <row r="565">
      <c r="A565" s="103" t="s">
        <v>1283</v>
      </c>
      <c r="B565" s="103"/>
      <c r="C565" s="103"/>
      <c r="D565" s="102">
        <v>1.0</v>
      </c>
      <c r="E565" s="102">
        <v>1.0</v>
      </c>
      <c r="F565" s="102">
        <v>1.0</v>
      </c>
      <c r="G565" s="102">
        <v>1.0</v>
      </c>
      <c r="H565" s="103"/>
      <c r="I565" s="103"/>
      <c r="J565" s="103"/>
      <c r="K565" s="103"/>
      <c r="L565" s="103"/>
      <c r="M565" s="104"/>
      <c r="N565" s="104"/>
      <c r="O565" s="104"/>
      <c r="P565" s="104"/>
      <c r="Q565" s="104"/>
      <c r="R565" s="104"/>
      <c r="S565" s="104"/>
      <c r="T565" s="104"/>
      <c r="U565" s="104"/>
      <c r="V565" s="104"/>
      <c r="W565" s="104"/>
      <c r="X565" s="104"/>
      <c r="Y565" s="104"/>
      <c r="Z565" s="104"/>
    </row>
    <row r="566">
      <c r="A566" s="103" t="s">
        <v>950</v>
      </c>
      <c r="B566" s="103"/>
      <c r="C566" s="103"/>
      <c r="D566" s="102">
        <v>1.0</v>
      </c>
      <c r="E566" s="102">
        <v>1.0</v>
      </c>
      <c r="F566" s="102">
        <v>1.0</v>
      </c>
      <c r="G566" s="102">
        <v>0.0</v>
      </c>
      <c r="H566" s="103"/>
      <c r="I566" s="103"/>
      <c r="J566" s="103"/>
      <c r="K566" s="103"/>
      <c r="L566" s="103"/>
      <c r="M566" s="104"/>
      <c r="N566" s="104"/>
      <c r="O566" s="104"/>
      <c r="P566" s="104"/>
      <c r="Q566" s="104"/>
      <c r="R566" s="104"/>
      <c r="S566" s="104"/>
      <c r="T566" s="104"/>
      <c r="U566" s="104"/>
      <c r="V566" s="104"/>
      <c r="W566" s="104"/>
      <c r="X566" s="104"/>
      <c r="Y566" s="104"/>
      <c r="Z566" s="104"/>
    </row>
    <row r="567">
      <c r="A567" s="103" t="s">
        <v>951</v>
      </c>
      <c r="B567" s="103"/>
      <c r="C567" s="103"/>
      <c r="D567" s="102">
        <v>1.0</v>
      </c>
      <c r="E567" s="102">
        <v>1.0</v>
      </c>
      <c r="F567" s="102">
        <v>1.0</v>
      </c>
      <c r="G567" s="102">
        <v>0.0</v>
      </c>
      <c r="H567" s="103"/>
      <c r="I567" s="103"/>
      <c r="J567" s="103"/>
      <c r="K567" s="103"/>
      <c r="L567" s="103"/>
      <c r="M567" s="104"/>
      <c r="N567" s="104"/>
      <c r="O567" s="104"/>
      <c r="P567" s="104"/>
      <c r="Q567" s="104"/>
      <c r="R567" s="104"/>
      <c r="S567" s="104"/>
      <c r="T567" s="104"/>
      <c r="U567" s="104"/>
      <c r="V567" s="104"/>
      <c r="W567" s="104"/>
      <c r="X567" s="104"/>
      <c r="Y567" s="104"/>
      <c r="Z567" s="104"/>
    </row>
    <row r="568">
      <c r="A568" s="103" t="s">
        <v>952</v>
      </c>
      <c r="B568" s="103"/>
      <c r="C568" s="103"/>
      <c r="D568" s="102">
        <v>1.0</v>
      </c>
      <c r="E568" s="102">
        <v>1.0</v>
      </c>
      <c r="F568" s="102">
        <v>1.0</v>
      </c>
      <c r="G568" s="102">
        <v>1.0</v>
      </c>
      <c r="H568" s="103"/>
      <c r="I568" s="103"/>
      <c r="J568" s="103"/>
      <c r="K568" s="103"/>
      <c r="L568" s="103"/>
      <c r="M568" s="104"/>
      <c r="N568" s="104"/>
      <c r="O568" s="104"/>
      <c r="P568" s="104"/>
      <c r="Q568" s="104"/>
      <c r="R568" s="104"/>
      <c r="S568" s="104"/>
      <c r="T568" s="104"/>
      <c r="U568" s="104"/>
      <c r="V568" s="104"/>
      <c r="W568" s="104"/>
      <c r="X568" s="104"/>
      <c r="Y568" s="104"/>
      <c r="Z568" s="104"/>
    </row>
    <row r="569">
      <c r="A569" s="103" t="s">
        <v>1291</v>
      </c>
      <c r="B569" s="103" t="s">
        <v>1763</v>
      </c>
      <c r="C569" s="103" t="s">
        <v>1764</v>
      </c>
      <c r="D569" s="102" t="s">
        <v>1780</v>
      </c>
      <c r="E569" s="102" t="s">
        <v>1781</v>
      </c>
      <c r="F569" s="102" t="s">
        <v>1782</v>
      </c>
      <c r="G569" s="102" t="s">
        <v>1783</v>
      </c>
      <c r="H569" s="103" t="s">
        <v>1768</v>
      </c>
      <c r="I569" s="103" t="s">
        <v>1769</v>
      </c>
      <c r="J569" s="103" t="s">
        <v>1770</v>
      </c>
      <c r="K569" s="103" t="s">
        <v>1767</v>
      </c>
      <c r="L569" s="103" t="s">
        <v>1010</v>
      </c>
      <c r="M569" s="104"/>
      <c r="N569" s="104"/>
      <c r="O569" s="104"/>
      <c r="P569" s="104"/>
      <c r="Q569" s="104"/>
      <c r="R569" s="104"/>
      <c r="S569" s="104"/>
      <c r="T569" s="104"/>
      <c r="U569" s="104"/>
      <c r="V569" s="104"/>
      <c r="W569" s="104"/>
      <c r="X569" s="104"/>
      <c r="Y569" s="104"/>
      <c r="Z569" s="104"/>
    </row>
    <row r="570">
      <c r="A570" s="103" t="s">
        <v>1281</v>
      </c>
      <c r="B570" s="103"/>
      <c r="C570" s="103"/>
      <c r="D570" s="102">
        <v>1.0</v>
      </c>
      <c r="E570" s="102">
        <v>1.0</v>
      </c>
      <c r="F570" s="102">
        <v>1.0</v>
      </c>
      <c r="G570" s="102">
        <v>1.0</v>
      </c>
      <c r="H570" s="103"/>
      <c r="I570" s="103"/>
      <c r="J570" s="103"/>
      <c r="K570" s="103"/>
      <c r="L570" s="103"/>
      <c r="M570" s="104"/>
      <c r="N570" s="104"/>
      <c r="O570" s="104"/>
      <c r="P570" s="104"/>
      <c r="Q570" s="104"/>
      <c r="R570" s="104"/>
      <c r="S570" s="104"/>
      <c r="T570" s="104"/>
      <c r="U570" s="104"/>
      <c r="V570" s="104"/>
      <c r="W570" s="104"/>
      <c r="X570" s="104"/>
      <c r="Y570" s="104"/>
      <c r="Z570" s="104"/>
    </row>
    <row r="571">
      <c r="A571" s="103" t="s">
        <v>1282</v>
      </c>
      <c r="B571" s="103"/>
      <c r="C571" s="103"/>
      <c r="D571" s="102">
        <v>1.0</v>
      </c>
      <c r="E571" s="102">
        <v>1.0</v>
      </c>
      <c r="F571" s="102">
        <v>1.0</v>
      </c>
      <c r="G571" s="102">
        <v>1.0</v>
      </c>
      <c r="H571" s="103"/>
      <c r="I571" s="103"/>
      <c r="J571" s="103"/>
      <c r="K571" s="103"/>
      <c r="L571" s="103"/>
      <c r="M571" s="104"/>
      <c r="N571" s="104"/>
      <c r="O571" s="104"/>
      <c r="P571" s="104"/>
      <c r="Q571" s="104"/>
      <c r="R571" s="104"/>
      <c r="S571" s="104"/>
      <c r="T571" s="104"/>
      <c r="U571" s="104"/>
      <c r="V571" s="104"/>
      <c r="W571" s="104"/>
      <c r="X571" s="104"/>
      <c r="Y571" s="104"/>
      <c r="Z571" s="104"/>
    </row>
    <row r="572">
      <c r="A572" s="103" t="s">
        <v>948</v>
      </c>
      <c r="B572" s="103"/>
      <c r="C572" s="103"/>
      <c r="D572" s="102">
        <v>1.0</v>
      </c>
      <c r="E572" s="102">
        <v>0.0</v>
      </c>
      <c r="F572" s="102">
        <v>0.0</v>
      </c>
      <c r="G572" s="102">
        <v>1.0</v>
      </c>
      <c r="H572" s="103"/>
      <c r="I572" s="103"/>
      <c r="J572" s="103"/>
      <c r="K572" s="103"/>
      <c r="L572" s="103"/>
      <c r="M572" s="104"/>
      <c r="N572" s="104"/>
      <c r="O572" s="104"/>
      <c r="P572" s="104"/>
      <c r="Q572" s="104"/>
      <c r="R572" s="104"/>
      <c r="S572" s="104"/>
      <c r="T572" s="104"/>
      <c r="U572" s="104"/>
      <c r="V572" s="104"/>
      <c r="W572" s="104"/>
      <c r="X572" s="104"/>
      <c r="Y572" s="104"/>
      <c r="Z572" s="104"/>
    </row>
    <row r="573">
      <c r="A573" s="103" t="s">
        <v>1283</v>
      </c>
      <c r="B573" s="103"/>
      <c r="C573" s="103"/>
      <c r="D573" s="102">
        <v>1.0</v>
      </c>
      <c r="E573" s="102">
        <v>1.0</v>
      </c>
      <c r="F573" s="102">
        <v>1.0</v>
      </c>
      <c r="G573" s="102">
        <v>1.0</v>
      </c>
      <c r="H573" s="103"/>
      <c r="I573" s="103"/>
      <c r="J573" s="103"/>
      <c r="K573" s="103"/>
      <c r="L573" s="103"/>
      <c r="M573" s="104"/>
      <c r="N573" s="104"/>
      <c r="O573" s="104"/>
      <c r="P573" s="104"/>
      <c r="Q573" s="104"/>
      <c r="R573" s="104"/>
      <c r="S573" s="104"/>
      <c r="T573" s="104"/>
      <c r="U573" s="104"/>
      <c r="V573" s="104"/>
      <c r="W573" s="104"/>
      <c r="X573" s="104"/>
      <c r="Y573" s="104"/>
      <c r="Z573" s="104"/>
    </row>
    <row r="574">
      <c r="A574" s="103" t="s">
        <v>950</v>
      </c>
      <c r="B574" s="103"/>
      <c r="C574" s="103"/>
      <c r="D574" s="102">
        <v>1.0</v>
      </c>
      <c r="E574" s="102">
        <v>1.0</v>
      </c>
      <c r="F574" s="102">
        <v>1.0</v>
      </c>
      <c r="G574" s="102">
        <v>1.0</v>
      </c>
      <c r="H574" s="103"/>
      <c r="I574" s="103"/>
      <c r="J574" s="103"/>
      <c r="K574" s="103"/>
      <c r="L574" s="103"/>
      <c r="M574" s="104"/>
      <c r="N574" s="104"/>
      <c r="O574" s="104"/>
      <c r="P574" s="104"/>
      <c r="Q574" s="104"/>
      <c r="R574" s="104"/>
      <c r="S574" s="104"/>
      <c r="T574" s="104"/>
      <c r="U574" s="104"/>
      <c r="V574" s="104"/>
      <c r="W574" s="104"/>
      <c r="X574" s="104"/>
      <c r="Y574" s="104"/>
      <c r="Z574" s="104"/>
    </row>
    <row r="575">
      <c r="A575" s="103" t="s">
        <v>951</v>
      </c>
      <c r="B575" s="103"/>
      <c r="C575" s="103"/>
      <c r="D575" s="102">
        <v>1.0</v>
      </c>
      <c r="E575" s="102">
        <v>1.0</v>
      </c>
      <c r="F575" s="102">
        <v>1.0</v>
      </c>
      <c r="G575" s="102">
        <v>1.0</v>
      </c>
      <c r="H575" s="103"/>
      <c r="I575" s="103"/>
      <c r="J575" s="103"/>
      <c r="K575" s="103"/>
      <c r="L575" s="103"/>
      <c r="M575" s="104"/>
      <c r="N575" s="104"/>
      <c r="O575" s="104"/>
      <c r="P575" s="104"/>
      <c r="Q575" s="104"/>
      <c r="R575" s="104"/>
      <c r="S575" s="104"/>
      <c r="T575" s="104"/>
      <c r="U575" s="104"/>
      <c r="V575" s="104"/>
      <c r="W575" s="104"/>
      <c r="X575" s="104"/>
      <c r="Y575" s="104"/>
      <c r="Z575" s="104"/>
    </row>
    <row r="576">
      <c r="A576" s="103" t="s">
        <v>952</v>
      </c>
      <c r="B576" s="103"/>
      <c r="C576" s="103"/>
      <c r="D576" s="102">
        <v>1.0</v>
      </c>
      <c r="E576" s="102">
        <v>1.0</v>
      </c>
      <c r="F576" s="102">
        <v>1.0</v>
      </c>
      <c r="G576" s="102">
        <v>1.0</v>
      </c>
      <c r="H576" s="103"/>
      <c r="I576" s="103"/>
      <c r="J576" s="103"/>
      <c r="K576" s="103"/>
      <c r="L576" s="103"/>
      <c r="M576" s="104"/>
      <c r="N576" s="104"/>
      <c r="O576" s="104"/>
      <c r="P576" s="104"/>
      <c r="Q576" s="104"/>
      <c r="R576" s="104"/>
      <c r="S576" s="104"/>
      <c r="T576" s="104"/>
      <c r="U576" s="104"/>
      <c r="V576" s="104"/>
      <c r="W576" s="104"/>
      <c r="X576" s="104"/>
      <c r="Y576" s="104"/>
      <c r="Z576" s="104"/>
    </row>
    <row r="577">
      <c r="A577" s="103" t="s">
        <v>1272</v>
      </c>
      <c r="B577" s="103"/>
      <c r="C577" s="103"/>
      <c r="D577" s="103" t="s">
        <v>1223</v>
      </c>
      <c r="E577" s="103" t="s">
        <v>1224</v>
      </c>
      <c r="F577" s="103" t="s">
        <v>1225</v>
      </c>
      <c r="G577" s="103" t="s">
        <v>1226</v>
      </c>
      <c r="H577" s="103"/>
      <c r="I577" s="103"/>
      <c r="J577" s="103"/>
      <c r="K577" s="103"/>
      <c r="L577" s="103"/>
      <c r="M577" s="104"/>
      <c r="N577" s="104"/>
      <c r="O577" s="104"/>
      <c r="P577" s="104"/>
      <c r="Q577" s="104"/>
      <c r="R577" s="104"/>
      <c r="S577" s="104"/>
      <c r="T577" s="104"/>
      <c r="U577" s="104"/>
      <c r="V577" s="104"/>
      <c r="W577" s="104"/>
      <c r="X577" s="104"/>
      <c r="Y577" s="104"/>
      <c r="Z577" s="104"/>
    </row>
    <row r="578">
      <c r="A578" s="103" t="s">
        <v>1273</v>
      </c>
      <c r="B578" s="103" t="s">
        <v>1784</v>
      </c>
      <c r="C578" s="103" t="s">
        <v>1768</v>
      </c>
      <c r="D578" s="103" t="s">
        <v>1785</v>
      </c>
      <c r="E578" s="103" t="s">
        <v>1786</v>
      </c>
      <c r="F578" s="103" t="s">
        <v>1787</v>
      </c>
      <c r="G578" s="103" t="s">
        <v>1788</v>
      </c>
      <c r="H578" s="103" t="s">
        <v>1198</v>
      </c>
      <c r="I578" s="103" t="s">
        <v>1789</v>
      </c>
      <c r="J578" s="103" t="s">
        <v>1512</v>
      </c>
      <c r="K578" s="103" t="s">
        <v>1787</v>
      </c>
      <c r="L578" s="103" t="s">
        <v>1788</v>
      </c>
      <c r="M578" s="104"/>
      <c r="N578" s="104"/>
      <c r="O578" s="104"/>
      <c r="P578" s="104"/>
      <c r="Q578" s="104"/>
      <c r="R578" s="104"/>
      <c r="S578" s="104"/>
      <c r="T578" s="104"/>
      <c r="U578" s="104"/>
      <c r="V578" s="104"/>
      <c r="W578" s="104"/>
      <c r="X578" s="104"/>
      <c r="Y578" s="104"/>
      <c r="Z578" s="104"/>
    </row>
    <row r="579">
      <c r="A579" s="103" t="s">
        <v>1281</v>
      </c>
      <c r="B579" s="103"/>
      <c r="C579" s="103"/>
      <c r="D579" s="102">
        <v>1.0</v>
      </c>
      <c r="E579" s="102">
        <v>1.0</v>
      </c>
      <c r="F579" s="102">
        <v>1.0</v>
      </c>
      <c r="G579" s="102">
        <v>1.0</v>
      </c>
      <c r="H579" s="103"/>
      <c r="I579" s="103"/>
      <c r="J579" s="103"/>
      <c r="K579" s="103"/>
      <c r="L579" s="103"/>
      <c r="M579" s="104"/>
      <c r="N579" s="104"/>
      <c r="O579" s="104"/>
      <c r="P579" s="104"/>
      <c r="Q579" s="104"/>
      <c r="R579" s="104"/>
      <c r="S579" s="104"/>
      <c r="T579" s="104"/>
      <c r="U579" s="104"/>
      <c r="V579" s="104"/>
      <c r="W579" s="104"/>
      <c r="X579" s="104"/>
      <c r="Y579" s="104"/>
      <c r="Z579" s="104"/>
    </row>
    <row r="580">
      <c r="A580" s="103" t="s">
        <v>1282</v>
      </c>
      <c r="B580" s="103"/>
      <c r="C580" s="103"/>
      <c r="D580" s="102">
        <v>1.0</v>
      </c>
      <c r="E580" s="102">
        <v>1.0</v>
      </c>
      <c r="F580" s="102">
        <v>1.0</v>
      </c>
      <c r="G580" s="102">
        <v>0.0</v>
      </c>
      <c r="H580" s="103"/>
      <c r="I580" s="103"/>
      <c r="J580" s="103"/>
      <c r="K580" s="103"/>
      <c r="L580" s="103"/>
      <c r="M580" s="104"/>
      <c r="N580" s="104"/>
      <c r="O580" s="104"/>
      <c r="P580" s="104"/>
      <c r="Q580" s="104"/>
      <c r="R580" s="104"/>
      <c r="S580" s="104"/>
      <c r="T580" s="104"/>
      <c r="U580" s="104"/>
      <c r="V580" s="104"/>
      <c r="W580" s="104"/>
      <c r="X580" s="104"/>
      <c r="Y580" s="104"/>
      <c r="Z580" s="104"/>
    </row>
    <row r="581">
      <c r="A581" s="103" t="s">
        <v>948</v>
      </c>
      <c r="B581" s="103"/>
      <c r="C581" s="103"/>
      <c r="D581" s="102">
        <v>1.0</v>
      </c>
      <c r="E581" s="102">
        <v>1.0</v>
      </c>
      <c r="F581" s="102">
        <v>0.0</v>
      </c>
      <c r="G581" s="102">
        <v>0.0</v>
      </c>
      <c r="H581" s="103"/>
      <c r="I581" s="103"/>
      <c r="J581" s="103"/>
      <c r="K581" s="103"/>
      <c r="L581" s="103"/>
      <c r="M581" s="104"/>
      <c r="N581" s="104"/>
      <c r="O581" s="104"/>
      <c r="P581" s="104"/>
      <c r="Q581" s="104"/>
      <c r="R581" s="104"/>
      <c r="S581" s="104"/>
      <c r="T581" s="104"/>
      <c r="U581" s="104"/>
      <c r="V581" s="104"/>
      <c r="W581" s="104"/>
      <c r="X581" s="104"/>
      <c r="Y581" s="104"/>
      <c r="Z581" s="104"/>
    </row>
    <row r="582">
      <c r="A582" s="103" t="s">
        <v>1283</v>
      </c>
      <c r="B582" s="103"/>
      <c r="C582" s="103"/>
      <c r="D582" s="102">
        <v>1.0</v>
      </c>
      <c r="E582" s="102">
        <v>1.0</v>
      </c>
      <c r="F582" s="102">
        <v>1.0</v>
      </c>
      <c r="G582" s="102">
        <v>1.0</v>
      </c>
      <c r="H582" s="103"/>
      <c r="I582" s="103"/>
      <c r="J582" s="103"/>
      <c r="K582" s="103"/>
      <c r="L582" s="103"/>
      <c r="M582" s="104"/>
      <c r="N582" s="104"/>
      <c r="O582" s="104"/>
      <c r="P582" s="104"/>
      <c r="Q582" s="104"/>
      <c r="R582" s="104"/>
      <c r="S582" s="104"/>
      <c r="T582" s="104"/>
      <c r="U582" s="104"/>
      <c r="V582" s="104"/>
      <c r="W582" s="104"/>
      <c r="X582" s="104"/>
      <c r="Y582" s="104"/>
      <c r="Z582" s="104"/>
    </row>
    <row r="583">
      <c r="A583" s="103" t="s">
        <v>950</v>
      </c>
      <c r="B583" s="103"/>
      <c r="C583" s="103"/>
      <c r="D583" s="102">
        <v>1.0</v>
      </c>
      <c r="E583" s="102">
        <v>1.0</v>
      </c>
      <c r="F583" s="102">
        <v>1.0</v>
      </c>
      <c r="G583" s="102">
        <v>1.0</v>
      </c>
      <c r="H583" s="103"/>
      <c r="I583" s="103"/>
      <c r="J583" s="103"/>
      <c r="K583" s="103"/>
      <c r="L583" s="103"/>
      <c r="M583" s="104"/>
      <c r="N583" s="104"/>
      <c r="O583" s="104"/>
      <c r="P583" s="104"/>
      <c r="Q583" s="104"/>
      <c r="R583" s="104"/>
      <c r="S583" s="104"/>
      <c r="T583" s="104"/>
      <c r="U583" s="104"/>
      <c r="V583" s="104"/>
      <c r="W583" s="104"/>
      <c r="X583" s="104"/>
      <c r="Y583" s="104"/>
      <c r="Z583" s="104"/>
    </row>
    <row r="584">
      <c r="A584" s="103" t="s">
        <v>951</v>
      </c>
      <c r="B584" s="103"/>
      <c r="C584" s="103"/>
      <c r="D584" s="102">
        <v>1.0</v>
      </c>
      <c r="E584" s="102">
        <v>1.0</v>
      </c>
      <c r="F584" s="102">
        <v>1.0</v>
      </c>
      <c r="G584" s="102">
        <v>0.0</v>
      </c>
      <c r="H584" s="103"/>
      <c r="I584" s="103"/>
      <c r="J584" s="103"/>
      <c r="K584" s="103"/>
      <c r="L584" s="103"/>
      <c r="M584" s="104"/>
      <c r="N584" s="104"/>
      <c r="O584" s="104"/>
      <c r="P584" s="104"/>
      <c r="Q584" s="104"/>
      <c r="R584" s="104"/>
      <c r="S584" s="104"/>
      <c r="T584" s="104"/>
      <c r="U584" s="104"/>
      <c r="V584" s="104"/>
      <c r="W584" s="104"/>
      <c r="X584" s="104"/>
      <c r="Y584" s="104"/>
      <c r="Z584" s="104"/>
    </row>
    <row r="585">
      <c r="A585" s="103" t="s">
        <v>952</v>
      </c>
      <c r="B585" s="103"/>
      <c r="C585" s="103"/>
      <c r="D585" s="102">
        <v>1.0</v>
      </c>
      <c r="E585" s="102">
        <v>1.0</v>
      </c>
      <c r="F585" s="102">
        <v>1.0</v>
      </c>
      <c r="G585" s="102">
        <v>1.0</v>
      </c>
      <c r="H585" s="103"/>
      <c r="I585" s="103"/>
      <c r="J585" s="103"/>
      <c r="K585" s="103"/>
      <c r="L585" s="103"/>
      <c r="M585" s="104"/>
      <c r="N585" s="104"/>
      <c r="O585" s="104"/>
      <c r="P585" s="104"/>
      <c r="Q585" s="104"/>
      <c r="R585" s="104"/>
      <c r="S585" s="104"/>
      <c r="T585" s="104"/>
      <c r="U585" s="104"/>
      <c r="V585" s="104"/>
      <c r="W585" s="104"/>
      <c r="X585" s="104"/>
      <c r="Y585" s="104"/>
      <c r="Z585" s="104"/>
    </row>
    <row r="586">
      <c r="A586" s="103" t="s">
        <v>1284</v>
      </c>
      <c r="B586" s="103" t="s">
        <v>1784</v>
      </c>
      <c r="C586" s="103" t="s">
        <v>1790</v>
      </c>
      <c r="D586" s="103" t="s">
        <v>1791</v>
      </c>
      <c r="E586" s="103" t="s">
        <v>1792</v>
      </c>
      <c r="F586" s="103" t="s">
        <v>1793</v>
      </c>
      <c r="G586" s="103" t="s">
        <v>1794</v>
      </c>
      <c r="H586" s="103" t="s">
        <v>1795</v>
      </c>
      <c r="I586" s="103" t="s">
        <v>1796</v>
      </c>
      <c r="J586" s="103" t="s">
        <v>1797</v>
      </c>
      <c r="K586" s="103" t="s">
        <v>1798</v>
      </c>
      <c r="L586" s="103" t="s">
        <v>1229</v>
      </c>
      <c r="M586" s="104"/>
      <c r="N586" s="104"/>
      <c r="O586" s="104"/>
      <c r="P586" s="104"/>
      <c r="Q586" s="104"/>
      <c r="R586" s="104"/>
      <c r="S586" s="104"/>
      <c r="T586" s="104"/>
      <c r="U586" s="104"/>
      <c r="V586" s="104"/>
      <c r="W586" s="104"/>
      <c r="X586" s="104"/>
      <c r="Y586" s="104"/>
      <c r="Z586" s="104"/>
    </row>
    <row r="587">
      <c r="A587" s="103" t="s">
        <v>1281</v>
      </c>
      <c r="B587" s="103"/>
      <c r="C587" s="103"/>
      <c r="D587" s="102">
        <v>1.0</v>
      </c>
      <c r="E587" s="102">
        <v>1.0</v>
      </c>
      <c r="F587" s="102">
        <v>1.0</v>
      </c>
      <c r="G587" s="102">
        <v>1.0</v>
      </c>
      <c r="H587" s="103"/>
      <c r="I587" s="103"/>
      <c r="J587" s="103"/>
      <c r="K587" s="103"/>
      <c r="L587" s="103"/>
      <c r="M587" s="104"/>
      <c r="N587" s="104"/>
      <c r="O587" s="104"/>
      <c r="P587" s="104"/>
      <c r="Q587" s="104"/>
      <c r="R587" s="104"/>
      <c r="S587" s="104"/>
      <c r="T587" s="104"/>
      <c r="U587" s="104"/>
      <c r="V587" s="104"/>
      <c r="W587" s="104"/>
      <c r="X587" s="104"/>
      <c r="Y587" s="104"/>
      <c r="Z587" s="104"/>
    </row>
    <row r="588">
      <c r="A588" s="103" t="s">
        <v>1282</v>
      </c>
      <c r="B588" s="103"/>
      <c r="C588" s="103"/>
      <c r="D588" s="102">
        <v>1.0</v>
      </c>
      <c r="E588" s="102">
        <v>1.0</v>
      </c>
      <c r="F588" s="102">
        <v>1.0</v>
      </c>
      <c r="G588" s="102">
        <v>1.0</v>
      </c>
      <c r="H588" s="103"/>
      <c r="I588" s="103"/>
      <c r="J588" s="103"/>
      <c r="K588" s="103"/>
      <c r="L588" s="103"/>
      <c r="M588" s="104"/>
      <c r="N588" s="104"/>
      <c r="O588" s="104"/>
      <c r="P588" s="104"/>
      <c r="Q588" s="104"/>
      <c r="R588" s="104"/>
      <c r="S588" s="104"/>
      <c r="T588" s="104"/>
      <c r="U588" s="104"/>
      <c r="V588" s="104"/>
      <c r="W588" s="104"/>
      <c r="X588" s="104"/>
      <c r="Y588" s="104"/>
      <c r="Z588" s="104"/>
    </row>
    <row r="589">
      <c r="A589" s="103" t="s">
        <v>948</v>
      </c>
      <c r="B589" s="103"/>
      <c r="C589" s="103"/>
      <c r="D589" s="102">
        <v>1.0</v>
      </c>
      <c r="E589" s="102">
        <v>1.0</v>
      </c>
      <c r="F589" s="102">
        <v>0.0</v>
      </c>
      <c r="G589" s="102">
        <v>0.0</v>
      </c>
      <c r="H589" s="103"/>
      <c r="I589" s="103"/>
      <c r="J589" s="103"/>
      <c r="K589" s="103"/>
      <c r="L589" s="103"/>
      <c r="M589" s="104"/>
      <c r="N589" s="104"/>
      <c r="O589" s="104"/>
      <c r="P589" s="104"/>
      <c r="Q589" s="104"/>
      <c r="R589" s="104"/>
      <c r="S589" s="104"/>
      <c r="T589" s="104"/>
      <c r="U589" s="104"/>
      <c r="V589" s="104"/>
      <c r="W589" s="104"/>
      <c r="X589" s="104"/>
      <c r="Y589" s="104"/>
      <c r="Z589" s="104"/>
    </row>
    <row r="590">
      <c r="A590" s="103" t="s">
        <v>1283</v>
      </c>
      <c r="B590" s="103"/>
      <c r="C590" s="103"/>
      <c r="D590" s="102">
        <v>1.0</v>
      </c>
      <c r="E590" s="102">
        <v>1.0</v>
      </c>
      <c r="F590" s="102">
        <v>1.0</v>
      </c>
      <c r="G590" s="102">
        <v>1.0</v>
      </c>
      <c r="H590" s="103"/>
      <c r="I590" s="103"/>
      <c r="J590" s="103"/>
      <c r="K590" s="103"/>
      <c r="L590" s="103"/>
      <c r="M590" s="104"/>
      <c r="N590" s="104"/>
      <c r="O590" s="104"/>
      <c r="P590" s="104"/>
      <c r="Q590" s="104"/>
      <c r="R590" s="104"/>
      <c r="S590" s="104"/>
      <c r="T590" s="104"/>
      <c r="U590" s="104"/>
      <c r="V590" s="104"/>
      <c r="W590" s="104"/>
      <c r="X590" s="104"/>
      <c r="Y590" s="104"/>
      <c r="Z590" s="104"/>
    </row>
    <row r="591">
      <c r="A591" s="103" t="s">
        <v>950</v>
      </c>
      <c r="B591" s="103"/>
      <c r="C591" s="103"/>
      <c r="D591" s="102">
        <v>1.0</v>
      </c>
      <c r="E591" s="102">
        <v>1.0</v>
      </c>
      <c r="F591" s="102">
        <v>1.0</v>
      </c>
      <c r="G591" s="102">
        <v>1.0</v>
      </c>
      <c r="H591" s="103"/>
      <c r="I591" s="103"/>
      <c r="J591" s="103"/>
      <c r="K591" s="103"/>
      <c r="L591" s="103"/>
      <c r="M591" s="104"/>
      <c r="N591" s="104"/>
      <c r="O591" s="104"/>
      <c r="P591" s="104"/>
      <c r="Q591" s="104"/>
      <c r="R591" s="104"/>
      <c r="S591" s="104"/>
      <c r="T591" s="104"/>
      <c r="U591" s="104"/>
      <c r="V591" s="104"/>
      <c r="W591" s="104"/>
      <c r="X591" s="104"/>
      <c r="Y591" s="104"/>
      <c r="Z591" s="104"/>
    </row>
    <row r="592">
      <c r="A592" s="103" t="s">
        <v>951</v>
      </c>
      <c r="B592" s="103"/>
      <c r="C592" s="103"/>
      <c r="D592" s="102">
        <v>1.0</v>
      </c>
      <c r="E592" s="102">
        <v>1.0</v>
      </c>
      <c r="F592" s="102">
        <v>1.0</v>
      </c>
      <c r="G592" s="102">
        <v>1.0</v>
      </c>
      <c r="H592" s="103"/>
      <c r="I592" s="103"/>
      <c r="J592" s="103"/>
      <c r="K592" s="103"/>
      <c r="L592" s="103"/>
      <c r="M592" s="104"/>
      <c r="N592" s="104"/>
      <c r="O592" s="104"/>
      <c r="P592" s="104"/>
      <c r="Q592" s="104"/>
      <c r="R592" s="104"/>
      <c r="S592" s="104"/>
      <c r="T592" s="104"/>
      <c r="U592" s="104"/>
      <c r="V592" s="104"/>
      <c r="W592" s="104"/>
      <c r="X592" s="104"/>
      <c r="Y592" s="104"/>
      <c r="Z592" s="104"/>
    </row>
    <row r="593">
      <c r="A593" s="103" t="s">
        <v>952</v>
      </c>
      <c r="B593" s="103"/>
      <c r="C593" s="103"/>
      <c r="D593" s="102">
        <v>1.0</v>
      </c>
      <c r="E593" s="102">
        <v>1.0</v>
      </c>
      <c r="F593" s="102">
        <v>1.0</v>
      </c>
      <c r="G593" s="102">
        <v>1.0</v>
      </c>
      <c r="H593" s="103"/>
      <c r="I593" s="103"/>
      <c r="J593" s="103"/>
      <c r="K593" s="103"/>
      <c r="L593" s="103"/>
      <c r="M593" s="104"/>
      <c r="N593" s="104"/>
      <c r="O593" s="104"/>
      <c r="P593" s="104"/>
      <c r="Q593" s="104"/>
      <c r="R593" s="104"/>
      <c r="S593" s="104"/>
      <c r="T593" s="104"/>
      <c r="U593" s="104"/>
      <c r="V593" s="104"/>
      <c r="W593" s="104"/>
      <c r="X593" s="104"/>
      <c r="Y593" s="104"/>
      <c r="Z593" s="104"/>
    </row>
    <row r="594">
      <c r="A594" s="103" t="s">
        <v>1291</v>
      </c>
      <c r="B594" s="103" t="s">
        <v>1784</v>
      </c>
      <c r="C594" s="103" t="s">
        <v>1799</v>
      </c>
      <c r="D594" s="103" t="s">
        <v>1800</v>
      </c>
      <c r="E594" s="103" t="s">
        <v>1801</v>
      </c>
      <c r="F594" s="103" t="s">
        <v>1802</v>
      </c>
      <c r="G594" s="103" t="s">
        <v>1803</v>
      </c>
      <c r="H594" s="103" t="s">
        <v>1804</v>
      </c>
      <c r="I594" s="103" t="s">
        <v>1805</v>
      </c>
      <c r="J594" s="103" t="s">
        <v>1512</v>
      </c>
      <c r="K594" s="103" t="s">
        <v>1806</v>
      </c>
      <c r="L594" s="103" t="s">
        <v>1807</v>
      </c>
      <c r="M594" s="104"/>
      <c r="N594" s="104"/>
      <c r="O594" s="104"/>
      <c r="P594" s="104"/>
      <c r="Q594" s="104"/>
      <c r="R594" s="104"/>
      <c r="S594" s="104"/>
      <c r="T594" s="104"/>
      <c r="U594" s="104"/>
      <c r="V594" s="104"/>
      <c r="W594" s="104"/>
      <c r="X594" s="104"/>
      <c r="Y594" s="104"/>
      <c r="Z594" s="104"/>
    </row>
    <row r="595">
      <c r="A595" s="103" t="s">
        <v>1281</v>
      </c>
      <c r="B595" s="103"/>
      <c r="C595" s="103"/>
      <c r="D595" s="102">
        <v>1.0</v>
      </c>
      <c r="E595" s="102">
        <v>1.0</v>
      </c>
      <c r="F595" s="102">
        <v>1.0</v>
      </c>
      <c r="G595" s="102">
        <v>1.0</v>
      </c>
      <c r="H595" s="103"/>
      <c r="I595" s="103"/>
      <c r="J595" s="103"/>
      <c r="K595" s="103"/>
      <c r="L595" s="103"/>
      <c r="M595" s="104"/>
      <c r="N595" s="104"/>
      <c r="O595" s="104"/>
      <c r="P595" s="104"/>
      <c r="Q595" s="104"/>
      <c r="R595" s="104"/>
      <c r="S595" s="104"/>
      <c r="T595" s="104"/>
      <c r="U595" s="104"/>
      <c r="V595" s="104"/>
      <c r="W595" s="104"/>
      <c r="X595" s="104"/>
      <c r="Y595" s="104"/>
      <c r="Z595" s="104"/>
    </row>
    <row r="596">
      <c r="A596" s="103" t="s">
        <v>1282</v>
      </c>
      <c r="B596" s="103"/>
      <c r="C596" s="103"/>
      <c r="D596" s="102">
        <v>1.0</v>
      </c>
      <c r="E596" s="102">
        <v>1.0</v>
      </c>
      <c r="F596" s="102">
        <v>1.0</v>
      </c>
      <c r="G596" s="102">
        <v>1.0</v>
      </c>
      <c r="H596" s="103"/>
      <c r="I596" s="103"/>
      <c r="J596" s="103"/>
      <c r="K596" s="103"/>
      <c r="L596" s="103"/>
      <c r="M596" s="104"/>
      <c r="N596" s="104"/>
      <c r="O596" s="104"/>
      <c r="P596" s="104"/>
      <c r="Q596" s="104"/>
      <c r="R596" s="104"/>
      <c r="S596" s="104"/>
      <c r="T596" s="104"/>
      <c r="U596" s="104"/>
      <c r="V596" s="104"/>
      <c r="W596" s="104"/>
      <c r="X596" s="104"/>
      <c r="Y596" s="104"/>
      <c r="Z596" s="104"/>
    </row>
    <row r="597">
      <c r="A597" s="103" t="s">
        <v>948</v>
      </c>
      <c r="B597" s="103"/>
      <c r="C597" s="103"/>
      <c r="D597" s="102">
        <v>1.0</v>
      </c>
      <c r="E597" s="102">
        <v>1.0</v>
      </c>
      <c r="F597" s="102">
        <v>1.0</v>
      </c>
      <c r="G597" s="102">
        <v>1.0</v>
      </c>
      <c r="H597" s="103"/>
      <c r="I597" s="103"/>
      <c r="J597" s="103"/>
      <c r="K597" s="103"/>
      <c r="L597" s="103"/>
      <c r="M597" s="104"/>
      <c r="N597" s="104"/>
      <c r="O597" s="104"/>
      <c r="P597" s="104"/>
      <c r="Q597" s="104"/>
      <c r="R597" s="104"/>
      <c r="S597" s="104"/>
      <c r="T597" s="104"/>
      <c r="U597" s="104"/>
      <c r="V597" s="104"/>
      <c r="W597" s="104"/>
      <c r="X597" s="104"/>
      <c r="Y597" s="104"/>
      <c r="Z597" s="104"/>
    </row>
    <row r="598">
      <c r="A598" s="103" t="s">
        <v>1283</v>
      </c>
      <c r="B598" s="103"/>
      <c r="C598" s="103"/>
      <c r="D598" s="102">
        <v>1.0</v>
      </c>
      <c r="E598" s="102">
        <v>1.0</v>
      </c>
      <c r="F598" s="102">
        <v>1.0</v>
      </c>
      <c r="G598" s="102">
        <v>1.0</v>
      </c>
      <c r="H598" s="103"/>
      <c r="I598" s="103"/>
      <c r="J598" s="103"/>
      <c r="K598" s="103"/>
      <c r="L598" s="103"/>
      <c r="M598" s="104"/>
      <c r="N598" s="104"/>
      <c r="O598" s="104"/>
      <c r="P598" s="104"/>
      <c r="Q598" s="104"/>
      <c r="R598" s="104"/>
      <c r="S598" s="104"/>
      <c r="T598" s="104"/>
      <c r="U598" s="104"/>
      <c r="V598" s="104"/>
      <c r="W598" s="104"/>
      <c r="X598" s="104"/>
      <c r="Y598" s="104"/>
      <c r="Z598" s="104"/>
    </row>
    <row r="599">
      <c r="A599" s="103" t="s">
        <v>950</v>
      </c>
      <c r="B599" s="103"/>
      <c r="C599" s="103"/>
      <c r="D599" s="102">
        <v>1.0</v>
      </c>
      <c r="E599" s="102">
        <v>1.0</v>
      </c>
      <c r="F599" s="102">
        <v>1.0</v>
      </c>
      <c r="G599" s="102">
        <v>1.0</v>
      </c>
      <c r="H599" s="103"/>
      <c r="I599" s="103"/>
      <c r="J599" s="103"/>
      <c r="K599" s="103"/>
      <c r="L599" s="103"/>
      <c r="M599" s="104"/>
      <c r="N599" s="104"/>
      <c r="O599" s="104"/>
      <c r="P599" s="104"/>
      <c r="Q599" s="104"/>
      <c r="R599" s="104"/>
      <c r="S599" s="104"/>
      <c r="T599" s="104"/>
      <c r="U599" s="104"/>
      <c r="V599" s="104"/>
      <c r="W599" s="104"/>
      <c r="X599" s="104"/>
      <c r="Y599" s="104"/>
      <c r="Z599" s="104"/>
    </row>
    <row r="600">
      <c r="A600" s="103" t="s">
        <v>951</v>
      </c>
      <c r="B600" s="103"/>
      <c r="C600" s="103"/>
      <c r="D600" s="102">
        <v>1.0</v>
      </c>
      <c r="E600" s="102">
        <v>1.0</v>
      </c>
      <c r="F600" s="102">
        <v>1.0</v>
      </c>
      <c r="G600" s="102">
        <v>1.0</v>
      </c>
      <c r="H600" s="103"/>
      <c r="I600" s="103"/>
      <c r="J600" s="103"/>
      <c r="K600" s="103"/>
      <c r="L600" s="103"/>
      <c r="M600" s="104"/>
      <c r="N600" s="104"/>
      <c r="O600" s="104"/>
      <c r="P600" s="104"/>
      <c r="Q600" s="104"/>
      <c r="R600" s="104"/>
      <c r="S600" s="104"/>
      <c r="T600" s="104"/>
      <c r="U600" s="104"/>
      <c r="V600" s="104"/>
      <c r="W600" s="104"/>
      <c r="X600" s="104"/>
      <c r="Y600" s="104"/>
      <c r="Z600" s="104"/>
    </row>
    <row r="601">
      <c r="A601" s="103" t="s">
        <v>952</v>
      </c>
      <c r="B601" s="103"/>
      <c r="C601" s="103"/>
      <c r="D601" s="102">
        <v>1.0</v>
      </c>
      <c r="E601" s="102">
        <v>1.0</v>
      </c>
      <c r="F601" s="102">
        <v>1.0</v>
      </c>
      <c r="G601" s="102">
        <v>1.0</v>
      </c>
      <c r="H601" s="103"/>
      <c r="I601" s="103"/>
      <c r="J601" s="103"/>
      <c r="K601" s="103"/>
      <c r="L601" s="103"/>
      <c r="M601" s="104"/>
      <c r="N601" s="104"/>
      <c r="O601" s="104"/>
      <c r="P601" s="104"/>
      <c r="Q601" s="104"/>
      <c r="R601" s="104"/>
      <c r="S601" s="104"/>
      <c r="T601" s="104"/>
      <c r="U601" s="104"/>
      <c r="V601" s="104"/>
      <c r="W601" s="104"/>
      <c r="X601" s="104"/>
      <c r="Y601" s="104"/>
      <c r="Z601" s="104"/>
    </row>
    <row r="602">
      <c r="A602" s="97" t="s">
        <v>1272</v>
      </c>
      <c r="B602" s="97"/>
      <c r="C602" s="97"/>
      <c r="D602" s="97" t="s">
        <v>1236</v>
      </c>
      <c r="E602" s="97" t="s">
        <v>1237</v>
      </c>
      <c r="F602" s="97" t="s">
        <v>1238</v>
      </c>
      <c r="G602" s="97" t="s">
        <v>1239</v>
      </c>
      <c r="H602" s="97"/>
      <c r="I602" s="97"/>
      <c r="J602" s="97"/>
      <c r="K602" s="97"/>
      <c r="L602" s="97"/>
    </row>
    <row r="603">
      <c r="A603" s="97" t="s">
        <v>1273</v>
      </c>
      <c r="B603" s="97" t="s">
        <v>1808</v>
      </c>
      <c r="C603" s="97" t="s">
        <v>1275</v>
      </c>
      <c r="D603" s="97" t="s">
        <v>1809</v>
      </c>
      <c r="E603" s="97" t="s">
        <v>1810</v>
      </c>
      <c r="F603" s="97" t="s">
        <v>1811</v>
      </c>
      <c r="G603" s="97" t="s">
        <v>1812</v>
      </c>
      <c r="H603" s="97" t="s">
        <v>1275</v>
      </c>
      <c r="I603" s="97" t="s">
        <v>1813</v>
      </c>
      <c r="J603" s="97" t="s">
        <v>1814</v>
      </c>
      <c r="K603" s="97" t="s">
        <v>1811</v>
      </c>
      <c r="L603" s="97" t="s">
        <v>1815</v>
      </c>
    </row>
    <row r="604">
      <c r="A604" s="97" t="s">
        <v>1281</v>
      </c>
      <c r="B604" s="97"/>
      <c r="C604" s="97"/>
      <c r="D604" s="107">
        <v>1.0</v>
      </c>
      <c r="E604" s="107">
        <v>1.0</v>
      </c>
      <c r="F604" s="107">
        <v>0.0</v>
      </c>
      <c r="G604" s="107">
        <v>0.0</v>
      </c>
      <c r="H604" s="97"/>
      <c r="I604" s="97"/>
      <c r="J604" s="97"/>
      <c r="K604" s="97"/>
      <c r="L604" s="97"/>
    </row>
    <row r="605">
      <c r="A605" s="97" t="s">
        <v>1282</v>
      </c>
      <c r="B605" s="97"/>
      <c r="C605" s="97"/>
      <c r="D605" s="107">
        <v>1.0</v>
      </c>
      <c r="E605" s="107">
        <v>1.0</v>
      </c>
      <c r="F605" s="107">
        <v>1.0</v>
      </c>
      <c r="G605" s="107">
        <v>1.0</v>
      </c>
      <c r="H605" s="97"/>
      <c r="I605" s="97"/>
      <c r="J605" s="97"/>
      <c r="K605" s="97"/>
      <c r="L605" s="97"/>
    </row>
    <row r="606">
      <c r="A606" s="97" t="s">
        <v>948</v>
      </c>
      <c r="B606" s="97"/>
      <c r="C606" s="97"/>
      <c r="D606" s="107">
        <v>1.0</v>
      </c>
      <c r="E606" s="107">
        <v>1.0</v>
      </c>
      <c r="F606" s="107">
        <v>0.0</v>
      </c>
      <c r="G606" s="107">
        <v>0.0</v>
      </c>
      <c r="H606" s="97"/>
      <c r="I606" s="97"/>
      <c r="J606" s="97"/>
      <c r="K606" s="97"/>
      <c r="L606" s="97"/>
    </row>
    <row r="607">
      <c r="A607" s="97" t="s">
        <v>1283</v>
      </c>
      <c r="B607" s="97"/>
      <c r="C607" s="97"/>
      <c r="D607" s="107">
        <v>1.0</v>
      </c>
      <c r="E607" s="107">
        <v>1.0</v>
      </c>
      <c r="F607" s="107">
        <v>1.0</v>
      </c>
      <c r="G607" s="107">
        <v>1.0</v>
      </c>
      <c r="H607" s="97"/>
      <c r="I607" s="97"/>
      <c r="J607" s="97"/>
      <c r="K607" s="97"/>
      <c r="L607" s="97"/>
    </row>
    <row r="608">
      <c r="A608" s="97" t="s">
        <v>950</v>
      </c>
      <c r="B608" s="97"/>
      <c r="C608" s="97"/>
      <c r="D608" s="107">
        <v>0.0</v>
      </c>
      <c r="E608" s="107">
        <v>1.0</v>
      </c>
      <c r="F608" s="107">
        <v>1.0</v>
      </c>
      <c r="G608" s="107">
        <v>0.0</v>
      </c>
      <c r="H608" s="97"/>
      <c r="I608" s="97"/>
      <c r="J608" s="97"/>
      <c r="K608" s="97"/>
      <c r="L608" s="97"/>
    </row>
    <row r="609">
      <c r="A609" s="97" t="s">
        <v>951</v>
      </c>
      <c r="B609" s="97"/>
      <c r="C609" s="97"/>
      <c r="D609" s="107">
        <v>1.0</v>
      </c>
      <c r="E609" s="107">
        <v>1.0</v>
      </c>
      <c r="F609" s="107">
        <v>1.0</v>
      </c>
      <c r="G609" s="107">
        <v>1.0</v>
      </c>
      <c r="H609" s="97"/>
      <c r="I609" s="97"/>
      <c r="J609" s="97"/>
      <c r="K609" s="97"/>
      <c r="L609" s="97"/>
    </row>
    <row r="610">
      <c r="A610" s="97" t="s">
        <v>952</v>
      </c>
      <c r="B610" s="97"/>
      <c r="C610" s="97"/>
      <c r="D610" s="107">
        <v>1.0</v>
      </c>
      <c r="E610" s="107">
        <v>1.0</v>
      </c>
      <c r="F610" s="107">
        <v>1.0</v>
      </c>
      <c r="G610" s="107">
        <v>1.0</v>
      </c>
      <c r="H610" s="97"/>
      <c r="I610" s="97"/>
      <c r="J610" s="97"/>
      <c r="K610" s="97"/>
      <c r="L610" s="97"/>
    </row>
    <row r="611">
      <c r="A611" s="97" t="s">
        <v>1284</v>
      </c>
      <c r="B611" s="97" t="s">
        <v>1808</v>
      </c>
      <c r="C611" s="97" t="s">
        <v>1816</v>
      </c>
      <c r="D611" s="97" t="s">
        <v>1817</v>
      </c>
      <c r="E611" s="97" t="s">
        <v>1818</v>
      </c>
      <c r="F611" s="97" t="s">
        <v>1819</v>
      </c>
      <c r="G611" s="97" t="s">
        <v>1820</v>
      </c>
      <c r="H611" s="97" t="s">
        <v>1821</v>
      </c>
      <c r="I611" s="97" t="s">
        <v>1822</v>
      </c>
      <c r="J611" s="97" t="s">
        <v>1823</v>
      </c>
      <c r="K611" s="97" t="s">
        <v>1824</v>
      </c>
      <c r="L611" s="97" t="s">
        <v>1825</v>
      </c>
    </row>
    <row r="612">
      <c r="A612" s="97" t="s">
        <v>1281</v>
      </c>
      <c r="B612" s="97"/>
      <c r="C612" s="97"/>
      <c r="D612" s="107">
        <v>1.0</v>
      </c>
      <c r="E612" s="107">
        <v>0.0</v>
      </c>
      <c r="F612" s="107">
        <v>0.0</v>
      </c>
      <c r="G612" s="107">
        <v>1.0</v>
      </c>
      <c r="H612" s="97"/>
      <c r="I612" s="97"/>
      <c r="J612" s="97"/>
      <c r="K612" s="97"/>
      <c r="L612" s="97"/>
    </row>
    <row r="613">
      <c r="A613" s="97" t="s">
        <v>1282</v>
      </c>
      <c r="B613" s="97"/>
      <c r="C613" s="97"/>
      <c r="D613" s="107">
        <v>1.0</v>
      </c>
      <c r="E613" s="107">
        <v>0.0</v>
      </c>
      <c r="F613" s="107">
        <v>1.0</v>
      </c>
      <c r="G613" s="107">
        <v>1.0</v>
      </c>
      <c r="H613" s="97"/>
      <c r="I613" s="97"/>
      <c r="J613" s="97"/>
      <c r="K613" s="97"/>
      <c r="L613" s="97"/>
    </row>
    <row r="614">
      <c r="A614" s="97" t="s">
        <v>948</v>
      </c>
      <c r="B614" s="97"/>
      <c r="C614" s="97"/>
      <c r="D614" s="107">
        <v>1.0</v>
      </c>
      <c r="E614" s="107">
        <v>0.0</v>
      </c>
      <c r="F614" s="107">
        <v>0.0</v>
      </c>
      <c r="G614" s="107">
        <v>1.0</v>
      </c>
      <c r="H614" s="97"/>
      <c r="I614" s="97"/>
      <c r="J614" s="97"/>
      <c r="K614" s="97"/>
      <c r="L614" s="97"/>
    </row>
    <row r="615">
      <c r="A615" s="97" t="s">
        <v>1283</v>
      </c>
      <c r="B615" s="97"/>
      <c r="C615" s="97"/>
      <c r="D615" s="107">
        <v>1.0</v>
      </c>
      <c r="E615" s="107">
        <v>1.0</v>
      </c>
      <c r="F615" s="107">
        <v>1.0</v>
      </c>
      <c r="G615" s="107">
        <v>1.0</v>
      </c>
      <c r="H615" s="97"/>
      <c r="I615" s="97"/>
      <c r="J615" s="97"/>
      <c r="K615" s="97"/>
      <c r="L615" s="97"/>
    </row>
    <row r="616">
      <c r="A616" s="97" t="s">
        <v>950</v>
      </c>
      <c r="B616" s="97"/>
      <c r="C616" s="97"/>
      <c r="D616" s="107">
        <v>0.0</v>
      </c>
      <c r="E616" s="107">
        <v>0.0</v>
      </c>
      <c r="F616" s="107">
        <v>1.0</v>
      </c>
      <c r="G616" s="107">
        <v>1.0</v>
      </c>
      <c r="H616" s="97"/>
      <c r="I616" s="97"/>
      <c r="J616" s="97"/>
      <c r="K616" s="97"/>
      <c r="L616" s="97"/>
    </row>
    <row r="617">
      <c r="A617" s="97" t="s">
        <v>951</v>
      </c>
      <c r="B617" s="97"/>
      <c r="C617" s="97"/>
      <c r="D617" s="107">
        <v>1.0</v>
      </c>
      <c r="E617" s="107">
        <v>0.0</v>
      </c>
      <c r="F617" s="107">
        <v>0.0</v>
      </c>
      <c r="G617" s="107">
        <v>1.0</v>
      </c>
      <c r="H617" s="97"/>
      <c r="I617" s="97"/>
      <c r="J617" s="97"/>
      <c r="K617" s="97"/>
      <c r="L617" s="97"/>
    </row>
    <row r="618">
      <c r="A618" s="97" t="s">
        <v>952</v>
      </c>
      <c r="B618" s="97"/>
      <c r="C618" s="97"/>
      <c r="D618" s="107">
        <v>1.0</v>
      </c>
      <c r="E618" s="107">
        <v>1.0</v>
      </c>
      <c r="F618" s="107">
        <v>1.0</v>
      </c>
      <c r="G618" s="107">
        <v>1.0</v>
      </c>
      <c r="H618" s="97"/>
      <c r="I618" s="97"/>
      <c r="J618" s="97"/>
      <c r="K618" s="97"/>
      <c r="L618" s="97"/>
    </row>
    <row r="619">
      <c r="A619" s="97" t="s">
        <v>1291</v>
      </c>
      <c r="B619" s="97" t="s">
        <v>1808</v>
      </c>
      <c r="C619" s="97" t="s">
        <v>1826</v>
      </c>
      <c r="D619" s="97" t="s">
        <v>1827</v>
      </c>
      <c r="E619" s="97" t="s">
        <v>1828</v>
      </c>
      <c r="F619" s="97" t="s">
        <v>1829</v>
      </c>
      <c r="G619" s="97" t="s">
        <v>1079</v>
      </c>
      <c r="H619" s="97" t="s">
        <v>1830</v>
      </c>
      <c r="I619" s="97" t="s">
        <v>1831</v>
      </c>
      <c r="J619" s="97" t="s">
        <v>1832</v>
      </c>
      <c r="K619" s="97" t="s">
        <v>1240</v>
      </c>
      <c r="L619" s="97" t="s">
        <v>1079</v>
      </c>
    </row>
    <row r="620">
      <c r="A620" s="97" t="s">
        <v>1281</v>
      </c>
      <c r="B620" s="97"/>
      <c r="C620" s="97"/>
      <c r="D620" s="107">
        <v>1.0</v>
      </c>
      <c r="E620" s="107">
        <v>1.0</v>
      </c>
      <c r="F620" s="107">
        <v>1.0</v>
      </c>
      <c r="G620" s="107">
        <v>1.0</v>
      </c>
      <c r="H620" s="97"/>
      <c r="I620" s="97"/>
      <c r="J620" s="97"/>
      <c r="K620" s="97"/>
      <c r="L620" s="97"/>
    </row>
    <row r="621">
      <c r="A621" s="97" t="s">
        <v>1282</v>
      </c>
      <c r="B621" s="97"/>
      <c r="C621" s="97"/>
      <c r="D621" s="107">
        <v>1.0</v>
      </c>
      <c r="E621" s="107">
        <v>1.0</v>
      </c>
      <c r="F621" s="107">
        <v>1.0</v>
      </c>
      <c r="G621" s="107">
        <v>1.0</v>
      </c>
      <c r="H621" s="97"/>
      <c r="I621" s="97"/>
      <c r="J621" s="97"/>
      <c r="K621" s="97"/>
      <c r="L621" s="97"/>
    </row>
    <row r="622">
      <c r="A622" s="97" t="s">
        <v>948</v>
      </c>
      <c r="B622" s="97"/>
      <c r="C622" s="97"/>
      <c r="D622" s="107">
        <v>1.0</v>
      </c>
      <c r="E622" s="107">
        <v>1.0</v>
      </c>
      <c r="F622" s="107">
        <v>1.0</v>
      </c>
      <c r="G622" s="107">
        <v>1.0</v>
      </c>
      <c r="H622" s="97"/>
      <c r="I622" s="97"/>
      <c r="J622" s="97"/>
      <c r="K622" s="97"/>
      <c r="L622" s="97"/>
    </row>
    <row r="623">
      <c r="A623" s="97" t="s">
        <v>1283</v>
      </c>
      <c r="B623" s="97"/>
      <c r="C623" s="97"/>
      <c r="D623" s="107">
        <v>1.0</v>
      </c>
      <c r="E623" s="107">
        <v>1.0</v>
      </c>
      <c r="F623" s="107">
        <v>1.0</v>
      </c>
      <c r="G623" s="107">
        <v>1.0</v>
      </c>
      <c r="H623" s="97"/>
      <c r="I623" s="97"/>
      <c r="J623" s="97"/>
      <c r="K623" s="97"/>
      <c r="L623" s="97"/>
    </row>
    <row r="624">
      <c r="A624" s="97" t="s">
        <v>950</v>
      </c>
      <c r="B624" s="97"/>
      <c r="C624" s="97"/>
      <c r="D624" s="107">
        <v>1.0</v>
      </c>
      <c r="E624" s="107">
        <v>1.0</v>
      </c>
      <c r="F624" s="107">
        <v>1.0</v>
      </c>
      <c r="G624" s="107">
        <v>1.0</v>
      </c>
      <c r="H624" s="97"/>
      <c r="I624" s="97"/>
      <c r="J624" s="97"/>
      <c r="K624" s="97"/>
      <c r="L624" s="97"/>
    </row>
    <row r="625">
      <c r="A625" s="97" t="s">
        <v>951</v>
      </c>
      <c r="B625" s="97"/>
      <c r="C625" s="97"/>
      <c r="D625" s="107">
        <v>1.0</v>
      </c>
      <c r="E625" s="107">
        <v>1.0</v>
      </c>
      <c r="F625" s="107">
        <v>1.0</v>
      </c>
      <c r="G625" s="107">
        <v>1.0</v>
      </c>
      <c r="H625" s="97"/>
      <c r="I625" s="97"/>
      <c r="J625" s="97"/>
      <c r="K625" s="97"/>
      <c r="L625" s="97"/>
    </row>
    <row r="626">
      <c r="A626" s="97" t="s">
        <v>952</v>
      </c>
      <c r="B626" s="97"/>
      <c r="C626" s="97"/>
      <c r="D626" s="107">
        <v>1.0</v>
      </c>
      <c r="E626" s="107">
        <v>1.0</v>
      </c>
      <c r="F626" s="107">
        <v>1.0</v>
      </c>
      <c r="G626" s="107">
        <v>1.0</v>
      </c>
      <c r="H626" s="97"/>
      <c r="I626" s="97"/>
      <c r="J626" s="97"/>
      <c r="K626" s="97"/>
      <c r="L626" s="97"/>
    </row>
    <row r="627">
      <c r="A627" s="103" t="s">
        <v>1272</v>
      </c>
      <c r="B627" s="103"/>
      <c r="C627" s="103"/>
      <c r="D627" s="103" t="s">
        <v>1246</v>
      </c>
      <c r="E627" s="103" t="s">
        <v>1247</v>
      </c>
      <c r="F627" s="102" t="s">
        <v>1019</v>
      </c>
      <c r="G627" s="102" t="s">
        <v>1248</v>
      </c>
      <c r="H627" s="103"/>
      <c r="I627" s="103"/>
      <c r="J627" s="103"/>
      <c r="K627" s="103"/>
      <c r="L627" s="103"/>
      <c r="M627" s="104"/>
      <c r="N627" s="104"/>
      <c r="O627" s="104"/>
      <c r="P627" s="104"/>
      <c r="Q627" s="104"/>
      <c r="R627" s="104"/>
      <c r="S627" s="104"/>
      <c r="T627" s="104"/>
      <c r="U627" s="104"/>
      <c r="V627" s="104"/>
      <c r="W627" s="104"/>
      <c r="X627" s="104"/>
      <c r="Y627" s="104"/>
      <c r="Z627" s="104"/>
    </row>
    <row r="628">
      <c r="A628" s="103" t="s">
        <v>1273</v>
      </c>
      <c r="B628" s="103" t="s">
        <v>1833</v>
      </c>
      <c r="C628" s="103" t="s">
        <v>1834</v>
      </c>
      <c r="D628" s="103" t="s">
        <v>1835</v>
      </c>
      <c r="E628" s="103" t="s">
        <v>1836</v>
      </c>
      <c r="F628" s="103" t="s">
        <v>1332</v>
      </c>
      <c r="G628" s="103" t="s">
        <v>1837</v>
      </c>
      <c r="H628" s="103" t="s">
        <v>1236</v>
      </c>
      <c r="I628" s="103" t="s">
        <v>1834</v>
      </c>
      <c r="J628" s="103" t="s">
        <v>1838</v>
      </c>
      <c r="K628" s="103" t="s">
        <v>1332</v>
      </c>
      <c r="L628" s="103" t="s">
        <v>1117</v>
      </c>
      <c r="M628" s="104"/>
      <c r="N628" s="104"/>
      <c r="O628" s="104"/>
      <c r="P628" s="104"/>
      <c r="Q628" s="104"/>
      <c r="R628" s="104"/>
      <c r="S628" s="104"/>
      <c r="T628" s="104"/>
      <c r="U628" s="104"/>
      <c r="V628" s="104"/>
      <c r="W628" s="104"/>
      <c r="X628" s="104"/>
      <c r="Y628" s="104"/>
      <c r="Z628" s="104"/>
    </row>
    <row r="629">
      <c r="A629" s="103" t="s">
        <v>1281</v>
      </c>
      <c r="B629" s="103"/>
      <c r="C629" s="103"/>
      <c r="D629" s="102">
        <v>1.0</v>
      </c>
      <c r="E629" s="102">
        <v>1.0</v>
      </c>
      <c r="F629" s="102">
        <v>1.0</v>
      </c>
      <c r="G629" s="102">
        <v>1.0</v>
      </c>
      <c r="H629" s="103"/>
      <c r="I629" s="103"/>
      <c r="J629" s="103"/>
      <c r="K629" s="103"/>
      <c r="L629" s="103"/>
      <c r="M629" s="104"/>
      <c r="N629" s="104"/>
      <c r="O629" s="104"/>
      <c r="P629" s="104"/>
      <c r="Q629" s="104"/>
      <c r="R629" s="104"/>
      <c r="S629" s="104"/>
      <c r="T629" s="104"/>
      <c r="U629" s="104"/>
      <c r="V629" s="104"/>
      <c r="W629" s="104"/>
      <c r="X629" s="104"/>
      <c r="Y629" s="104"/>
      <c r="Z629" s="104"/>
    </row>
    <row r="630">
      <c r="A630" s="103" t="s">
        <v>1282</v>
      </c>
      <c r="B630" s="103"/>
      <c r="C630" s="103"/>
      <c r="D630" s="102">
        <v>1.0</v>
      </c>
      <c r="E630" s="102">
        <v>1.0</v>
      </c>
      <c r="F630" s="102">
        <v>1.0</v>
      </c>
      <c r="G630" s="102">
        <v>1.0</v>
      </c>
      <c r="H630" s="103"/>
      <c r="I630" s="103"/>
      <c r="J630" s="103"/>
      <c r="K630" s="103"/>
      <c r="L630" s="103"/>
      <c r="M630" s="104"/>
      <c r="N630" s="104"/>
      <c r="O630" s="104"/>
      <c r="P630" s="104"/>
      <c r="Q630" s="104"/>
      <c r="R630" s="104"/>
      <c r="S630" s="104"/>
      <c r="T630" s="104"/>
      <c r="U630" s="104"/>
      <c r="V630" s="104"/>
      <c r="W630" s="104"/>
      <c r="X630" s="104"/>
      <c r="Y630" s="104"/>
      <c r="Z630" s="104"/>
    </row>
    <row r="631">
      <c r="A631" s="103" t="s">
        <v>948</v>
      </c>
      <c r="B631" s="103"/>
      <c r="C631" s="103"/>
      <c r="D631" s="102">
        <v>0.0</v>
      </c>
      <c r="E631" s="102">
        <v>1.0</v>
      </c>
      <c r="F631" s="102">
        <v>1.0</v>
      </c>
      <c r="G631" s="102">
        <v>1.0</v>
      </c>
      <c r="H631" s="103"/>
      <c r="I631" s="103"/>
      <c r="J631" s="103"/>
      <c r="K631" s="103"/>
      <c r="L631" s="103"/>
      <c r="M631" s="104"/>
      <c r="N631" s="104"/>
      <c r="O631" s="104"/>
      <c r="P631" s="104"/>
      <c r="Q631" s="104"/>
      <c r="R631" s="104"/>
      <c r="S631" s="104"/>
      <c r="T631" s="104"/>
      <c r="U631" s="104"/>
      <c r="V631" s="104"/>
      <c r="W631" s="104"/>
      <c r="X631" s="104"/>
      <c r="Y631" s="104"/>
      <c r="Z631" s="104"/>
    </row>
    <row r="632">
      <c r="A632" s="103" t="s">
        <v>1283</v>
      </c>
      <c r="B632" s="103"/>
      <c r="C632" s="103"/>
      <c r="D632" s="102">
        <v>1.0</v>
      </c>
      <c r="E632" s="102">
        <v>1.0</v>
      </c>
      <c r="F632" s="102">
        <v>1.0</v>
      </c>
      <c r="G632" s="102">
        <v>1.0</v>
      </c>
      <c r="H632" s="103"/>
      <c r="I632" s="103"/>
      <c r="J632" s="103"/>
      <c r="K632" s="103"/>
      <c r="L632" s="103"/>
      <c r="M632" s="104"/>
      <c r="N632" s="104"/>
      <c r="O632" s="104"/>
      <c r="P632" s="104"/>
      <c r="Q632" s="104"/>
      <c r="R632" s="104"/>
      <c r="S632" s="104"/>
      <c r="T632" s="104"/>
      <c r="U632" s="104"/>
      <c r="V632" s="104"/>
      <c r="W632" s="104"/>
      <c r="X632" s="104"/>
      <c r="Y632" s="104"/>
      <c r="Z632" s="104"/>
    </row>
    <row r="633">
      <c r="A633" s="103" t="s">
        <v>950</v>
      </c>
      <c r="B633" s="103"/>
      <c r="C633" s="103"/>
      <c r="D633" s="102">
        <v>1.0</v>
      </c>
      <c r="E633" s="102">
        <v>1.0</v>
      </c>
      <c r="F633" s="102">
        <v>1.0</v>
      </c>
      <c r="G633" s="102">
        <v>1.0</v>
      </c>
      <c r="H633" s="103"/>
      <c r="I633" s="103"/>
      <c r="J633" s="103"/>
      <c r="K633" s="103"/>
      <c r="L633" s="103"/>
      <c r="M633" s="104"/>
      <c r="N633" s="104"/>
      <c r="O633" s="104"/>
      <c r="P633" s="104"/>
      <c r="Q633" s="104"/>
      <c r="R633" s="104"/>
      <c r="S633" s="104"/>
      <c r="T633" s="104"/>
      <c r="U633" s="104"/>
      <c r="V633" s="104"/>
      <c r="W633" s="104"/>
      <c r="X633" s="104"/>
      <c r="Y633" s="104"/>
      <c r="Z633" s="104"/>
    </row>
    <row r="634">
      <c r="A634" s="103" t="s">
        <v>951</v>
      </c>
      <c r="B634" s="103"/>
      <c r="C634" s="103"/>
      <c r="D634" s="102">
        <v>1.0</v>
      </c>
      <c r="E634" s="102">
        <v>1.0</v>
      </c>
      <c r="F634" s="102">
        <v>1.0</v>
      </c>
      <c r="G634" s="102">
        <v>1.0</v>
      </c>
      <c r="H634" s="103"/>
      <c r="I634" s="103"/>
      <c r="J634" s="103"/>
      <c r="K634" s="103"/>
      <c r="L634" s="103"/>
      <c r="M634" s="104"/>
      <c r="N634" s="104"/>
      <c r="O634" s="104"/>
      <c r="P634" s="104"/>
      <c r="Q634" s="104"/>
      <c r="R634" s="104"/>
      <c r="S634" s="104"/>
      <c r="T634" s="104"/>
      <c r="U634" s="104"/>
      <c r="V634" s="104"/>
      <c r="W634" s="104"/>
      <c r="X634" s="104"/>
      <c r="Y634" s="104"/>
      <c r="Z634" s="104"/>
    </row>
    <row r="635">
      <c r="A635" s="103" t="s">
        <v>952</v>
      </c>
      <c r="B635" s="103"/>
      <c r="C635" s="103"/>
      <c r="D635" s="102">
        <v>1.0</v>
      </c>
      <c r="E635" s="102">
        <v>1.0</v>
      </c>
      <c r="F635" s="102">
        <v>1.0</v>
      </c>
      <c r="G635" s="102">
        <v>1.0</v>
      </c>
      <c r="H635" s="103"/>
      <c r="I635" s="103"/>
      <c r="J635" s="103"/>
      <c r="K635" s="103"/>
      <c r="L635" s="103"/>
      <c r="M635" s="104"/>
      <c r="N635" s="104"/>
      <c r="O635" s="104"/>
      <c r="P635" s="104"/>
      <c r="Q635" s="104"/>
      <c r="R635" s="104"/>
      <c r="S635" s="104"/>
      <c r="T635" s="104"/>
      <c r="U635" s="104"/>
      <c r="V635" s="104"/>
      <c r="W635" s="104"/>
      <c r="X635" s="104"/>
      <c r="Y635" s="104"/>
      <c r="Z635" s="104"/>
    </row>
    <row r="636">
      <c r="A636" s="103" t="s">
        <v>1284</v>
      </c>
      <c r="B636" s="103" t="s">
        <v>1833</v>
      </c>
      <c r="C636" s="103" t="s">
        <v>1839</v>
      </c>
      <c r="D636" s="103" t="s">
        <v>1840</v>
      </c>
      <c r="E636" s="103" t="s">
        <v>1841</v>
      </c>
      <c r="F636" s="103" t="s">
        <v>1332</v>
      </c>
      <c r="G636" s="103" t="s">
        <v>1842</v>
      </c>
      <c r="H636" s="103" t="s">
        <v>1246</v>
      </c>
      <c r="I636" s="103" t="s">
        <v>1834</v>
      </c>
      <c r="J636" s="103" t="s">
        <v>1843</v>
      </c>
      <c r="K636" s="103" t="s">
        <v>1332</v>
      </c>
      <c r="L636" s="103" t="s">
        <v>1779</v>
      </c>
      <c r="M636" s="104"/>
      <c r="N636" s="104"/>
      <c r="O636" s="104"/>
      <c r="P636" s="104"/>
      <c r="Q636" s="104"/>
      <c r="R636" s="104"/>
      <c r="S636" s="104"/>
      <c r="T636" s="104"/>
      <c r="U636" s="104"/>
      <c r="V636" s="104"/>
      <c r="W636" s="104"/>
      <c r="X636" s="104"/>
      <c r="Y636" s="104"/>
      <c r="Z636" s="104"/>
    </row>
    <row r="637">
      <c r="A637" s="103" t="s">
        <v>1281</v>
      </c>
      <c r="B637" s="103"/>
      <c r="C637" s="103"/>
      <c r="D637" s="102">
        <v>1.0</v>
      </c>
      <c r="E637" s="102">
        <v>1.0</v>
      </c>
      <c r="F637" s="102">
        <v>1.0</v>
      </c>
      <c r="G637" s="102">
        <v>1.0</v>
      </c>
      <c r="H637" s="103"/>
      <c r="I637" s="103"/>
      <c r="J637" s="103"/>
      <c r="K637" s="103"/>
      <c r="L637" s="103"/>
      <c r="M637" s="104"/>
      <c r="N637" s="104"/>
      <c r="O637" s="104"/>
      <c r="P637" s="104"/>
      <c r="Q637" s="104"/>
      <c r="R637" s="104"/>
      <c r="S637" s="104"/>
      <c r="T637" s="104"/>
      <c r="U637" s="104"/>
      <c r="V637" s="104"/>
      <c r="W637" s="104"/>
      <c r="X637" s="104"/>
      <c r="Y637" s="104"/>
      <c r="Z637" s="104"/>
    </row>
    <row r="638">
      <c r="A638" s="103" t="s">
        <v>1282</v>
      </c>
      <c r="B638" s="103"/>
      <c r="C638" s="103"/>
      <c r="D638" s="102">
        <v>1.0</v>
      </c>
      <c r="E638" s="102">
        <v>1.0</v>
      </c>
      <c r="F638" s="102">
        <v>1.0</v>
      </c>
      <c r="G638" s="102">
        <v>1.0</v>
      </c>
      <c r="H638" s="103"/>
      <c r="I638" s="103"/>
      <c r="J638" s="103"/>
      <c r="K638" s="103"/>
      <c r="L638" s="103"/>
      <c r="M638" s="104"/>
      <c r="N638" s="104"/>
      <c r="O638" s="104"/>
      <c r="P638" s="104"/>
      <c r="Q638" s="104"/>
      <c r="R638" s="104"/>
      <c r="S638" s="104"/>
      <c r="T638" s="104"/>
      <c r="U638" s="104"/>
      <c r="V638" s="104"/>
      <c r="W638" s="104"/>
      <c r="X638" s="104"/>
      <c r="Y638" s="104"/>
      <c r="Z638" s="104"/>
    </row>
    <row r="639">
      <c r="A639" s="103" t="s">
        <v>948</v>
      </c>
      <c r="B639" s="103"/>
      <c r="C639" s="103"/>
      <c r="D639" s="102">
        <v>1.0</v>
      </c>
      <c r="E639" s="102">
        <v>0.0</v>
      </c>
      <c r="F639" s="102">
        <v>1.0</v>
      </c>
      <c r="G639" s="102">
        <v>1.0</v>
      </c>
      <c r="H639" s="103"/>
      <c r="I639" s="103"/>
      <c r="J639" s="103"/>
      <c r="K639" s="103"/>
      <c r="L639" s="103"/>
      <c r="M639" s="104"/>
      <c r="N639" s="104"/>
      <c r="O639" s="104"/>
      <c r="P639" s="104"/>
      <c r="Q639" s="104"/>
      <c r="R639" s="104"/>
      <c r="S639" s="104"/>
      <c r="T639" s="104"/>
      <c r="U639" s="104"/>
      <c r="V639" s="104"/>
      <c r="W639" s="104"/>
      <c r="X639" s="104"/>
      <c r="Y639" s="104"/>
      <c r="Z639" s="104"/>
    </row>
    <row r="640">
      <c r="A640" s="103" t="s">
        <v>1283</v>
      </c>
      <c r="B640" s="103"/>
      <c r="C640" s="103"/>
      <c r="D640" s="102">
        <v>1.0</v>
      </c>
      <c r="E640" s="102">
        <v>1.0</v>
      </c>
      <c r="F640" s="102">
        <v>1.0</v>
      </c>
      <c r="G640" s="102">
        <v>1.0</v>
      </c>
      <c r="H640" s="103"/>
      <c r="I640" s="103"/>
      <c r="J640" s="103"/>
      <c r="K640" s="103"/>
      <c r="L640" s="103"/>
      <c r="M640" s="104"/>
      <c r="N640" s="104"/>
      <c r="O640" s="104"/>
      <c r="P640" s="104"/>
      <c r="Q640" s="104"/>
      <c r="R640" s="104"/>
      <c r="S640" s="104"/>
      <c r="T640" s="104"/>
      <c r="U640" s="104"/>
      <c r="V640" s="104"/>
      <c r="W640" s="104"/>
      <c r="X640" s="104"/>
      <c r="Y640" s="104"/>
      <c r="Z640" s="104"/>
    </row>
    <row r="641">
      <c r="A641" s="103" t="s">
        <v>950</v>
      </c>
      <c r="B641" s="103"/>
      <c r="C641" s="103"/>
      <c r="D641" s="102">
        <v>1.0</v>
      </c>
      <c r="E641" s="102">
        <v>1.0</v>
      </c>
      <c r="F641" s="102">
        <v>1.0</v>
      </c>
      <c r="G641" s="102">
        <v>1.0</v>
      </c>
      <c r="H641" s="103"/>
      <c r="I641" s="103"/>
      <c r="J641" s="103"/>
      <c r="K641" s="103"/>
      <c r="L641" s="103"/>
      <c r="M641" s="104"/>
      <c r="N641" s="104"/>
      <c r="O641" s="104"/>
      <c r="P641" s="104"/>
      <c r="Q641" s="104"/>
      <c r="R641" s="104"/>
      <c r="S641" s="104"/>
      <c r="T641" s="104"/>
      <c r="U641" s="104"/>
      <c r="V641" s="104"/>
      <c r="W641" s="104"/>
      <c r="X641" s="104"/>
      <c r="Y641" s="104"/>
      <c r="Z641" s="104"/>
    </row>
    <row r="642">
      <c r="A642" s="103" t="s">
        <v>951</v>
      </c>
      <c r="B642" s="103"/>
      <c r="C642" s="103"/>
      <c r="D642" s="102">
        <v>1.0</v>
      </c>
      <c r="E642" s="102">
        <v>1.0</v>
      </c>
      <c r="F642" s="102">
        <v>1.0</v>
      </c>
      <c r="G642" s="102">
        <v>1.0</v>
      </c>
      <c r="H642" s="103"/>
      <c r="I642" s="103"/>
      <c r="J642" s="103"/>
      <c r="K642" s="103"/>
      <c r="L642" s="103"/>
      <c r="M642" s="104"/>
      <c r="N642" s="104"/>
      <c r="O642" s="104"/>
      <c r="P642" s="104"/>
      <c r="Q642" s="104"/>
      <c r="R642" s="104"/>
      <c r="S642" s="104"/>
      <c r="T642" s="104"/>
      <c r="U642" s="104"/>
      <c r="V642" s="104"/>
      <c r="W642" s="104"/>
      <c r="X642" s="104"/>
      <c r="Y642" s="104"/>
      <c r="Z642" s="104"/>
    </row>
    <row r="643">
      <c r="A643" s="103" t="s">
        <v>952</v>
      </c>
      <c r="B643" s="103"/>
      <c r="C643" s="103"/>
      <c r="D643" s="102">
        <v>1.0</v>
      </c>
      <c r="E643" s="102">
        <v>1.0</v>
      </c>
      <c r="F643" s="102">
        <v>1.0</v>
      </c>
      <c r="G643" s="102">
        <v>1.0</v>
      </c>
      <c r="H643" s="103"/>
      <c r="I643" s="103"/>
      <c r="J643" s="103"/>
      <c r="K643" s="103"/>
      <c r="L643" s="103"/>
      <c r="M643" s="104"/>
      <c r="N643" s="104"/>
      <c r="O643" s="104"/>
      <c r="P643" s="104"/>
      <c r="Q643" s="104"/>
      <c r="R643" s="104"/>
      <c r="S643" s="104"/>
      <c r="T643" s="104"/>
      <c r="U643" s="104"/>
      <c r="V643" s="104"/>
      <c r="W643" s="104"/>
      <c r="X643" s="104"/>
      <c r="Y643" s="104"/>
      <c r="Z643" s="104"/>
    </row>
    <row r="644">
      <c r="A644" s="103" t="s">
        <v>1291</v>
      </c>
      <c r="B644" s="103" t="s">
        <v>1833</v>
      </c>
      <c r="C644" s="103" t="s">
        <v>1844</v>
      </c>
      <c r="D644" s="103" t="s">
        <v>1845</v>
      </c>
      <c r="E644" s="103" t="s">
        <v>1846</v>
      </c>
      <c r="F644" s="103" t="s">
        <v>1332</v>
      </c>
      <c r="G644" s="103" t="s">
        <v>1847</v>
      </c>
      <c r="H644" s="103" t="s">
        <v>1246</v>
      </c>
      <c r="I644" s="103" t="s">
        <v>1848</v>
      </c>
      <c r="J644" s="103" t="s">
        <v>1849</v>
      </c>
      <c r="K644" s="103" t="s">
        <v>1332</v>
      </c>
      <c r="L644" s="103" t="s">
        <v>1426</v>
      </c>
      <c r="M644" s="104"/>
      <c r="N644" s="104"/>
      <c r="O644" s="104"/>
      <c r="P644" s="104"/>
      <c r="Q644" s="104"/>
      <c r="R644" s="104"/>
      <c r="S644" s="104"/>
      <c r="T644" s="104"/>
      <c r="U644" s="104"/>
      <c r="V644" s="104"/>
      <c r="W644" s="104"/>
      <c r="X644" s="104"/>
      <c r="Y644" s="104"/>
      <c r="Z644" s="104"/>
    </row>
    <row r="645">
      <c r="A645" s="103" t="s">
        <v>1281</v>
      </c>
      <c r="B645" s="103"/>
      <c r="C645" s="103"/>
      <c r="D645" s="102">
        <v>1.0</v>
      </c>
      <c r="E645" s="102">
        <v>1.0</v>
      </c>
      <c r="F645" s="102">
        <v>1.0</v>
      </c>
      <c r="G645" s="102">
        <v>1.0</v>
      </c>
      <c r="H645" s="103"/>
      <c r="I645" s="103"/>
      <c r="J645" s="103"/>
      <c r="K645" s="103"/>
      <c r="L645" s="103"/>
      <c r="M645" s="104"/>
      <c r="N645" s="104"/>
      <c r="O645" s="104"/>
      <c r="P645" s="104"/>
      <c r="Q645" s="104"/>
      <c r="R645" s="104"/>
      <c r="S645" s="104"/>
      <c r="T645" s="104"/>
      <c r="U645" s="104"/>
      <c r="V645" s="104"/>
      <c r="W645" s="104"/>
      <c r="X645" s="104"/>
      <c r="Y645" s="104"/>
      <c r="Z645" s="104"/>
    </row>
    <row r="646">
      <c r="A646" s="103" t="s">
        <v>1282</v>
      </c>
      <c r="B646" s="103"/>
      <c r="C646" s="103"/>
      <c r="D646" s="102">
        <v>1.0</v>
      </c>
      <c r="E646" s="102">
        <v>1.0</v>
      </c>
      <c r="F646" s="102">
        <v>1.0</v>
      </c>
      <c r="G646" s="102">
        <v>1.0</v>
      </c>
      <c r="H646" s="103"/>
      <c r="I646" s="103"/>
      <c r="J646" s="103"/>
      <c r="K646" s="103"/>
      <c r="L646" s="103"/>
      <c r="M646" s="104"/>
      <c r="N646" s="104"/>
      <c r="O646" s="104"/>
      <c r="P646" s="104"/>
      <c r="Q646" s="104"/>
      <c r="R646" s="104"/>
      <c r="S646" s="104"/>
      <c r="T646" s="104"/>
      <c r="U646" s="104"/>
      <c r="V646" s="104"/>
      <c r="W646" s="104"/>
      <c r="X646" s="104"/>
      <c r="Y646" s="104"/>
      <c r="Z646" s="104"/>
    </row>
    <row r="647">
      <c r="A647" s="103" t="s">
        <v>948</v>
      </c>
      <c r="B647" s="103"/>
      <c r="C647" s="103"/>
      <c r="D647" s="102">
        <v>1.0</v>
      </c>
      <c r="E647" s="102">
        <v>1.0</v>
      </c>
      <c r="F647" s="102">
        <v>1.0</v>
      </c>
      <c r="G647" s="102">
        <v>1.0</v>
      </c>
      <c r="H647" s="103"/>
      <c r="I647" s="103"/>
      <c r="J647" s="103"/>
      <c r="K647" s="103"/>
      <c r="L647" s="103"/>
      <c r="M647" s="104"/>
      <c r="N647" s="104"/>
      <c r="O647" s="104"/>
      <c r="P647" s="104"/>
      <c r="Q647" s="104"/>
      <c r="R647" s="104"/>
      <c r="S647" s="104"/>
      <c r="T647" s="104"/>
      <c r="U647" s="104"/>
      <c r="V647" s="104"/>
      <c r="W647" s="104"/>
      <c r="X647" s="104"/>
      <c r="Y647" s="104"/>
      <c r="Z647" s="104"/>
    </row>
    <row r="648">
      <c r="A648" s="103" t="s">
        <v>1283</v>
      </c>
      <c r="B648" s="103"/>
      <c r="C648" s="103"/>
      <c r="D648" s="102">
        <v>1.0</v>
      </c>
      <c r="E648" s="102">
        <v>1.0</v>
      </c>
      <c r="F648" s="102">
        <v>1.0</v>
      </c>
      <c r="G648" s="102">
        <v>1.0</v>
      </c>
      <c r="H648" s="103"/>
      <c r="I648" s="103"/>
      <c r="J648" s="103"/>
      <c r="K648" s="103"/>
      <c r="L648" s="103"/>
      <c r="M648" s="104"/>
      <c r="N648" s="104"/>
      <c r="O648" s="104"/>
      <c r="P648" s="104"/>
      <c r="Q648" s="104"/>
      <c r="R648" s="104"/>
      <c r="S648" s="104"/>
      <c r="T648" s="104"/>
      <c r="U648" s="104"/>
      <c r="V648" s="104"/>
      <c r="W648" s="104"/>
      <c r="X648" s="104"/>
      <c r="Y648" s="104"/>
      <c r="Z648" s="104"/>
    </row>
    <row r="649">
      <c r="A649" s="103" t="s">
        <v>950</v>
      </c>
      <c r="B649" s="103"/>
      <c r="C649" s="103"/>
      <c r="D649" s="102">
        <v>1.0</v>
      </c>
      <c r="E649" s="102">
        <v>1.0</v>
      </c>
      <c r="F649" s="102">
        <v>1.0</v>
      </c>
      <c r="G649" s="102">
        <v>1.0</v>
      </c>
      <c r="H649" s="103"/>
      <c r="I649" s="103"/>
      <c r="J649" s="103"/>
      <c r="K649" s="103"/>
      <c r="L649" s="103"/>
      <c r="M649" s="104"/>
      <c r="N649" s="104"/>
      <c r="O649" s="104"/>
      <c r="P649" s="104"/>
      <c r="Q649" s="104"/>
      <c r="R649" s="104"/>
      <c r="S649" s="104"/>
      <c r="T649" s="104"/>
      <c r="U649" s="104"/>
      <c r="V649" s="104"/>
      <c r="W649" s="104"/>
      <c r="X649" s="104"/>
      <c r="Y649" s="104"/>
      <c r="Z649" s="104"/>
    </row>
    <row r="650">
      <c r="A650" s="103" t="s">
        <v>951</v>
      </c>
      <c r="B650" s="103"/>
      <c r="C650" s="103"/>
      <c r="D650" s="102">
        <v>1.0</v>
      </c>
      <c r="E650" s="102">
        <v>1.0</v>
      </c>
      <c r="F650" s="102">
        <v>1.0</v>
      </c>
      <c r="G650" s="102">
        <v>1.0</v>
      </c>
      <c r="H650" s="103"/>
      <c r="I650" s="103"/>
      <c r="J650" s="103"/>
      <c r="K650" s="103"/>
      <c r="L650" s="103"/>
      <c r="M650" s="104"/>
      <c r="N650" s="104"/>
      <c r="O650" s="104"/>
      <c r="P650" s="104"/>
      <c r="Q650" s="104"/>
      <c r="R650" s="104"/>
      <c r="S650" s="104"/>
      <c r="T650" s="104"/>
      <c r="U650" s="104"/>
      <c r="V650" s="104"/>
      <c r="W650" s="104"/>
      <c r="X650" s="104"/>
      <c r="Y650" s="104"/>
      <c r="Z650" s="104"/>
    </row>
    <row r="651">
      <c r="A651" s="103" t="s">
        <v>952</v>
      </c>
      <c r="B651" s="103"/>
      <c r="C651" s="103"/>
      <c r="D651" s="102">
        <v>1.0</v>
      </c>
      <c r="E651" s="102">
        <v>1.0</v>
      </c>
      <c r="F651" s="102">
        <v>1.0</v>
      </c>
      <c r="G651" s="102">
        <v>1.0</v>
      </c>
      <c r="H651" s="103"/>
      <c r="I651" s="103"/>
      <c r="J651" s="103"/>
      <c r="K651" s="103"/>
      <c r="L651" s="103"/>
      <c r="M651" s="104"/>
      <c r="N651" s="104"/>
      <c r="O651" s="104"/>
      <c r="P651" s="104"/>
      <c r="Q651" s="104"/>
      <c r="R651" s="104"/>
      <c r="S651" s="104"/>
      <c r="T651" s="104"/>
      <c r="U651" s="104"/>
      <c r="V651" s="104"/>
      <c r="W651" s="104"/>
      <c r="X651" s="104"/>
      <c r="Y651" s="104"/>
      <c r="Z651" s="104"/>
    </row>
    <row r="652">
      <c r="A652" s="97" t="s">
        <v>1272</v>
      </c>
      <c r="B652" s="97"/>
      <c r="C652" s="97"/>
      <c r="D652" s="59" t="s">
        <v>1256</v>
      </c>
      <c r="E652" s="59" t="s">
        <v>1257</v>
      </c>
      <c r="F652" s="59" t="s">
        <v>1258</v>
      </c>
      <c r="G652" s="59" t="s">
        <v>1259</v>
      </c>
      <c r="H652" s="97"/>
      <c r="I652" s="97"/>
      <c r="J652" s="97"/>
      <c r="K652" s="97"/>
      <c r="L652" s="97"/>
    </row>
    <row r="653">
      <c r="A653" s="97" t="s">
        <v>1273</v>
      </c>
      <c r="B653" s="97" t="s">
        <v>1850</v>
      </c>
      <c r="C653" s="97" t="s">
        <v>1851</v>
      </c>
      <c r="D653" s="97" t="s">
        <v>1275</v>
      </c>
      <c r="E653" s="97" t="s">
        <v>1852</v>
      </c>
      <c r="F653" s="97" t="s">
        <v>1332</v>
      </c>
      <c r="G653" s="97" t="s">
        <v>1853</v>
      </c>
      <c r="H653" s="97" t="s">
        <v>1854</v>
      </c>
      <c r="I653" s="97" t="s">
        <v>1275</v>
      </c>
      <c r="J653" s="97" t="s">
        <v>1855</v>
      </c>
      <c r="K653" s="97" t="s">
        <v>1332</v>
      </c>
      <c r="L653" s="97" t="s">
        <v>1856</v>
      </c>
    </row>
    <row r="654">
      <c r="A654" s="97" t="s">
        <v>1281</v>
      </c>
      <c r="B654" s="97"/>
      <c r="C654" s="97"/>
      <c r="D654" s="107">
        <v>0.0</v>
      </c>
      <c r="E654" s="107">
        <v>1.0</v>
      </c>
      <c r="F654" s="107">
        <v>1.0</v>
      </c>
      <c r="G654" s="107">
        <v>0.0</v>
      </c>
      <c r="H654" s="97"/>
      <c r="I654" s="97"/>
      <c r="J654" s="97"/>
      <c r="K654" s="97"/>
      <c r="L654" s="97"/>
    </row>
    <row r="655">
      <c r="A655" s="97" t="s">
        <v>1282</v>
      </c>
      <c r="B655" s="97"/>
      <c r="C655" s="97"/>
      <c r="D655" s="107">
        <v>1.0</v>
      </c>
      <c r="E655" s="107">
        <v>1.0</v>
      </c>
      <c r="F655" s="107">
        <v>1.0</v>
      </c>
      <c r="G655" s="107">
        <v>1.0</v>
      </c>
      <c r="H655" s="97"/>
      <c r="I655" s="97"/>
      <c r="J655" s="97"/>
      <c r="K655" s="97"/>
      <c r="L655" s="97"/>
    </row>
    <row r="656">
      <c r="A656" s="97" t="s">
        <v>948</v>
      </c>
      <c r="B656" s="97"/>
      <c r="C656" s="97"/>
      <c r="D656" s="107">
        <v>0.0</v>
      </c>
      <c r="E656" s="107">
        <v>0.0</v>
      </c>
      <c r="F656" s="107">
        <v>0.0</v>
      </c>
      <c r="G656" s="107">
        <v>0.0</v>
      </c>
      <c r="H656" s="97"/>
      <c r="I656" s="97"/>
      <c r="J656" s="97"/>
      <c r="K656" s="97"/>
      <c r="L656" s="97"/>
    </row>
    <row r="657">
      <c r="A657" s="97" t="s">
        <v>1283</v>
      </c>
      <c r="B657" s="97"/>
      <c r="C657" s="97"/>
      <c r="D657" s="107">
        <v>1.0</v>
      </c>
      <c r="E657" s="107">
        <v>1.0</v>
      </c>
      <c r="F657" s="107">
        <v>1.0</v>
      </c>
      <c r="G657" s="107">
        <v>1.0</v>
      </c>
      <c r="H657" s="97"/>
      <c r="I657" s="97"/>
      <c r="J657" s="97"/>
      <c r="K657" s="97"/>
      <c r="L657" s="97"/>
    </row>
    <row r="658">
      <c r="A658" s="97" t="s">
        <v>950</v>
      </c>
      <c r="B658" s="97"/>
      <c r="C658" s="97"/>
      <c r="D658" s="107">
        <v>1.0</v>
      </c>
      <c r="E658" s="107">
        <v>1.0</v>
      </c>
      <c r="F658" s="107">
        <v>1.0</v>
      </c>
      <c r="G658" s="107">
        <v>0.0</v>
      </c>
      <c r="H658" s="97"/>
      <c r="I658" s="97"/>
      <c r="J658" s="97"/>
      <c r="K658" s="97"/>
      <c r="L658" s="97"/>
    </row>
    <row r="659">
      <c r="A659" s="97" t="s">
        <v>951</v>
      </c>
      <c r="B659" s="97"/>
      <c r="C659" s="97"/>
      <c r="D659" s="107">
        <v>1.0</v>
      </c>
      <c r="E659" s="107">
        <v>1.0</v>
      </c>
      <c r="F659" s="107">
        <v>1.0</v>
      </c>
      <c r="G659" s="107">
        <v>0.0</v>
      </c>
      <c r="H659" s="97"/>
      <c r="I659" s="97"/>
      <c r="J659" s="97"/>
      <c r="K659" s="97"/>
      <c r="L659" s="97"/>
    </row>
    <row r="660">
      <c r="A660" s="97" t="s">
        <v>952</v>
      </c>
      <c r="B660" s="97"/>
      <c r="C660" s="97"/>
      <c r="D660" s="107">
        <v>1.0</v>
      </c>
      <c r="E660" s="107">
        <v>1.0</v>
      </c>
      <c r="F660" s="107">
        <v>1.0</v>
      </c>
      <c r="G660" s="107">
        <v>1.0</v>
      </c>
      <c r="H660" s="97"/>
      <c r="I660" s="97"/>
      <c r="J660" s="97"/>
      <c r="K660" s="97"/>
      <c r="L660" s="97"/>
    </row>
    <row r="661">
      <c r="A661" s="97" t="s">
        <v>1284</v>
      </c>
      <c r="B661" s="97" t="s">
        <v>1850</v>
      </c>
      <c r="C661" s="97" t="s">
        <v>1857</v>
      </c>
      <c r="D661" s="97" t="s">
        <v>1858</v>
      </c>
      <c r="E661" s="97" t="s">
        <v>1859</v>
      </c>
      <c r="F661" s="97" t="s">
        <v>1332</v>
      </c>
      <c r="G661" s="97" t="s">
        <v>1860</v>
      </c>
      <c r="H661" s="97" t="s">
        <v>1256</v>
      </c>
      <c r="I661" s="97" t="s">
        <v>1861</v>
      </c>
      <c r="J661" s="97" t="s">
        <v>1862</v>
      </c>
      <c r="K661" s="97" t="s">
        <v>1332</v>
      </c>
      <c r="L661" s="97" t="s">
        <v>1002</v>
      </c>
    </row>
    <row r="662">
      <c r="A662" s="97" t="s">
        <v>1281</v>
      </c>
      <c r="B662" s="97"/>
      <c r="C662" s="97"/>
      <c r="D662" s="107">
        <v>1.0</v>
      </c>
      <c r="E662" s="107">
        <v>1.0</v>
      </c>
      <c r="F662" s="107">
        <v>1.0</v>
      </c>
      <c r="G662" s="107">
        <v>1.0</v>
      </c>
      <c r="H662" s="97"/>
      <c r="I662" s="97"/>
      <c r="J662" s="97"/>
      <c r="K662" s="97"/>
      <c r="L662" s="97"/>
    </row>
    <row r="663">
      <c r="A663" s="97" t="s">
        <v>1282</v>
      </c>
      <c r="B663" s="97"/>
      <c r="C663" s="97"/>
      <c r="D663" s="107">
        <v>1.0</v>
      </c>
      <c r="E663" s="107">
        <v>1.0</v>
      </c>
      <c r="F663" s="107">
        <v>1.0</v>
      </c>
      <c r="G663" s="107">
        <v>1.0</v>
      </c>
      <c r="H663" s="97"/>
      <c r="I663" s="97"/>
      <c r="J663" s="97"/>
      <c r="K663" s="97"/>
      <c r="L663" s="97"/>
    </row>
    <row r="664">
      <c r="A664" s="97" t="s">
        <v>948</v>
      </c>
      <c r="B664" s="97"/>
      <c r="C664" s="97"/>
      <c r="D664" s="107">
        <v>1.0</v>
      </c>
      <c r="E664" s="107">
        <v>0.0</v>
      </c>
      <c r="F664" s="107">
        <v>0.0</v>
      </c>
      <c r="G664" s="107">
        <v>1.0</v>
      </c>
      <c r="H664" s="97"/>
      <c r="I664" s="97"/>
      <c r="J664" s="97"/>
      <c r="K664" s="97"/>
      <c r="L664" s="97"/>
    </row>
    <row r="665">
      <c r="A665" s="97" t="s">
        <v>1283</v>
      </c>
      <c r="B665" s="97"/>
      <c r="C665" s="97"/>
      <c r="D665" s="107">
        <v>1.0</v>
      </c>
      <c r="E665" s="107">
        <v>1.0</v>
      </c>
      <c r="F665" s="107">
        <v>1.0</v>
      </c>
      <c r="G665" s="107">
        <v>1.0</v>
      </c>
      <c r="H665" s="97"/>
      <c r="I665" s="97"/>
      <c r="J665" s="97"/>
      <c r="K665" s="97"/>
      <c r="L665" s="97"/>
    </row>
    <row r="666">
      <c r="A666" s="97" t="s">
        <v>950</v>
      </c>
      <c r="B666" s="97"/>
      <c r="C666" s="97"/>
      <c r="D666" s="107">
        <v>1.0</v>
      </c>
      <c r="E666" s="107">
        <v>1.0</v>
      </c>
      <c r="F666" s="107">
        <v>1.0</v>
      </c>
      <c r="G666" s="107">
        <v>1.0</v>
      </c>
      <c r="H666" s="97"/>
      <c r="I666" s="97"/>
      <c r="J666" s="97"/>
      <c r="K666" s="97"/>
      <c r="L666" s="97"/>
    </row>
    <row r="667">
      <c r="A667" s="97" t="s">
        <v>951</v>
      </c>
      <c r="B667" s="97"/>
      <c r="C667" s="97"/>
      <c r="D667" s="107">
        <v>1.0</v>
      </c>
      <c r="E667" s="107">
        <v>1.0</v>
      </c>
      <c r="F667" s="107">
        <v>1.0</v>
      </c>
      <c r="G667" s="107">
        <v>1.0</v>
      </c>
      <c r="H667" s="97"/>
      <c r="I667" s="97"/>
      <c r="J667" s="97"/>
      <c r="K667" s="97"/>
      <c r="L667" s="97"/>
    </row>
    <row r="668">
      <c r="A668" s="97" t="s">
        <v>952</v>
      </c>
      <c r="B668" s="97"/>
      <c r="C668" s="97"/>
      <c r="D668" s="107">
        <v>1.0</v>
      </c>
      <c r="E668" s="107">
        <v>1.0</v>
      </c>
      <c r="F668" s="107">
        <v>1.0</v>
      </c>
      <c r="G668" s="107">
        <v>1.0</v>
      </c>
      <c r="H668" s="97"/>
      <c r="I668" s="97"/>
      <c r="J668" s="97"/>
      <c r="K668" s="97"/>
      <c r="L668" s="97"/>
    </row>
    <row r="669">
      <c r="A669" s="97" t="s">
        <v>1291</v>
      </c>
      <c r="B669" s="97" t="s">
        <v>1850</v>
      </c>
      <c r="C669" s="97" t="s">
        <v>1863</v>
      </c>
      <c r="D669" s="97" t="s">
        <v>1864</v>
      </c>
      <c r="E669" s="97" t="s">
        <v>1865</v>
      </c>
      <c r="F669" s="97" t="s">
        <v>1332</v>
      </c>
      <c r="G669" s="97" t="s">
        <v>1866</v>
      </c>
      <c r="H669" s="97" t="s">
        <v>1256</v>
      </c>
      <c r="I669" s="97" t="s">
        <v>1275</v>
      </c>
      <c r="J669" s="97" t="s">
        <v>1867</v>
      </c>
      <c r="K669" s="97" t="s">
        <v>1332</v>
      </c>
      <c r="L669" s="97" t="s">
        <v>1002</v>
      </c>
    </row>
    <row r="670">
      <c r="A670" s="97" t="s">
        <v>1281</v>
      </c>
      <c r="B670" s="97"/>
      <c r="C670" s="97"/>
      <c r="D670" s="107">
        <v>1.0</v>
      </c>
      <c r="E670" s="107">
        <v>1.0</v>
      </c>
      <c r="F670" s="107">
        <v>1.0</v>
      </c>
      <c r="G670" s="107">
        <v>1.0</v>
      </c>
      <c r="H670" s="97"/>
      <c r="I670" s="97"/>
      <c r="J670" s="97"/>
      <c r="K670" s="97"/>
      <c r="L670" s="97"/>
    </row>
    <row r="671">
      <c r="A671" s="97" t="s">
        <v>1282</v>
      </c>
      <c r="B671" s="97"/>
      <c r="C671" s="97"/>
      <c r="D671" s="107">
        <v>1.0</v>
      </c>
      <c r="E671" s="107">
        <v>1.0</v>
      </c>
      <c r="F671" s="107">
        <v>1.0</v>
      </c>
      <c r="G671" s="107">
        <v>1.0</v>
      </c>
      <c r="H671" s="97"/>
      <c r="I671" s="97"/>
      <c r="J671" s="97"/>
      <c r="K671" s="97"/>
      <c r="L671" s="97"/>
    </row>
    <row r="672">
      <c r="A672" s="97" t="s">
        <v>948</v>
      </c>
      <c r="B672" s="97"/>
      <c r="C672" s="97"/>
      <c r="D672" s="107">
        <v>1.0</v>
      </c>
      <c r="E672" s="107">
        <v>1.0</v>
      </c>
      <c r="F672" s="107">
        <v>0.0</v>
      </c>
      <c r="G672" s="107">
        <v>1.0</v>
      </c>
      <c r="H672" s="97"/>
      <c r="I672" s="97"/>
      <c r="J672" s="97"/>
      <c r="K672" s="97"/>
      <c r="L672" s="97"/>
    </row>
    <row r="673">
      <c r="A673" s="97" t="s">
        <v>1283</v>
      </c>
      <c r="B673" s="97"/>
      <c r="C673" s="97"/>
      <c r="D673" s="107">
        <v>1.0</v>
      </c>
      <c r="E673" s="107">
        <v>1.0</v>
      </c>
      <c r="F673" s="107">
        <v>1.0</v>
      </c>
      <c r="G673" s="107">
        <v>1.0</v>
      </c>
      <c r="H673" s="97"/>
      <c r="I673" s="97"/>
      <c r="J673" s="97"/>
      <c r="K673" s="97"/>
      <c r="L673" s="97"/>
    </row>
    <row r="674">
      <c r="A674" s="97" t="s">
        <v>950</v>
      </c>
      <c r="B674" s="97"/>
      <c r="C674" s="97"/>
      <c r="D674" s="107">
        <v>1.0</v>
      </c>
      <c r="E674" s="107">
        <v>1.0</v>
      </c>
      <c r="F674" s="107">
        <v>1.0</v>
      </c>
      <c r="G674" s="107">
        <v>1.0</v>
      </c>
      <c r="H674" s="97"/>
      <c r="I674" s="97"/>
      <c r="J674" s="97"/>
      <c r="K674" s="97"/>
      <c r="L674" s="97"/>
    </row>
    <row r="675">
      <c r="A675" s="97" t="s">
        <v>951</v>
      </c>
      <c r="B675" s="97"/>
      <c r="C675" s="97"/>
      <c r="D675" s="107">
        <v>1.0</v>
      </c>
      <c r="E675" s="107">
        <v>1.0</v>
      </c>
      <c r="F675" s="107">
        <v>1.0</v>
      </c>
      <c r="G675" s="107">
        <v>1.0</v>
      </c>
      <c r="H675" s="97"/>
      <c r="I675" s="97"/>
      <c r="J675" s="97"/>
      <c r="K675" s="97"/>
      <c r="L675" s="97"/>
    </row>
    <row r="676">
      <c r="A676" s="97" t="s">
        <v>952</v>
      </c>
      <c r="B676" s="97"/>
      <c r="C676" s="97"/>
      <c r="D676" s="107">
        <v>1.0</v>
      </c>
      <c r="E676" s="107">
        <v>1.0</v>
      </c>
      <c r="F676" s="107">
        <v>1.0</v>
      </c>
      <c r="G676" s="107">
        <v>1.0</v>
      </c>
      <c r="H676" s="97"/>
      <c r="I676" s="97"/>
      <c r="J676" s="97"/>
      <c r="K676" s="97"/>
      <c r="L676" s="97"/>
    </row>
    <row r="682">
      <c r="A682" s="97" t="s">
        <v>1273</v>
      </c>
      <c r="D682" s="97" t="s">
        <v>1263</v>
      </c>
      <c r="E682" s="97" t="s">
        <v>1264</v>
      </c>
      <c r="F682" s="97" t="s">
        <v>1265</v>
      </c>
      <c r="G682" s="97" t="s">
        <v>1266</v>
      </c>
      <c r="H682" s="15" t="s">
        <v>1868</v>
      </c>
    </row>
    <row r="683">
      <c r="A683" s="97" t="s">
        <v>1281</v>
      </c>
      <c r="D683" s="65">
        <f t="shared" ref="D683:G683" si="1">(D4+D29+D54+D79+D104+D129+D154+D179+D204+D229+D254+D279+D304+D329+D354+D379+D404+D429+D454+D479+D504+D529+D554+D579+D604+D629+D654)/27</f>
        <v>0.962962963</v>
      </c>
      <c r="E683" s="65">
        <f t="shared" si="1"/>
        <v>0.8888888889</v>
      </c>
      <c r="F683" s="65">
        <f t="shared" si="1"/>
        <v>0.7407407407</v>
      </c>
      <c r="G683" s="65">
        <f t="shared" si="1"/>
        <v>0.7037037037</v>
      </c>
      <c r="H683" s="65">
        <f t="shared" ref="H683:H689" si="3">AVERAGE(D683:G683)</f>
        <v>0.8240740741</v>
      </c>
      <c r="L683" s="15" t="s">
        <v>1869</v>
      </c>
      <c r="M683" s="15" t="s">
        <v>977</v>
      </c>
      <c r="N683" s="15" t="s">
        <v>1870</v>
      </c>
      <c r="P683" s="15" t="s">
        <v>1869</v>
      </c>
      <c r="Q683" s="15" t="s">
        <v>977</v>
      </c>
      <c r="R683" s="15" t="s">
        <v>1870</v>
      </c>
    </row>
    <row r="684">
      <c r="A684" s="97" t="s">
        <v>1282</v>
      </c>
      <c r="D684" s="65">
        <f t="shared" ref="D684:G684" si="2">(D5+D30+D55+D80+D105+D130+D155+D180+D205+D230+D255+D280+D305+D330+D355+D380+D405+D430+D455+D480+D505+D530+D555+D580+D605+D630+D655)/27</f>
        <v>1</v>
      </c>
      <c r="E684" s="65">
        <f t="shared" si="2"/>
        <v>0.962962963</v>
      </c>
      <c r="F684" s="65">
        <f t="shared" si="2"/>
        <v>0.8148148148</v>
      </c>
      <c r="G684" s="65">
        <f t="shared" si="2"/>
        <v>0.7407407407</v>
      </c>
      <c r="H684" s="65">
        <f t="shared" si="3"/>
        <v>0.8796296296</v>
      </c>
      <c r="K684" s="97" t="s">
        <v>1281</v>
      </c>
      <c r="L684" s="65">
        <f t="shared" ref="L684:L690" si="5">H691</f>
        <v>0.9166666667</v>
      </c>
      <c r="M684" s="65">
        <f t="shared" ref="M684:M691" si="6">H683</f>
        <v>0.8240740741</v>
      </c>
      <c r="N684" s="65">
        <f t="shared" ref="N684:N690" si="7">H699</f>
        <v>0.9259259259</v>
      </c>
      <c r="P684" s="65">
        <f>'review 2 - annotator 2 - eval'!H691</f>
        <v>0.8981481481</v>
      </c>
      <c r="Q684" s="65">
        <f>'review 2 - annotator 2 - eval'!H683</f>
        <v>0.787037037</v>
      </c>
      <c r="R684" s="65">
        <f>'review 2 - annotator 2 - eval'!H699</f>
        <v>0.8888888889</v>
      </c>
    </row>
    <row r="685">
      <c r="A685" s="97" t="s">
        <v>948</v>
      </c>
      <c r="D685" s="65">
        <f t="shared" ref="D685:G685" si="4">(D6+D31+D56+D81+D106+D131+D156+D181+D206+D231+D256+D281+D306+D331+D356+D381+D406+D431+D456+D481+D506+D531+D556+D581+D606+D631+D656)/27</f>
        <v>0.8518518519</v>
      </c>
      <c r="E685" s="65">
        <f t="shared" si="4"/>
        <v>0.7777777778</v>
      </c>
      <c r="F685" s="65">
        <f t="shared" si="4"/>
        <v>0.5555555556</v>
      </c>
      <c r="G685" s="65">
        <f t="shared" si="4"/>
        <v>0.7407407407</v>
      </c>
      <c r="H685" s="65">
        <f t="shared" si="3"/>
        <v>0.7314814815</v>
      </c>
      <c r="K685" s="97" t="s">
        <v>1282</v>
      </c>
      <c r="L685" s="65">
        <f t="shared" si="5"/>
        <v>0.9351851852</v>
      </c>
      <c r="M685" s="65">
        <f t="shared" si="6"/>
        <v>0.8796296296</v>
      </c>
      <c r="N685" s="65">
        <f t="shared" si="7"/>
        <v>0.9351851852</v>
      </c>
      <c r="P685" s="65">
        <f>'review 2 - annotator 2 - eval'!H692</f>
        <v>0.8796296296</v>
      </c>
      <c r="Q685" s="65">
        <f>'review 2 - annotator 2 - eval'!H684</f>
        <v>0.7777777778</v>
      </c>
      <c r="R685" s="65">
        <f>'review 2 - annotator 2 - eval'!H700</f>
        <v>0.8796296296</v>
      </c>
    </row>
    <row r="686">
      <c r="A686" s="97" t="s">
        <v>1283</v>
      </c>
      <c r="D686" s="65">
        <f t="shared" ref="D686:G686" si="8">(D7+D32+D57+D82+D107+D132+D157+D182+D207+D232+D257+D282+D307+D332+D357+D382+D407+D432+D457+D482+D507+D532+D557+D582+D607+D632+D657)/27</f>
        <v>1</v>
      </c>
      <c r="E686" s="65">
        <f t="shared" si="8"/>
        <v>1</v>
      </c>
      <c r="F686" s="65">
        <f t="shared" si="8"/>
        <v>1</v>
      </c>
      <c r="G686" s="65">
        <f t="shared" si="8"/>
        <v>1</v>
      </c>
      <c r="H686" s="65">
        <f t="shared" si="3"/>
        <v>1</v>
      </c>
      <c r="K686" s="97" t="s">
        <v>948</v>
      </c>
      <c r="L686" s="65">
        <f t="shared" si="5"/>
        <v>0.7222222222</v>
      </c>
      <c r="M686" s="65">
        <f t="shared" si="6"/>
        <v>0.7314814815</v>
      </c>
      <c r="N686" s="65">
        <f t="shared" si="7"/>
        <v>0.8611111111</v>
      </c>
      <c r="P686" s="65">
        <f>'review 2 - annotator 2 - eval'!H693</f>
        <v>0.787037037</v>
      </c>
      <c r="Q686" s="65">
        <f>'review 2 - annotator 2 - eval'!H685</f>
        <v>0.7592592593</v>
      </c>
      <c r="R686" s="65">
        <f>'review 2 - annotator 2 - eval'!H701</f>
        <v>0.8240740741</v>
      </c>
    </row>
    <row r="687">
      <c r="A687" s="97" t="s">
        <v>950</v>
      </c>
      <c r="D687" s="65">
        <f t="shared" ref="D687:G687" si="9">(D8+D33+D58+D83+D108+D133+D158+D183+D208+D233+D258+D283+D308+D333+D358+D383+D408+D433+D458+D483+D508+D533+D558+D583+D608+D633+D658)/27</f>
        <v>0.962962963</v>
      </c>
      <c r="E687" s="65">
        <f t="shared" si="9"/>
        <v>0.9259259259</v>
      </c>
      <c r="F687" s="65">
        <f t="shared" si="9"/>
        <v>1</v>
      </c>
      <c r="G687" s="65">
        <f t="shared" si="9"/>
        <v>0.6296296296</v>
      </c>
      <c r="H687" s="65">
        <f t="shared" si="3"/>
        <v>0.8796296296</v>
      </c>
      <c r="K687" s="97" t="s">
        <v>1283</v>
      </c>
      <c r="L687" s="65">
        <f t="shared" si="5"/>
        <v>1</v>
      </c>
      <c r="M687" s="65">
        <f t="shared" si="6"/>
        <v>1</v>
      </c>
      <c r="N687" s="65">
        <f t="shared" si="7"/>
        <v>1</v>
      </c>
      <c r="P687" s="65">
        <f>'review 2 - annotator 2 - eval'!H694</f>
        <v>1</v>
      </c>
      <c r="Q687" s="65">
        <f>'review 2 - annotator 2 - eval'!H686</f>
        <v>1</v>
      </c>
      <c r="R687" s="65">
        <f>'review 2 - annotator 2 - eval'!H702</f>
        <v>1</v>
      </c>
    </row>
    <row r="688">
      <c r="A688" s="97" t="s">
        <v>951</v>
      </c>
      <c r="D688" s="65">
        <f t="shared" ref="D688:G688" si="10">(D9+D34+D59+D84+D109+D134+D159+D184+D209+D234+D259+D284+D309+D334+D359+D384+D409+D434+D459+D484+D509+D534+D559+D584+D609+D634+D659)/27</f>
        <v>1</v>
      </c>
      <c r="E688" s="65">
        <f t="shared" si="10"/>
        <v>0.962962963</v>
      </c>
      <c r="F688" s="65">
        <f t="shared" si="10"/>
        <v>0.7777777778</v>
      </c>
      <c r="G688" s="65">
        <f t="shared" si="10"/>
        <v>0.7407407407</v>
      </c>
      <c r="H688" s="65">
        <f t="shared" si="3"/>
        <v>0.8703703704</v>
      </c>
      <c r="K688" s="97" t="s">
        <v>950</v>
      </c>
      <c r="L688" s="65">
        <f t="shared" si="5"/>
        <v>0.8703703704</v>
      </c>
      <c r="M688" s="65">
        <f t="shared" si="6"/>
        <v>0.8796296296</v>
      </c>
      <c r="N688" s="65">
        <f t="shared" si="7"/>
        <v>0.9537037037</v>
      </c>
      <c r="P688" s="65">
        <f>'review 2 - annotator 2 - eval'!H695</f>
        <v>0.8333333333</v>
      </c>
      <c r="Q688" s="65">
        <f>'review 2 - annotator 2 - eval'!H687</f>
        <v>0.7314814815</v>
      </c>
      <c r="R688" s="65">
        <f>'review 2 - annotator 2 - eval'!H703</f>
        <v>0.8240740741</v>
      </c>
    </row>
    <row r="689">
      <c r="A689" s="97" t="s">
        <v>952</v>
      </c>
      <c r="D689" s="65">
        <f t="shared" ref="D689:G689" si="11">(D10+D35+D60+D85+D110+D135+D160+D185+D210+D235+D260+D285+D310+D335+D360+D385+D410+D435+D460+D485+D510+D535+D560+D585+D610+D635+D660)/27</f>
        <v>1</v>
      </c>
      <c r="E689" s="65">
        <f t="shared" si="11"/>
        <v>1</v>
      </c>
      <c r="F689" s="65">
        <f t="shared" si="11"/>
        <v>1</v>
      </c>
      <c r="G689" s="65">
        <f t="shared" si="11"/>
        <v>1</v>
      </c>
      <c r="H689" s="65">
        <f t="shared" si="3"/>
        <v>1</v>
      </c>
      <c r="I689" s="65">
        <f>average(H683:H689)</f>
        <v>0.8835978836</v>
      </c>
      <c r="K689" s="97" t="s">
        <v>951</v>
      </c>
      <c r="L689" s="65">
        <f t="shared" si="5"/>
        <v>0.9351851852</v>
      </c>
      <c r="M689" s="65">
        <f t="shared" si="6"/>
        <v>0.8703703704</v>
      </c>
      <c r="N689" s="65">
        <f t="shared" si="7"/>
        <v>0.9444444444</v>
      </c>
      <c r="P689" s="65">
        <f>'review 2 - annotator 2 - eval'!H696</f>
        <v>0.8888888889</v>
      </c>
      <c r="Q689" s="65">
        <f>'review 2 - annotator 2 - eval'!H688</f>
        <v>0.7962962963</v>
      </c>
      <c r="R689" s="65">
        <f>'review 2 - annotator 2 - eval'!H704</f>
        <v>0.8981481481</v>
      </c>
    </row>
    <row r="690">
      <c r="A690" s="97" t="s">
        <v>1284</v>
      </c>
      <c r="D690" s="97" t="s">
        <v>1263</v>
      </c>
      <c r="E690" s="97" t="s">
        <v>1264</v>
      </c>
      <c r="F690" s="97" t="s">
        <v>1265</v>
      </c>
      <c r="G690" s="97" t="s">
        <v>1266</v>
      </c>
      <c r="H690" s="15" t="s">
        <v>1868</v>
      </c>
      <c r="K690" s="97" t="s">
        <v>952</v>
      </c>
      <c r="L690" s="65">
        <f t="shared" si="5"/>
        <v>1</v>
      </c>
      <c r="M690" s="65">
        <f t="shared" si="6"/>
        <v>1</v>
      </c>
      <c r="N690" s="65">
        <f t="shared" si="7"/>
        <v>1</v>
      </c>
      <c r="P690" s="65">
        <f>'review 2 - annotator 2 - eval'!H697</f>
        <v>1</v>
      </c>
      <c r="Q690" s="65">
        <f>'review 2 - annotator 2 - eval'!H689</f>
        <v>1</v>
      </c>
      <c r="R690" s="65">
        <f>'review 2 - annotator 2 - eval'!H705</f>
        <v>1</v>
      </c>
    </row>
    <row r="691">
      <c r="A691" s="97" t="s">
        <v>1281</v>
      </c>
      <c r="D691" s="65">
        <f t="shared" ref="D691:G691" si="12">(D12+D37+D62+D87+D112+D137+D162+D187+D212+D237+D262+D287+D312+D337+D362+D387+D412+D437+D462+D487+D512+D537+D562+D587+D612+D637+D662)/27</f>
        <v>1</v>
      </c>
      <c r="E691" s="65">
        <f t="shared" si="12"/>
        <v>0.9259259259</v>
      </c>
      <c r="F691" s="65">
        <f t="shared" si="12"/>
        <v>0.8518518519</v>
      </c>
      <c r="G691" s="65">
        <f t="shared" si="12"/>
        <v>0.8888888889</v>
      </c>
      <c r="H691" s="65">
        <f t="shared" ref="H691:H697" si="14">AVERAGE(D691:G691)</f>
        <v>0.9166666667</v>
      </c>
      <c r="J691" s="65">
        <f>(H691+'review 2 - annotator 2 - eval'!H691)/2</f>
        <v>0.9074074074</v>
      </c>
      <c r="M691" s="65" t="str">
        <f t="shared" si="6"/>
        <v>AVG all FULL ANSWER</v>
      </c>
    </row>
    <row r="692">
      <c r="A692" s="97" t="s">
        <v>1282</v>
      </c>
      <c r="D692" s="65">
        <f t="shared" ref="D692:G692" si="13">(D13+D38+D63+D88+D113+D138+D163+D188+D213+D238+D263+D288+D313+D338+D363+D388+D413+D438+D463+D488+D513+D538+D563+D588+D613+D638+D663)/27</f>
        <v>1</v>
      </c>
      <c r="E692" s="65">
        <f t="shared" si="13"/>
        <v>0.962962963</v>
      </c>
      <c r="F692" s="65">
        <f t="shared" si="13"/>
        <v>0.8888888889</v>
      </c>
      <c r="G692" s="65">
        <f t="shared" si="13"/>
        <v>0.8888888889</v>
      </c>
      <c r="H692" s="65">
        <f t="shared" si="14"/>
        <v>0.9351851852</v>
      </c>
    </row>
    <row r="693">
      <c r="A693" s="97" t="s">
        <v>948</v>
      </c>
      <c r="D693" s="65">
        <f t="shared" ref="D693:G693" si="15">(D14+D39+D64+D89+D114+D139+D164+D189+D214+D239+D264+D289+D314+D339+D364+D389+D414+D439+D464+D489+D514+D539+D564+D589+D614+D639+D664)/27</f>
        <v>0.9259259259</v>
      </c>
      <c r="E693" s="65">
        <f t="shared" si="15"/>
        <v>0.6296296296</v>
      </c>
      <c r="F693" s="65">
        <f t="shared" si="15"/>
        <v>0.4444444444</v>
      </c>
      <c r="G693" s="65">
        <f t="shared" si="15"/>
        <v>0.8888888889</v>
      </c>
      <c r="H693" s="65">
        <f t="shared" si="14"/>
        <v>0.7222222222</v>
      </c>
    </row>
    <row r="694">
      <c r="A694" s="97" t="s">
        <v>1283</v>
      </c>
      <c r="D694" s="65">
        <f t="shared" ref="D694:G694" si="16">(D15+D40+D65+D90+D115+D140+D165+D190+D215+D240+D265+D290+D315+D340+D365+D390+D415+D440+D465+D490+D515+D540+D565+D590+D615+D640+D665)/27</f>
        <v>1</v>
      </c>
      <c r="E694" s="65">
        <f t="shared" si="16"/>
        <v>1</v>
      </c>
      <c r="F694" s="65">
        <f t="shared" si="16"/>
        <v>1</v>
      </c>
      <c r="G694" s="65">
        <f t="shared" si="16"/>
        <v>1</v>
      </c>
      <c r="H694" s="65">
        <f t="shared" si="14"/>
        <v>1</v>
      </c>
    </row>
    <row r="695">
      <c r="A695" s="97" t="s">
        <v>950</v>
      </c>
      <c r="D695" s="65">
        <f t="shared" ref="D695:G695" si="17">(D16+D41+D66+D91+D116+D141+D166+D191+D216+D241+D266+D291+D316+D341+D366+D391+D416+D441+D466+D491+D516+D541+D566+D591+D616+D641+D666)/27</f>
        <v>0.8148148148</v>
      </c>
      <c r="E695" s="65">
        <f t="shared" si="17"/>
        <v>0.8518518519</v>
      </c>
      <c r="F695" s="65">
        <f t="shared" si="17"/>
        <v>1</v>
      </c>
      <c r="G695" s="65">
        <f t="shared" si="17"/>
        <v>0.8148148148</v>
      </c>
      <c r="H695" s="65">
        <f t="shared" si="14"/>
        <v>0.8703703704</v>
      </c>
    </row>
    <row r="696">
      <c r="A696" s="97" t="s">
        <v>951</v>
      </c>
      <c r="D696" s="65">
        <f t="shared" ref="D696:G696" si="18">(D17+D42+D67+D92+D117+D142+D167+D192+D217+D242+D267+D292+D317+D342+D367+D392+D417+D442+D467+D492+D517+D542+D567+D592+D617+D642+D667)/27</f>
        <v>1</v>
      </c>
      <c r="E696" s="65">
        <f t="shared" si="18"/>
        <v>0.962962963</v>
      </c>
      <c r="F696" s="65">
        <f t="shared" si="18"/>
        <v>0.8888888889</v>
      </c>
      <c r="G696" s="65">
        <f t="shared" si="18"/>
        <v>0.8888888889</v>
      </c>
      <c r="H696" s="65">
        <f t="shared" si="14"/>
        <v>0.9351851852</v>
      </c>
      <c r="K696" s="97" t="s">
        <v>1281</v>
      </c>
      <c r="L696" s="65">
        <f t="shared" ref="L696:N696" si="19">(L684+P684)/2</f>
        <v>0.9074074074</v>
      </c>
      <c r="M696" s="65">
        <f t="shared" si="19"/>
        <v>0.8055555556</v>
      </c>
      <c r="N696" s="65">
        <f t="shared" si="19"/>
        <v>0.9074074074</v>
      </c>
    </row>
    <row r="697">
      <c r="A697" s="97" t="s">
        <v>952</v>
      </c>
      <c r="D697" s="65">
        <f t="shared" ref="D697:G697" si="20">(D18+D43+D68+D93+D118+D143+D168+D193+D218+D243+D268+D293+D318+D343+D368+D393+D418+D443+D468+D493+D518+D543+D568+D593+D618+D643+D668)/27</f>
        <v>1</v>
      </c>
      <c r="E697" s="65">
        <f t="shared" si="20"/>
        <v>1</v>
      </c>
      <c r="F697" s="65">
        <f t="shared" si="20"/>
        <v>1</v>
      </c>
      <c r="G697" s="65">
        <f t="shared" si="20"/>
        <v>1</v>
      </c>
      <c r="H697" s="65">
        <f t="shared" si="14"/>
        <v>1</v>
      </c>
      <c r="I697" s="65">
        <f>AVERAGE(H691:H697)</f>
        <v>0.9113756614</v>
      </c>
      <c r="K697" s="97" t="s">
        <v>1282</v>
      </c>
      <c r="L697" s="65">
        <f t="shared" ref="L697:N697" si="21">(L685+P685)/2</f>
        <v>0.9074074074</v>
      </c>
      <c r="M697" s="65">
        <f t="shared" si="21"/>
        <v>0.8287037037</v>
      </c>
      <c r="N697" s="65">
        <f t="shared" si="21"/>
        <v>0.9074074074</v>
      </c>
    </row>
    <row r="698">
      <c r="A698" s="97" t="s">
        <v>1291</v>
      </c>
      <c r="D698" s="97" t="s">
        <v>1263</v>
      </c>
      <c r="E698" s="97" t="s">
        <v>1264</v>
      </c>
      <c r="F698" s="97" t="s">
        <v>1265</v>
      </c>
      <c r="G698" s="97" t="s">
        <v>1266</v>
      </c>
      <c r="H698" s="15" t="s">
        <v>1868</v>
      </c>
      <c r="K698" s="97" t="s">
        <v>948</v>
      </c>
      <c r="L698" s="65">
        <f t="shared" ref="L698:N698" si="22">(L686+P686)/2</f>
        <v>0.7546296296</v>
      </c>
      <c r="M698" s="65">
        <f t="shared" si="22"/>
        <v>0.7453703704</v>
      </c>
      <c r="N698" s="65">
        <f t="shared" si="22"/>
        <v>0.8425925926</v>
      </c>
    </row>
    <row r="699">
      <c r="A699" s="97" t="s">
        <v>1281</v>
      </c>
      <c r="D699" s="65">
        <f t="shared" ref="D699:G699" si="23">(D20+D45+D70+D95+D120+D145+D170+D195+D220+D245+D270+D295+D320+D345+D370+D395+D420+D445+D470+D495+D520+D545+D570+D595+D620+D645+D670)/27</f>
        <v>0.962962963</v>
      </c>
      <c r="E699" s="65">
        <f t="shared" si="23"/>
        <v>0.962962963</v>
      </c>
      <c r="F699" s="65">
        <f t="shared" si="23"/>
        <v>0.9259259259</v>
      </c>
      <c r="G699" s="65">
        <f t="shared" si="23"/>
        <v>0.8518518519</v>
      </c>
      <c r="H699" s="65">
        <f t="shared" ref="H699:H705" si="26">AVERAGE(D699:G699)</f>
        <v>0.9259259259</v>
      </c>
      <c r="J699" s="65">
        <f>(H699+'review 2 - annotator 2 - eval'!H699)/2</f>
        <v>0.9074074074</v>
      </c>
      <c r="K699" s="97" t="s">
        <v>1283</v>
      </c>
      <c r="L699" s="65">
        <f t="shared" ref="L699:N699" si="24">(L687+P687)/2</f>
        <v>1</v>
      </c>
      <c r="M699" s="65">
        <f t="shared" si="24"/>
        <v>1</v>
      </c>
      <c r="N699" s="65">
        <f t="shared" si="24"/>
        <v>1</v>
      </c>
    </row>
    <row r="700">
      <c r="A700" s="97" t="s">
        <v>1282</v>
      </c>
      <c r="D700" s="65">
        <f t="shared" ref="D700:G700" si="25">(D21+D46+D71+D96+D121+D146+D171+D196+D221+D246+D271+D296+D321+D346+D371+D396+D421+D446+D471+D496+D521+D546+D571+D596+D621+D646+D671)/27</f>
        <v>0.962962963</v>
      </c>
      <c r="E700" s="65">
        <f t="shared" si="25"/>
        <v>0.962962963</v>
      </c>
      <c r="F700" s="65">
        <f t="shared" si="25"/>
        <v>0.9259259259</v>
      </c>
      <c r="G700" s="65">
        <f t="shared" si="25"/>
        <v>0.8888888889</v>
      </c>
      <c r="H700" s="65">
        <f t="shared" si="26"/>
        <v>0.9351851852</v>
      </c>
      <c r="K700" s="97" t="s">
        <v>950</v>
      </c>
      <c r="L700" s="65">
        <f t="shared" ref="L700:N700" si="27">(L688+P688)/2</f>
        <v>0.8518518519</v>
      </c>
      <c r="M700" s="65">
        <f t="shared" si="27"/>
        <v>0.8055555556</v>
      </c>
      <c r="N700" s="65">
        <f t="shared" si="27"/>
        <v>0.8888888889</v>
      </c>
    </row>
    <row r="701">
      <c r="A701" s="97" t="s">
        <v>948</v>
      </c>
      <c r="D701" s="65">
        <f t="shared" ref="D701:G701" si="28">(D22+D47+D72+D97+D122+D147+D172+D197+D222+D247+D272+D297+D322+D347+D372+D397+D422+D447+D472+D497+D522+D547+D572+D597+D622+D647+D672)/27</f>
        <v>0.8888888889</v>
      </c>
      <c r="E701" s="65">
        <f t="shared" si="28"/>
        <v>0.8888888889</v>
      </c>
      <c r="F701" s="65">
        <f t="shared" si="28"/>
        <v>0.7407407407</v>
      </c>
      <c r="G701" s="65">
        <f t="shared" si="28"/>
        <v>0.9259259259</v>
      </c>
      <c r="H701" s="65">
        <f t="shared" si="26"/>
        <v>0.8611111111</v>
      </c>
      <c r="K701" s="97" t="s">
        <v>951</v>
      </c>
      <c r="L701" s="65">
        <f t="shared" ref="L701:N701" si="29">(L689+P689)/2</f>
        <v>0.912037037</v>
      </c>
      <c r="M701" s="65">
        <f t="shared" si="29"/>
        <v>0.8333333333</v>
      </c>
      <c r="N701" s="65">
        <f t="shared" si="29"/>
        <v>0.9212962963</v>
      </c>
    </row>
    <row r="702">
      <c r="A702" s="97" t="s">
        <v>1283</v>
      </c>
      <c r="D702" s="65">
        <f t="shared" ref="D702:G702" si="30">(D23+D48+D73+D98+D123+D148+D173+D198+D223+D248+D273+D298+D323+D348+D373+D398+D423+D448+D473+D498+D523+D548+D573+D598+D623+D648+D673)/27</f>
        <v>1</v>
      </c>
      <c r="E702" s="65">
        <f t="shared" si="30"/>
        <v>1</v>
      </c>
      <c r="F702" s="65">
        <f t="shared" si="30"/>
        <v>1</v>
      </c>
      <c r="G702" s="65">
        <f t="shared" si="30"/>
        <v>1</v>
      </c>
      <c r="H702" s="65">
        <f t="shared" si="26"/>
        <v>1</v>
      </c>
      <c r="K702" s="97" t="s">
        <v>952</v>
      </c>
      <c r="L702" s="65">
        <f t="shared" ref="L702:N702" si="31">(L690+P690)/2</f>
        <v>1</v>
      </c>
      <c r="M702" s="65">
        <f t="shared" si="31"/>
        <v>1</v>
      </c>
      <c r="N702" s="65">
        <f t="shared" si="31"/>
        <v>1</v>
      </c>
    </row>
    <row r="703">
      <c r="A703" s="97" t="s">
        <v>950</v>
      </c>
      <c r="D703" s="65">
        <f t="shared" ref="D703:G703" si="32">(D24+D49+D74+D99+D124+D149+D174+D199+D224+D249+D274+D299+D324+D349+D374+D399+D424+D449+D474+D499+D524+D549+D574+D599+D624+D649+D674)/27</f>
        <v>1</v>
      </c>
      <c r="E703" s="65">
        <f t="shared" si="32"/>
        <v>1</v>
      </c>
      <c r="F703" s="65">
        <f t="shared" si="32"/>
        <v>1</v>
      </c>
      <c r="G703" s="65">
        <f t="shared" si="32"/>
        <v>0.8148148148</v>
      </c>
      <c r="H703" s="65">
        <f t="shared" si="26"/>
        <v>0.9537037037</v>
      </c>
    </row>
    <row r="704">
      <c r="A704" s="97" t="s">
        <v>951</v>
      </c>
      <c r="D704" s="65">
        <f t="shared" ref="D704:G704" si="33">(D25+D50+D75+D100+D125+D150+D175+D200+D225+D250+D275+D300+D325+D350+D375+D400+D425+D450+D475+D500+D525+D550+D575+D600+D625+D650+D675)/27</f>
        <v>0.962962963</v>
      </c>
      <c r="E704" s="65">
        <f t="shared" si="33"/>
        <v>0.962962963</v>
      </c>
      <c r="F704" s="65">
        <f t="shared" si="33"/>
        <v>0.962962963</v>
      </c>
      <c r="G704" s="65">
        <f t="shared" si="33"/>
        <v>0.8888888889</v>
      </c>
      <c r="H704" s="65">
        <f t="shared" si="26"/>
        <v>0.9444444444</v>
      </c>
    </row>
    <row r="705">
      <c r="A705" s="97" t="s">
        <v>952</v>
      </c>
      <c r="D705" s="65">
        <f t="shared" ref="D705:G705" si="34">(D26+D51+D76+D101+D126+D151+D176+D201+D226+D251+D276+D301+D326+D351+D376+D401+D426+D451+D476+D501+D526+D551+D576+D601+D626+D651+D676)/27</f>
        <v>1</v>
      </c>
      <c r="E705" s="65">
        <f t="shared" si="34"/>
        <v>1</v>
      </c>
      <c r="F705" s="65">
        <f t="shared" si="34"/>
        <v>1</v>
      </c>
      <c r="G705" s="65">
        <f t="shared" si="34"/>
        <v>1</v>
      </c>
      <c r="H705" s="65">
        <f t="shared" si="26"/>
        <v>1</v>
      </c>
      <c r="I705" s="65">
        <f>AVERAGE(H699:H705)</f>
        <v>0.9457671958</v>
      </c>
    </row>
    <row r="723">
      <c r="G723" s="15" t="s">
        <v>1871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28.88"/>
    <col customWidth="1" min="3" max="3" width="35.5"/>
    <col customWidth="1" min="4" max="4" width="30.5"/>
    <col customWidth="1" min="5" max="5" width="37.13"/>
    <col customWidth="1" min="6" max="6" width="31.0"/>
    <col customWidth="1" min="7" max="7" width="31.38"/>
  </cols>
  <sheetData>
    <row r="1">
      <c r="A1" s="5" t="s">
        <v>0</v>
      </c>
      <c r="B1" s="2"/>
      <c r="C1" s="2"/>
      <c r="D1" s="2"/>
      <c r="E1" s="2"/>
      <c r="F1" s="2"/>
      <c r="G1" s="2"/>
    </row>
    <row r="2" ht="17.25" customHeight="1">
      <c r="A2" s="5" t="s">
        <v>1</v>
      </c>
      <c r="B2" s="2"/>
      <c r="C2" s="2"/>
      <c r="D2" s="2"/>
      <c r="E2" s="2"/>
      <c r="F2" s="2"/>
      <c r="G2" s="2"/>
    </row>
    <row r="3">
      <c r="A3" s="59" t="s">
        <v>984</v>
      </c>
      <c r="B3" s="59" t="s">
        <v>3</v>
      </c>
      <c r="C3" s="59" t="s">
        <v>985</v>
      </c>
      <c r="D3" s="59" t="s">
        <v>986</v>
      </c>
      <c r="E3" s="59" t="s">
        <v>987</v>
      </c>
      <c r="F3" s="59" t="s">
        <v>988</v>
      </c>
      <c r="G3" s="2"/>
    </row>
    <row r="4">
      <c r="B4" s="59" t="s">
        <v>9</v>
      </c>
      <c r="C4" s="59" t="s">
        <v>1872</v>
      </c>
      <c r="D4" s="59" t="s">
        <v>1873</v>
      </c>
      <c r="E4" s="59" t="s">
        <v>1874</v>
      </c>
      <c r="F4" s="59" t="s">
        <v>1875</v>
      </c>
      <c r="G4" s="2"/>
    </row>
    <row r="5">
      <c r="B5" s="59" t="s">
        <v>15</v>
      </c>
      <c r="C5" s="59" t="s">
        <v>1876</v>
      </c>
      <c r="D5" s="59" t="s">
        <v>1877</v>
      </c>
      <c r="E5" s="59" t="s">
        <v>1878</v>
      </c>
      <c r="F5" s="59" t="s">
        <v>1879</v>
      </c>
      <c r="G5" s="2"/>
    </row>
    <row r="6">
      <c r="B6" s="59" t="s">
        <v>21</v>
      </c>
      <c r="C6" s="59" t="s">
        <v>997</v>
      </c>
      <c r="D6" s="59" t="s">
        <v>23</v>
      </c>
      <c r="E6" s="59" t="s">
        <v>1880</v>
      </c>
      <c r="F6" s="59" t="s">
        <v>1881</v>
      </c>
      <c r="G6" s="2"/>
    </row>
    <row r="7">
      <c r="B7" s="59" t="s">
        <v>26</v>
      </c>
      <c r="C7" s="59" t="s">
        <v>1000</v>
      </c>
      <c r="D7" s="59" t="s">
        <v>23</v>
      </c>
      <c r="E7" s="59" t="s">
        <v>1882</v>
      </c>
      <c r="F7" s="59" t="s">
        <v>1002</v>
      </c>
      <c r="G7" s="2"/>
    </row>
    <row r="8">
      <c r="B8" s="59" t="s">
        <v>28</v>
      </c>
      <c r="C8" s="59" t="s">
        <v>23</v>
      </c>
      <c r="D8" s="59" t="s">
        <v>23</v>
      </c>
      <c r="E8" s="59" t="s">
        <v>1883</v>
      </c>
      <c r="F8" s="59" t="s">
        <v>23</v>
      </c>
      <c r="G8" s="2"/>
    </row>
    <row r="9">
      <c r="A9" s="5" t="s">
        <v>1003</v>
      </c>
      <c r="B9" s="5" t="s">
        <v>3</v>
      </c>
      <c r="C9" s="5" t="s">
        <v>985</v>
      </c>
      <c r="D9" s="5" t="s">
        <v>986</v>
      </c>
      <c r="E9" s="5" t="s">
        <v>987</v>
      </c>
      <c r="F9" s="5" t="s">
        <v>988</v>
      </c>
      <c r="G9" s="2"/>
    </row>
    <row r="10">
      <c r="B10" s="5" t="s">
        <v>9</v>
      </c>
      <c r="C10" s="5" t="s">
        <v>1884</v>
      </c>
      <c r="D10" s="5" t="s">
        <v>1885</v>
      </c>
      <c r="E10" s="5" t="s">
        <v>1886</v>
      </c>
      <c r="F10" s="5" t="s">
        <v>1887</v>
      </c>
      <c r="G10" s="2"/>
    </row>
    <row r="11">
      <c r="B11" s="5" t="s">
        <v>15</v>
      </c>
      <c r="C11" s="5" t="s">
        <v>1888</v>
      </c>
      <c r="D11" s="5" t="s">
        <v>1008</v>
      </c>
      <c r="E11" s="5" t="s">
        <v>1889</v>
      </c>
      <c r="F11" s="5" t="s">
        <v>1010</v>
      </c>
      <c r="G11" s="2"/>
    </row>
    <row r="12">
      <c r="B12" s="5" t="s">
        <v>21</v>
      </c>
      <c r="C12" s="5" t="s">
        <v>997</v>
      </c>
      <c r="D12" s="5" t="s">
        <v>23</v>
      </c>
      <c r="E12" s="5" t="s">
        <v>1011</v>
      </c>
      <c r="F12" s="5" t="s">
        <v>1881</v>
      </c>
      <c r="G12" s="2"/>
    </row>
    <row r="13">
      <c r="B13" s="5" t="s">
        <v>26</v>
      </c>
      <c r="C13" s="5" t="s">
        <v>1000</v>
      </c>
      <c r="D13" s="5" t="s">
        <v>23</v>
      </c>
      <c r="E13" s="5" t="s">
        <v>1890</v>
      </c>
      <c r="F13" s="5" t="s">
        <v>1010</v>
      </c>
      <c r="G13" s="2"/>
    </row>
    <row r="14">
      <c r="B14" s="5" t="s">
        <v>28</v>
      </c>
      <c r="C14" s="5" t="s">
        <v>23</v>
      </c>
      <c r="D14" s="5" t="s">
        <v>23</v>
      </c>
      <c r="E14" s="5" t="s">
        <v>23</v>
      </c>
      <c r="F14" s="5" t="s">
        <v>23</v>
      </c>
      <c r="G14" s="2"/>
    </row>
    <row r="15">
      <c r="A15" s="59" t="s">
        <v>1012</v>
      </c>
      <c r="B15" s="59" t="s">
        <v>3</v>
      </c>
      <c r="C15" s="59" t="s">
        <v>985</v>
      </c>
      <c r="D15" s="59" t="s">
        <v>986</v>
      </c>
      <c r="E15" s="59" t="s">
        <v>987</v>
      </c>
      <c r="F15" s="59" t="s">
        <v>988</v>
      </c>
      <c r="G15" s="2"/>
    </row>
    <row r="16">
      <c r="B16" s="59" t="s">
        <v>9</v>
      </c>
      <c r="C16" s="59" t="s">
        <v>1891</v>
      </c>
      <c r="D16" s="59" t="s">
        <v>1892</v>
      </c>
      <c r="E16" s="59" t="s">
        <v>1893</v>
      </c>
      <c r="F16" s="59" t="s">
        <v>1894</v>
      </c>
      <c r="G16" s="2"/>
    </row>
    <row r="17">
      <c r="B17" s="59" t="s">
        <v>15</v>
      </c>
      <c r="C17" s="59" t="s">
        <v>1895</v>
      </c>
      <c r="D17" s="59" t="s">
        <v>1896</v>
      </c>
      <c r="E17" s="59" t="s">
        <v>1332</v>
      </c>
      <c r="F17" s="59" t="s">
        <v>1897</v>
      </c>
      <c r="G17" s="2"/>
    </row>
    <row r="18">
      <c r="B18" s="59" t="s">
        <v>21</v>
      </c>
      <c r="C18" s="59" t="s">
        <v>997</v>
      </c>
      <c r="D18" s="59" t="s">
        <v>23</v>
      </c>
      <c r="E18" s="59" t="s">
        <v>1011</v>
      </c>
      <c r="F18" s="59" t="s">
        <v>1881</v>
      </c>
      <c r="G18" s="2"/>
    </row>
    <row r="19">
      <c r="B19" s="59" t="s">
        <v>26</v>
      </c>
      <c r="C19" s="59" t="s">
        <v>1000</v>
      </c>
      <c r="D19" s="59" t="s">
        <v>23</v>
      </c>
      <c r="E19" s="59" t="s">
        <v>1019</v>
      </c>
      <c r="F19" s="59" t="s">
        <v>1021</v>
      </c>
      <c r="G19" s="2"/>
    </row>
    <row r="20">
      <c r="B20" s="59" t="s">
        <v>28</v>
      </c>
      <c r="C20" s="59" t="s">
        <v>23</v>
      </c>
      <c r="D20" s="59" t="s">
        <v>23</v>
      </c>
      <c r="E20" s="59" t="s">
        <v>23</v>
      </c>
      <c r="F20" s="59" t="s">
        <v>23</v>
      </c>
      <c r="G20" s="2"/>
    </row>
    <row r="21">
      <c r="A21" s="5" t="s">
        <v>1022</v>
      </c>
      <c r="B21" s="5" t="s">
        <v>3</v>
      </c>
      <c r="C21" s="5" t="s">
        <v>985</v>
      </c>
      <c r="D21" s="5" t="s">
        <v>986</v>
      </c>
      <c r="E21" s="5" t="s">
        <v>987</v>
      </c>
      <c r="F21" s="5" t="s">
        <v>988</v>
      </c>
      <c r="G21" s="2"/>
    </row>
    <row r="22">
      <c r="B22" s="5" t="s">
        <v>9</v>
      </c>
      <c r="C22" s="5" t="s">
        <v>1898</v>
      </c>
      <c r="D22" s="5" t="s">
        <v>1899</v>
      </c>
      <c r="E22" s="5" t="s">
        <v>1900</v>
      </c>
      <c r="F22" s="5" t="s">
        <v>1901</v>
      </c>
      <c r="G22" s="2"/>
    </row>
    <row r="23">
      <c r="B23" s="5" t="s">
        <v>15</v>
      </c>
      <c r="C23" s="5" t="s">
        <v>1902</v>
      </c>
      <c r="D23" s="5" t="s">
        <v>1903</v>
      </c>
      <c r="E23" s="5" t="s">
        <v>1904</v>
      </c>
      <c r="F23" s="5" t="s">
        <v>1041</v>
      </c>
      <c r="G23" s="2"/>
    </row>
    <row r="24">
      <c r="B24" s="5" t="s">
        <v>21</v>
      </c>
      <c r="C24" s="5" t="s">
        <v>997</v>
      </c>
      <c r="D24" s="5" t="s">
        <v>23</v>
      </c>
      <c r="E24" s="5" t="s">
        <v>1011</v>
      </c>
      <c r="F24" s="5" t="s">
        <v>1881</v>
      </c>
      <c r="G24" s="2"/>
    </row>
    <row r="25">
      <c r="B25" s="5" t="s">
        <v>26</v>
      </c>
      <c r="C25" s="5" t="s">
        <v>1000</v>
      </c>
      <c r="D25" s="5" t="s">
        <v>23</v>
      </c>
      <c r="E25" s="5" t="s">
        <v>1905</v>
      </c>
      <c r="F25" s="5" t="s">
        <v>1032</v>
      </c>
      <c r="G25" s="2"/>
    </row>
    <row r="26">
      <c r="B26" s="5" t="s">
        <v>28</v>
      </c>
      <c r="C26" s="5" t="s">
        <v>23</v>
      </c>
      <c r="D26" s="5" t="s">
        <v>23</v>
      </c>
      <c r="E26" s="5" t="s">
        <v>23</v>
      </c>
      <c r="F26" s="5" t="s">
        <v>23</v>
      </c>
      <c r="G26" s="2"/>
    </row>
    <row r="27">
      <c r="A27" s="59" t="s">
        <v>1033</v>
      </c>
      <c r="B27" s="59" t="s">
        <v>3</v>
      </c>
      <c r="C27" s="59" t="s">
        <v>985</v>
      </c>
      <c r="D27" s="59" t="s">
        <v>986</v>
      </c>
      <c r="E27" s="59" t="s">
        <v>987</v>
      </c>
      <c r="F27" s="59" t="s">
        <v>988</v>
      </c>
      <c r="G27" s="2"/>
    </row>
    <row r="28">
      <c r="B28" s="59" t="s">
        <v>9</v>
      </c>
      <c r="C28" s="59" t="s">
        <v>1906</v>
      </c>
      <c r="D28" s="59" t="s">
        <v>1907</v>
      </c>
      <c r="E28" s="59" t="s">
        <v>1908</v>
      </c>
      <c r="F28" s="59" t="s">
        <v>1909</v>
      </c>
      <c r="G28" s="2"/>
    </row>
    <row r="29">
      <c r="B29" s="59" t="s">
        <v>15</v>
      </c>
      <c r="C29" s="59" t="s">
        <v>1910</v>
      </c>
      <c r="D29" s="59" t="s">
        <v>1911</v>
      </c>
      <c r="E29" s="59" t="s">
        <v>1912</v>
      </c>
      <c r="F29" s="59" t="s">
        <v>1041</v>
      </c>
      <c r="G29" s="2"/>
    </row>
    <row r="30">
      <c r="B30" s="59" t="s">
        <v>21</v>
      </c>
      <c r="C30" s="59" t="s">
        <v>997</v>
      </c>
      <c r="D30" s="59" t="s">
        <v>23</v>
      </c>
      <c r="E30" s="59" t="s">
        <v>1011</v>
      </c>
      <c r="F30" s="59" t="s">
        <v>1881</v>
      </c>
      <c r="G30" s="2"/>
    </row>
    <row r="31">
      <c r="B31" s="59" t="s">
        <v>26</v>
      </c>
      <c r="C31" s="59" t="s">
        <v>1000</v>
      </c>
      <c r="D31" s="59" t="s">
        <v>23</v>
      </c>
      <c r="E31" s="59" t="s">
        <v>1912</v>
      </c>
      <c r="F31" s="59" t="s">
        <v>1032</v>
      </c>
      <c r="G31" s="2"/>
    </row>
    <row r="32">
      <c r="B32" s="59" t="s">
        <v>28</v>
      </c>
      <c r="C32" s="59" t="s">
        <v>23</v>
      </c>
      <c r="D32" s="59" t="s">
        <v>23</v>
      </c>
      <c r="E32" s="59" t="s">
        <v>23</v>
      </c>
      <c r="F32" s="59" t="s">
        <v>23</v>
      </c>
      <c r="G32" s="2"/>
    </row>
    <row r="33">
      <c r="A33" s="5" t="s">
        <v>1043</v>
      </c>
      <c r="B33" s="5" t="s">
        <v>3</v>
      </c>
      <c r="C33" s="5" t="s">
        <v>985</v>
      </c>
      <c r="D33" s="5" t="s">
        <v>986</v>
      </c>
      <c r="E33" s="5" t="s">
        <v>987</v>
      </c>
      <c r="F33" s="5" t="s">
        <v>988</v>
      </c>
      <c r="G33" s="2"/>
    </row>
    <row r="34">
      <c r="B34" s="5" t="s">
        <v>9</v>
      </c>
      <c r="C34" s="5" t="s">
        <v>1913</v>
      </c>
      <c r="D34" s="5" t="s">
        <v>1914</v>
      </c>
      <c r="E34" s="5" t="s">
        <v>1915</v>
      </c>
      <c r="F34" s="5" t="s">
        <v>1916</v>
      </c>
      <c r="G34" s="2"/>
    </row>
    <row r="35">
      <c r="B35" s="5" t="s">
        <v>15</v>
      </c>
      <c r="C35" s="5" t="s">
        <v>1917</v>
      </c>
      <c r="D35" s="5" t="s">
        <v>1918</v>
      </c>
      <c r="E35" s="5" t="s">
        <v>1019</v>
      </c>
      <c r="F35" s="5" t="s">
        <v>1919</v>
      </c>
      <c r="G35" s="2"/>
    </row>
    <row r="36">
      <c r="B36" s="5" t="s">
        <v>21</v>
      </c>
      <c r="C36" s="5" t="s">
        <v>997</v>
      </c>
      <c r="D36" s="5" t="s">
        <v>23</v>
      </c>
      <c r="E36" s="5" t="s">
        <v>1011</v>
      </c>
      <c r="F36" s="5" t="s">
        <v>1881</v>
      </c>
      <c r="G36" s="2"/>
    </row>
    <row r="37">
      <c r="B37" s="5" t="s">
        <v>26</v>
      </c>
      <c r="C37" s="5" t="s">
        <v>1000</v>
      </c>
      <c r="D37" s="5" t="s">
        <v>23</v>
      </c>
      <c r="E37" s="5" t="s">
        <v>1019</v>
      </c>
      <c r="F37" s="5" t="s">
        <v>1021</v>
      </c>
      <c r="G37" s="2"/>
    </row>
    <row r="38">
      <c r="B38" s="5" t="s">
        <v>28</v>
      </c>
      <c r="C38" s="5" t="s">
        <v>23</v>
      </c>
      <c r="D38" s="5" t="s">
        <v>23</v>
      </c>
      <c r="E38" s="5" t="s">
        <v>23</v>
      </c>
      <c r="F38" s="5" t="s">
        <v>1920</v>
      </c>
      <c r="G38" s="2"/>
    </row>
    <row r="39">
      <c r="A39" s="59" t="s">
        <v>1051</v>
      </c>
      <c r="B39" s="59" t="s">
        <v>3</v>
      </c>
      <c r="C39" s="59" t="s">
        <v>985</v>
      </c>
      <c r="D39" s="59" t="s">
        <v>986</v>
      </c>
      <c r="E39" s="59" t="s">
        <v>987</v>
      </c>
      <c r="F39" s="59" t="s">
        <v>988</v>
      </c>
      <c r="G39" s="2"/>
    </row>
    <row r="40">
      <c r="B40" s="59" t="s">
        <v>9</v>
      </c>
      <c r="C40" s="59" t="s">
        <v>1921</v>
      </c>
      <c r="D40" s="59" t="s">
        <v>1922</v>
      </c>
      <c r="E40" s="59" t="s">
        <v>1923</v>
      </c>
      <c r="F40" s="59" t="s">
        <v>1924</v>
      </c>
      <c r="G40" s="2"/>
    </row>
    <row r="41">
      <c r="B41" s="59" t="s">
        <v>15</v>
      </c>
      <c r="C41" s="59" t="s">
        <v>1925</v>
      </c>
      <c r="D41" s="59" t="s">
        <v>1926</v>
      </c>
      <c r="E41" s="59" t="s">
        <v>1927</v>
      </c>
      <c r="F41" s="59" t="s">
        <v>1928</v>
      </c>
      <c r="G41" s="2"/>
    </row>
    <row r="42">
      <c r="B42" s="59" t="s">
        <v>21</v>
      </c>
      <c r="C42" s="59" t="s">
        <v>997</v>
      </c>
      <c r="D42" s="59" t="s">
        <v>23</v>
      </c>
      <c r="E42" s="59" t="s">
        <v>1011</v>
      </c>
      <c r="F42" s="59" t="s">
        <v>1881</v>
      </c>
      <c r="G42" s="2"/>
    </row>
    <row r="43">
      <c r="B43" s="59" t="s">
        <v>26</v>
      </c>
      <c r="C43" s="59" t="s">
        <v>1056</v>
      </c>
      <c r="D43" s="59" t="s">
        <v>23</v>
      </c>
      <c r="E43" s="59" t="s">
        <v>23</v>
      </c>
      <c r="F43" s="59" t="s">
        <v>1426</v>
      </c>
      <c r="G43" s="2"/>
    </row>
    <row r="44">
      <c r="B44" s="59" t="s">
        <v>28</v>
      </c>
      <c r="C44" s="59" t="s">
        <v>23</v>
      </c>
      <c r="D44" s="59" t="s">
        <v>23</v>
      </c>
      <c r="E44" s="59" t="s">
        <v>23</v>
      </c>
      <c r="F44" s="59" t="s">
        <v>23</v>
      </c>
      <c r="G44" s="2"/>
    </row>
    <row r="45">
      <c r="A45" s="5" t="s">
        <v>1060</v>
      </c>
      <c r="B45" s="5" t="s">
        <v>3</v>
      </c>
      <c r="C45" s="5" t="s">
        <v>985</v>
      </c>
      <c r="D45" s="5" t="s">
        <v>986</v>
      </c>
      <c r="E45" s="5" t="s">
        <v>987</v>
      </c>
      <c r="F45" s="5" t="s">
        <v>988</v>
      </c>
      <c r="G45" s="2"/>
    </row>
    <row r="46">
      <c r="B46" s="5" t="s">
        <v>9</v>
      </c>
      <c r="C46" s="5" t="s">
        <v>1929</v>
      </c>
      <c r="D46" s="5" t="s">
        <v>1930</v>
      </c>
      <c r="E46" s="5" t="s">
        <v>1931</v>
      </c>
      <c r="F46" s="5" t="s">
        <v>1932</v>
      </c>
      <c r="G46" s="2"/>
    </row>
    <row r="47">
      <c r="B47" s="5" t="s">
        <v>15</v>
      </c>
      <c r="C47" s="5" t="s">
        <v>1933</v>
      </c>
      <c r="D47" s="5" t="s">
        <v>1934</v>
      </c>
      <c r="E47" s="5" t="s">
        <v>1935</v>
      </c>
      <c r="F47" s="5" t="s">
        <v>1897</v>
      </c>
      <c r="G47" s="2"/>
    </row>
    <row r="48">
      <c r="B48" s="5" t="s">
        <v>21</v>
      </c>
      <c r="C48" s="5" t="s">
        <v>997</v>
      </c>
      <c r="D48" s="5" t="s">
        <v>23</v>
      </c>
      <c r="E48" s="5" t="s">
        <v>1011</v>
      </c>
      <c r="F48" s="5" t="s">
        <v>1881</v>
      </c>
      <c r="G48" s="2"/>
    </row>
    <row r="49">
      <c r="B49" s="5" t="s">
        <v>26</v>
      </c>
      <c r="C49" s="5" t="s">
        <v>1056</v>
      </c>
      <c r="D49" s="5" t="s">
        <v>23</v>
      </c>
      <c r="E49" s="5" t="s">
        <v>1936</v>
      </c>
      <c r="F49" s="5" t="s">
        <v>1937</v>
      </c>
      <c r="G49" s="2"/>
    </row>
    <row r="50">
      <c r="B50" s="5" t="s">
        <v>28</v>
      </c>
      <c r="C50" s="5" t="s">
        <v>23</v>
      </c>
      <c r="D50" s="5" t="s">
        <v>23</v>
      </c>
      <c r="E50" s="5" t="s">
        <v>23</v>
      </c>
      <c r="F50" s="5" t="s">
        <v>23</v>
      </c>
      <c r="G50" s="2"/>
    </row>
    <row r="51">
      <c r="A51" s="59" t="s">
        <v>1069</v>
      </c>
      <c r="B51" s="59" t="s">
        <v>3</v>
      </c>
      <c r="C51" s="59" t="s">
        <v>985</v>
      </c>
      <c r="D51" s="59" t="s">
        <v>986</v>
      </c>
      <c r="E51" s="59" t="s">
        <v>987</v>
      </c>
      <c r="F51" s="59" t="s">
        <v>988</v>
      </c>
      <c r="G51" s="2"/>
    </row>
    <row r="52">
      <c r="B52" s="59" t="s">
        <v>9</v>
      </c>
      <c r="C52" s="59" t="s">
        <v>1938</v>
      </c>
      <c r="D52" s="59" t="s">
        <v>1939</v>
      </c>
      <c r="E52" s="59" t="s">
        <v>1940</v>
      </c>
      <c r="F52" s="59" t="s">
        <v>1941</v>
      </c>
      <c r="G52" s="2"/>
    </row>
    <row r="53">
      <c r="B53" s="59" t="s">
        <v>15</v>
      </c>
      <c r="C53" s="59" t="s">
        <v>1942</v>
      </c>
      <c r="D53" s="59" t="s">
        <v>1467</v>
      </c>
      <c r="E53" s="59" t="s">
        <v>1943</v>
      </c>
      <c r="F53" s="59" t="s">
        <v>1944</v>
      </c>
      <c r="G53" s="2"/>
    </row>
    <row r="54">
      <c r="B54" s="59" t="s">
        <v>21</v>
      </c>
      <c r="C54" s="59" t="s">
        <v>997</v>
      </c>
      <c r="D54" s="59" t="s">
        <v>23</v>
      </c>
      <c r="E54" s="59" t="s">
        <v>1011</v>
      </c>
      <c r="F54" s="59" t="s">
        <v>1881</v>
      </c>
      <c r="G54" s="2"/>
    </row>
    <row r="55">
      <c r="B55" s="59" t="s">
        <v>26</v>
      </c>
      <c r="C55" s="59" t="s">
        <v>1945</v>
      </c>
      <c r="D55" s="59" t="s">
        <v>23</v>
      </c>
      <c r="E55" s="59" t="s">
        <v>1946</v>
      </c>
      <c r="F55" s="59" t="s">
        <v>1079</v>
      </c>
      <c r="G55" s="2"/>
    </row>
    <row r="56">
      <c r="B56" s="59" t="s">
        <v>28</v>
      </c>
      <c r="C56" s="59" t="s">
        <v>1942</v>
      </c>
      <c r="D56" s="59" t="s">
        <v>23</v>
      </c>
      <c r="E56" s="59" t="s">
        <v>23</v>
      </c>
      <c r="F56" s="59" t="s">
        <v>23</v>
      </c>
      <c r="G56" s="2"/>
    </row>
    <row r="57">
      <c r="A57" s="5" t="s">
        <v>1080</v>
      </c>
      <c r="B57" s="5" t="s">
        <v>3</v>
      </c>
      <c r="C57" s="5" t="s">
        <v>985</v>
      </c>
      <c r="D57" s="5" t="s">
        <v>986</v>
      </c>
      <c r="E57" s="5" t="s">
        <v>987</v>
      </c>
      <c r="F57" s="5" t="s">
        <v>988</v>
      </c>
      <c r="G57" s="2"/>
    </row>
    <row r="58">
      <c r="B58" s="5" t="s">
        <v>9</v>
      </c>
      <c r="C58" s="5" t="s">
        <v>1947</v>
      </c>
      <c r="D58" s="5" t="s">
        <v>1948</v>
      </c>
      <c r="E58" s="5" t="s">
        <v>1949</v>
      </c>
      <c r="F58" s="5" t="s">
        <v>1950</v>
      </c>
      <c r="G58" s="2"/>
    </row>
    <row r="59">
      <c r="B59" s="5" t="s">
        <v>15</v>
      </c>
      <c r="C59" s="5" t="s">
        <v>1951</v>
      </c>
      <c r="D59" s="5" t="s">
        <v>1952</v>
      </c>
      <c r="E59" s="5" t="s">
        <v>1953</v>
      </c>
      <c r="F59" s="5" t="s">
        <v>1032</v>
      </c>
      <c r="G59" s="2"/>
    </row>
    <row r="60">
      <c r="B60" s="5" t="s">
        <v>21</v>
      </c>
      <c r="C60" s="5" t="s">
        <v>997</v>
      </c>
      <c r="D60" s="5" t="s">
        <v>23</v>
      </c>
      <c r="E60" s="5" t="s">
        <v>1011</v>
      </c>
      <c r="F60" s="5" t="s">
        <v>1881</v>
      </c>
      <c r="G60" s="2"/>
    </row>
    <row r="61">
      <c r="B61" s="5" t="s">
        <v>26</v>
      </c>
      <c r="C61" s="5" t="s">
        <v>1088</v>
      </c>
      <c r="D61" s="5" t="s">
        <v>23</v>
      </c>
      <c r="E61" s="5" t="s">
        <v>1169</v>
      </c>
      <c r="F61" s="5" t="s">
        <v>1032</v>
      </c>
      <c r="G61" s="2"/>
    </row>
    <row r="62">
      <c r="B62" s="5" t="s">
        <v>28</v>
      </c>
      <c r="C62" s="5" t="s">
        <v>1954</v>
      </c>
      <c r="D62" s="5" t="s">
        <v>23</v>
      </c>
      <c r="E62" s="5" t="s">
        <v>23</v>
      </c>
      <c r="F62" s="5" t="s">
        <v>23</v>
      </c>
      <c r="G62" s="2"/>
    </row>
    <row r="63">
      <c r="A63" s="59" t="s">
        <v>1089</v>
      </c>
      <c r="B63" s="59" t="s">
        <v>3</v>
      </c>
      <c r="C63" s="59" t="s">
        <v>985</v>
      </c>
      <c r="D63" s="59" t="s">
        <v>986</v>
      </c>
      <c r="E63" s="59" t="s">
        <v>987</v>
      </c>
      <c r="F63" s="59" t="s">
        <v>988</v>
      </c>
      <c r="G63" s="2"/>
    </row>
    <row r="64">
      <c r="B64" s="59" t="s">
        <v>9</v>
      </c>
      <c r="C64" s="59" t="s">
        <v>1955</v>
      </c>
      <c r="D64" s="59" t="s">
        <v>1956</v>
      </c>
      <c r="E64" s="59" t="s">
        <v>1957</v>
      </c>
      <c r="F64" s="59" t="s">
        <v>1958</v>
      </c>
      <c r="G64" s="2"/>
    </row>
    <row r="65">
      <c r="B65" s="59" t="s">
        <v>15</v>
      </c>
      <c r="C65" s="59" t="s">
        <v>1959</v>
      </c>
      <c r="D65" s="59" t="s">
        <v>1960</v>
      </c>
      <c r="E65" s="59" t="s">
        <v>1019</v>
      </c>
      <c r="F65" s="59" t="s">
        <v>1961</v>
      </c>
      <c r="G65" s="2"/>
    </row>
    <row r="66">
      <c r="B66" s="59" t="s">
        <v>21</v>
      </c>
      <c r="C66" s="59" t="s">
        <v>997</v>
      </c>
      <c r="D66" s="59" t="s">
        <v>23</v>
      </c>
      <c r="E66" s="59" t="s">
        <v>1011</v>
      </c>
      <c r="F66" s="59" t="s">
        <v>1881</v>
      </c>
      <c r="G66" s="2"/>
    </row>
    <row r="67">
      <c r="B67" s="59" t="s">
        <v>26</v>
      </c>
      <c r="C67" s="59" t="s">
        <v>1088</v>
      </c>
      <c r="D67" s="59" t="s">
        <v>23</v>
      </c>
      <c r="E67" s="59" t="s">
        <v>1019</v>
      </c>
      <c r="F67" s="59" t="s">
        <v>1021</v>
      </c>
      <c r="G67" s="2"/>
    </row>
    <row r="68">
      <c r="B68" s="59" t="s">
        <v>28</v>
      </c>
      <c r="C68" s="59" t="s">
        <v>23</v>
      </c>
      <c r="D68" s="59" t="s">
        <v>23</v>
      </c>
      <c r="E68" s="59" t="s">
        <v>23</v>
      </c>
      <c r="F68" s="59" t="s">
        <v>23</v>
      </c>
      <c r="G68" s="2"/>
    </row>
    <row r="69">
      <c r="A69" s="5" t="s">
        <v>1100</v>
      </c>
      <c r="B69" s="5" t="s">
        <v>3</v>
      </c>
      <c r="C69" s="5" t="s">
        <v>985</v>
      </c>
      <c r="D69" s="5" t="s">
        <v>986</v>
      </c>
      <c r="E69" s="5" t="s">
        <v>987</v>
      </c>
      <c r="F69" s="5" t="s">
        <v>988</v>
      </c>
      <c r="G69" s="2"/>
    </row>
    <row r="70">
      <c r="B70" s="5" t="s">
        <v>9</v>
      </c>
      <c r="C70" s="5" t="s">
        <v>1962</v>
      </c>
      <c r="D70" s="5" t="s">
        <v>1963</v>
      </c>
      <c r="E70" s="5" t="s">
        <v>1103</v>
      </c>
      <c r="F70" s="5" t="s">
        <v>1964</v>
      </c>
      <c r="G70" s="2"/>
    </row>
    <row r="71">
      <c r="B71" s="5" t="s">
        <v>15</v>
      </c>
      <c r="C71" s="5" t="s">
        <v>1965</v>
      </c>
      <c r="D71" s="5" t="s">
        <v>1966</v>
      </c>
      <c r="E71" s="5" t="s">
        <v>1019</v>
      </c>
      <c r="F71" s="5" t="s">
        <v>1967</v>
      </c>
      <c r="G71" s="2"/>
    </row>
    <row r="72">
      <c r="B72" s="5" t="s">
        <v>21</v>
      </c>
      <c r="C72" s="5" t="s">
        <v>997</v>
      </c>
      <c r="D72" s="5" t="s">
        <v>23</v>
      </c>
      <c r="E72" s="5" t="s">
        <v>1011</v>
      </c>
      <c r="F72" s="5" t="s">
        <v>1881</v>
      </c>
      <c r="G72" s="2"/>
    </row>
    <row r="73">
      <c r="B73" s="5" t="s">
        <v>26</v>
      </c>
      <c r="C73" s="5" t="s">
        <v>1108</v>
      </c>
      <c r="D73" s="5" t="s">
        <v>23</v>
      </c>
      <c r="E73" s="5" t="s">
        <v>1019</v>
      </c>
      <c r="F73" s="5" t="s">
        <v>23</v>
      </c>
      <c r="G73" s="2"/>
    </row>
    <row r="74">
      <c r="B74" s="5" t="s">
        <v>28</v>
      </c>
      <c r="C74" s="5" t="s">
        <v>23</v>
      </c>
      <c r="D74" s="5" t="s">
        <v>23</v>
      </c>
      <c r="E74" s="5" t="s">
        <v>23</v>
      </c>
      <c r="F74" s="5" t="s">
        <v>1967</v>
      </c>
      <c r="G74" s="2"/>
    </row>
    <row r="75">
      <c r="A75" s="59" t="s">
        <v>1109</v>
      </c>
      <c r="B75" s="59" t="s">
        <v>3</v>
      </c>
      <c r="C75" s="59" t="s">
        <v>985</v>
      </c>
      <c r="D75" s="59" t="s">
        <v>986</v>
      </c>
      <c r="E75" s="59" t="s">
        <v>987</v>
      </c>
      <c r="F75" s="59" t="s">
        <v>988</v>
      </c>
      <c r="G75" s="2"/>
    </row>
    <row r="76">
      <c r="B76" s="59" t="s">
        <v>9</v>
      </c>
      <c r="C76" s="59" t="s">
        <v>1968</v>
      </c>
      <c r="D76" s="59" t="s">
        <v>1969</v>
      </c>
      <c r="E76" s="59" t="s">
        <v>1970</v>
      </c>
      <c r="F76" s="59" t="s">
        <v>1971</v>
      </c>
      <c r="G76" s="2"/>
    </row>
    <row r="77">
      <c r="B77" s="59" t="s">
        <v>15</v>
      </c>
      <c r="C77" s="59" t="s">
        <v>1972</v>
      </c>
      <c r="D77" s="59" t="s">
        <v>1114</v>
      </c>
      <c r="E77" s="59" t="s">
        <v>1577</v>
      </c>
      <c r="F77" s="59" t="s">
        <v>1021</v>
      </c>
      <c r="G77" s="2"/>
    </row>
    <row r="78">
      <c r="B78" s="59" t="s">
        <v>21</v>
      </c>
      <c r="C78" s="59" t="s">
        <v>997</v>
      </c>
      <c r="D78" s="59" t="s">
        <v>23</v>
      </c>
      <c r="E78" s="59" t="s">
        <v>1011</v>
      </c>
      <c r="F78" s="59" t="s">
        <v>1881</v>
      </c>
      <c r="G78" s="2"/>
    </row>
    <row r="79">
      <c r="B79" s="59" t="s">
        <v>26</v>
      </c>
      <c r="C79" s="59" t="s">
        <v>1108</v>
      </c>
      <c r="D79" s="59" t="s">
        <v>23</v>
      </c>
      <c r="E79" s="59" t="s">
        <v>1577</v>
      </c>
      <c r="F79" s="59" t="s">
        <v>1021</v>
      </c>
      <c r="G79" s="2"/>
    </row>
    <row r="80">
      <c r="B80" s="59" t="s">
        <v>28</v>
      </c>
      <c r="C80" s="59" t="s">
        <v>23</v>
      </c>
      <c r="D80" s="59" t="s">
        <v>23</v>
      </c>
      <c r="E80" s="59" t="s">
        <v>23</v>
      </c>
      <c r="F80" s="59" t="s">
        <v>23</v>
      </c>
      <c r="G80" s="2"/>
    </row>
    <row r="81">
      <c r="A81" s="5" t="s">
        <v>1118</v>
      </c>
      <c r="B81" s="5" t="s">
        <v>3</v>
      </c>
      <c r="C81" s="5" t="s">
        <v>985</v>
      </c>
      <c r="D81" s="5" t="s">
        <v>986</v>
      </c>
      <c r="E81" s="5" t="s">
        <v>987</v>
      </c>
      <c r="F81" s="5" t="s">
        <v>988</v>
      </c>
      <c r="G81" s="2"/>
    </row>
    <row r="82">
      <c r="B82" s="5" t="s">
        <v>9</v>
      </c>
      <c r="C82" s="5" t="s">
        <v>1973</v>
      </c>
      <c r="D82" s="5" t="s">
        <v>1974</v>
      </c>
      <c r="E82" s="5" t="s">
        <v>1975</v>
      </c>
      <c r="F82" s="5" t="s">
        <v>1976</v>
      </c>
      <c r="G82" s="2"/>
    </row>
    <row r="83">
      <c r="B83" s="5" t="s">
        <v>15</v>
      </c>
      <c r="C83" s="5" t="s">
        <v>1977</v>
      </c>
      <c r="D83" s="5" t="s">
        <v>1978</v>
      </c>
      <c r="E83" s="5" t="s">
        <v>1577</v>
      </c>
      <c r="F83" s="5" t="s">
        <v>1979</v>
      </c>
      <c r="G83" s="2"/>
    </row>
    <row r="84">
      <c r="B84" s="5" t="s">
        <v>21</v>
      </c>
      <c r="C84" s="5" t="s">
        <v>997</v>
      </c>
      <c r="D84" s="5" t="s">
        <v>23</v>
      </c>
      <c r="E84" s="5" t="s">
        <v>1011</v>
      </c>
      <c r="F84" s="5" t="s">
        <v>1881</v>
      </c>
      <c r="G84" s="2"/>
    </row>
    <row r="85">
      <c r="B85" s="5" t="s">
        <v>26</v>
      </c>
      <c r="C85" s="5" t="s">
        <v>1108</v>
      </c>
      <c r="D85" s="5" t="s">
        <v>23</v>
      </c>
      <c r="E85" s="5" t="s">
        <v>1577</v>
      </c>
      <c r="F85" s="5" t="s">
        <v>1021</v>
      </c>
      <c r="G85" s="2"/>
    </row>
    <row r="86">
      <c r="B86" s="5" t="s">
        <v>28</v>
      </c>
      <c r="C86" s="5" t="s">
        <v>23</v>
      </c>
      <c r="D86" s="5" t="s">
        <v>23</v>
      </c>
      <c r="E86" s="5" t="s">
        <v>23</v>
      </c>
      <c r="F86" s="5" t="s">
        <v>23</v>
      </c>
      <c r="G86" s="2"/>
    </row>
    <row r="87">
      <c r="A87" s="59" t="s">
        <v>1125</v>
      </c>
      <c r="B87" s="59" t="s">
        <v>3</v>
      </c>
      <c r="C87" s="59" t="s">
        <v>985</v>
      </c>
      <c r="D87" s="59" t="s">
        <v>986</v>
      </c>
      <c r="E87" s="59" t="s">
        <v>987</v>
      </c>
      <c r="F87" s="59" t="s">
        <v>988</v>
      </c>
      <c r="G87" s="2"/>
    </row>
    <row r="88">
      <c r="B88" s="59" t="s">
        <v>9</v>
      </c>
      <c r="C88" s="59" t="s">
        <v>1980</v>
      </c>
      <c r="D88" s="59" t="s">
        <v>1981</v>
      </c>
      <c r="E88" s="59" t="s">
        <v>1982</v>
      </c>
      <c r="F88" s="59" t="s">
        <v>1983</v>
      </c>
      <c r="G88" s="2"/>
    </row>
    <row r="89">
      <c r="B89" s="59" t="s">
        <v>15</v>
      </c>
      <c r="C89" s="59" t="s">
        <v>1984</v>
      </c>
      <c r="D89" s="59" t="s">
        <v>1985</v>
      </c>
      <c r="E89" s="59" t="s">
        <v>1986</v>
      </c>
      <c r="F89" s="59" t="s">
        <v>1987</v>
      </c>
      <c r="G89" s="2"/>
    </row>
    <row r="90">
      <c r="B90" s="59" t="s">
        <v>21</v>
      </c>
      <c r="C90" s="59" t="s">
        <v>997</v>
      </c>
      <c r="D90" s="59" t="s">
        <v>23</v>
      </c>
      <c r="E90" s="59" t="s">
        <v>1011</v>
      </c>
      <c r="F90" s="59" t="s">
        <v>1881</v>
      </c>
      <c r="G90" s="2"/>
    </row>
    <row r="91">
      <c r="B91" s="59" t="s">
        <v>26</v>
      </c>
      <c r="C91" s="59" t="s">
        <v>1088</v>
      </c>
      <c r="D91" s="59" t="s">
        <v>23</v>
      </c>
      <c r="E91" s="59" t="s">
        <v>1134</v>
      </c>
      <c r="F91" s="59" t="s">
        <v>1079</v>
      </c>
      <c r="G91" s="2"/>
    </row>
    <row r="92">
      <c r="B92" s="59" t="s">
        <v>28</v>
      </c>
      <c r="C92" s="59" t="s">
        <v>1988</v>
      </c>
      <c r="D92" s="59" t="s">
        <v>23</v>
      </c>
      <c r="E92" s="59" t="s">
        <v>23</v>
      </c>
      <c r="F92" s="59" t="s">
        <v>23</v>
      </c>
      <c r="G92" s="2"/>
    </row>
    <row r="93">
      <c r="A93" s="5" t="s">
        <v>1135</v>
      </c>
      <c r="B93" s="5" t="s">
        <v>3</v>
      </c>
      <c r="C93" s="5" t="s">
        <v>985</v>
      </c>
      <c r="D93" s="5" t="s">
        <v>986</v>
      </c>
      <c r="E93" s="5" t="s">
        <v>987</v>
      </c>
      <c r="F93" s="5" t="s">
        <v>988</v>
      </c>
      <c r="G93" s="2"/>
    </row>
    <row r="94">
      <c r="B94" s="5" t="s">
        <v>9</v>
      </c>
      <c r="C94" s="5" t="s">
        <v>1989</v>
      </c>
      <c r="D94" s="5" t="s">
        <v>1990</v>
      </c>
      <c r="E94" s="5" t="s">
        <v>1991</v>
      </c>
      <c r="F94" s="5" t="s">
        <v>1992</v>
      </c>
      <c r="G94" s="2"/>
    </row>
    <row r="95">
      <c r="B95" s="5" t="s">
        <v>15</v>
      </c>
      <c r="C95" s="5" t="s">
        <v>1993</v>
      </c>
      <c r="D95" s="5" t="s">
        <v>1141</v>
      </c>
      <c r="E95" s="5" t="s">
        <v>1994</v>
      </c>
      <c r="F95" s="5" t="s">
        <v>1995</v>
      </c>
      <c r="G95" s="2"/>
    </row>
    <row r="96">
      <c r="B96" s="5" t="s">
        <v>21</v>
      </c>
      <c r="C96" s="5" t="s">
        <v>997</v>
      </c>
      <c r="D96" s="5" t="s">
        <v>23</v>
      </c>
      <c r="E96" s="5" t="s">
        <v>1011</v>
      </c>
      <c r="F96" s="5" t="s">
        <v>1881</v>
      </c>
      <c r="G96" s="2"/>
    </row>
    <row r="97">
      <c r="B97" s="5" t="s">
        <v>26</v>
      </c>
      <c r="C97" s="5" t="s">
        <v>1996</v>
      </c>
      <c r="D97" s="5" t="s">
        <v>23</v>
      </c>
      <c r="E97" s="5" t="s">
        <v>1994</v>
      </c>
      <c r="F97" s="5" t="s">
        <v>1002</v>
      </c>
      <c r="G97" s="2"/>
    </row>
    <row r="98">
      <c r="B98" s="5" t="s">
        <v>28</v>
      </c>
      <c r="C98" s="5" t="s">
        <v>1146</v>
      </c>
      <c r="D98" s="5" t="s">
        <v>23</v>
      </c>
      <c r="E98" s="5" t="s">
        <v>23</v>
      </c>
      <c r="F98" s="5" t="s">
        <v>1997</v>
      </c>
      <c r="G98" s="2"/>
    </row>
    <row r="99">
      <c r="A99" s="59" t="s">
        <v>1147</v>
      </c>
      <c r="B99" s="59" t="s">
        <v>3</v>
      </c>
      <c r="C99" s="59" t="s">
        <v>985</v>
      </c>
      <c r="D99" s="59" t="s">
        <v>986</v>
      </c>
      <c r="E99" s="59" t="s">
        <v>987</v>
      </c>
      <c r="F99" s="59" t="s">
        <v>988</v>
      </c>
      <c r="G99" s="2"/>
    </row>
    <row r="100">
      <c r="B100" s="59" t="s">
        <v>9</v>
      </c>
      <c r="C100" s="59" t="s">
        <v>1998</v>
      </c>
      <c r="D100" s="59" t="s">
        <v>1999</v>
      </c>
      <c r="E100" s="59" t="s">
        <v>2000</v>
      </c>
      <c r="F100" s="59" t="s">
        <v>2001</v>
      </c>
      <c r="G100" s="2"/>
    </row>
    <row r="101">
      <c r="B101" s="59" t="s">
        <v>15</v>
      </c>
      <c r="C101" s="59" t="s">
        <v>2002</v>
      </c>
      <c r="D101" s="59" t="s">
        <v>2003</v>
      </c>
      <c r="E101" s="59" t="s">
        <v>2004</v>
      </c>
      <c r="F101" s="59" t="s">
        <v>2005</v>
      </c>
      <c r="G101" s="2"/>
    </row>
    <row r="102">
      <c r="B102" s="59" t="s">
        <v>21</v>
      </c>
      <c r="C102" s="59" t="s">
        <v>997</v>
      </c>
      <c r="D102" s="59" t="s">
        <v>23</v>
      </c>
      <c r="E102" s="59" t="s">
        <v>1011</v>
      </c>
      <c r="F102" s="59" t="s">
        <v>1881</v>
      </c>
      <c r="G102" s="2"/>
    </row>
    <row r="103">
      <c r="B103" s="59" t="s">
        <v>26</v>
      </c>
      <c r="C103" s="59" t="s">
        <v>1156</v>
      </c>
      <c r="D103" s="59" t="s">
        <v>23</v>
      </c>
      <c r="E103" s="59" t="s">
        <v>2006</v>
      </c>
      <c r="F103" s="59" t="s">
        <v>2007</v>
      </c>
      <c r="G103" s="2"/>
    </row>
    <row r="104">
      <c r="B104" s="59" t="s">
        <v>28</v>
      </c>
      <c r="C104" s="59" t="s">
        <v>23</v>
      </c>
      <c r="D104" s="59" t="s">
        <v>23</v>
      </c>
      <c r="E104" s="59" t="s">
        <v>23</v>
      </c>
      <c r="F104" s="59" t="s">
        <v>23</v>
      </c>
      <c r="G104" s="2"/>
    </row>
    <row r="105">
      <c r="A105" s="5" t="s">
        <v>1160</v>
      </c>
      <c r="B105" s="5" t="s">
        <v>3</v>
      </c>
      <c r="C105" s="5" t="s">
        <v>985</v>
      </c>
      <c r="D105" s="5" t="s">
        <v>986</v>
      </c>
      <c r="E105" s="5" t="s">
        <v>987</v>
      </c>
      <c r="F105" s="5" t="s">
        <v>988</v>
      </c>
      <c r="G105" s="2"/>
    </row>
    <row r="106">
      <c r="B106" s="5" t="s">
        <v>9</v>
      </c>
      <c r="C106" s="5" t="s">
        <v>2008</v>
      </c>
      <c r="D106" s="5" t="s">
        <v>2009</v>
      </c>
      <c r="E106" s="5" t="s">
        <v>2010</v>
      </c>
      <c r="F106" s="5" t="s">
        <v>2011</v>
      </c>
      <c r="G106" s="2"/>
    </row>
    <row r="107">
      <c r="B107" s="5" t="s">
        <v>15</v>
      </c>
      <c r="C107" s="5" t="s">
        <v>2002</v>
      </c>
      <c r="D107" s="5" t="s">
        <v>2012</v>
      </c>
      <c r="E107" s="5" t="s">
        <v>1169</v>
      </c>
      <c r="F107" s="5" t="s">
        <v>2013</v>
      </c>
      <c r="G107" s="2"/>
    </row>
    <row r="108">
      <c r="B108" s="5" t="s">
        <v>21</v>
      </c>
      <c r="C108" s="5" t="s">
        <v>997</v>
      </c>
      <c r="D108" s="5" t="s">
        <v>23</v>
      </c>
      <c r="E108" s="5" t="s">
        <v>1011</v>
      </c>
      <c r="F108" s="5" t="s">
        <v>1881</v>
      </c>
      <c r="G108" s="2"/>
    </row>
    <row r="109">
      <c r="B109" s="5" t="s">
        <v>26</v>
      </c>
      <c r="C109" s="5" t="s">
        <v>1156</v>
      </c>
      <c r="D109" s="5" t="s">
        <v>23</v>
      </c>
      <c r="E109" s="5" t="s">
        <v>1169</v>
      </c>
      <c r="F109" s="5" t="s">
        <v>1021</v>
      </c>
      <c r="G109" s="2"/>
    </row>
    <row r="110">
      <c r="B110" s="5" t="s">
        <v>28</v>
      </c>
      <c r="C110" s="5" t="s">
        <v>23</v>
      </c>
      <c r="D110" s="5" t="s">
        <v>23</v>
      </c>
      <c r="E110" s="5" t="s">
        <v>23</v>
      </c>
      <c r="F110" s="5" t="s">
        <v>23</v>
      </c>
      <c r="G110" s="2"/>
    </row>
    <row r="111">
      <c r="A111" s="59" t="s">
        <v>1170</v>
      </c>
      <c r="B111" s="59" t="s">
        <v>3</v>
      </c>
      <c r="C111" s="59" t="s">
        <v>985</v>
      </c>
      <c r="D111" s="59" t="s">
        <v>986</v>
      </c>
      <c r="E111" s="59" t="s">
        <v>987</v>
      </c>
      <c r="F111" s="59" t="s">
        <v>988</v>
      </c>
      <c r="G111" s="2"/>
    </row>
    <row r="112">
      <c r="B112" s="59" t="s">
        <v>9</v>
      </c>
      <c r="C112" s="59" t="s">
        <v>2014</v>
      </c>
      <c r="D112" s="59" t="s">
        <v>2015</v>
      </c>
      <c r="E112" s="59" t="s">
        <v>2016</v>
      </c>
      <c r="F112" s="59" t="s">
        <v>2017</v>
      </c>
      <c r="G112" s="2"/>
    </row>
    <row r="113">
      <c r="B113" s="59" t="s">
        <v>15</v>
      </c>
      <c r="C113" s="59" t="s">
        <v>1694</v>
      </c>
      <c r="D113" s="59" t="s">
        <v>2018</v>
      </c>
      <c r="E113" s="59" t="s">
        <v>1019</v>
      </c>
      <c r="F113" s="59" t="s">
        <v>2019</v>
      </c>
      <c r="G113" s="2"/>
    </row>
    <row r="114">
      <c r="B114" s="59" t="s">
        <v>21</v>
      </c>
      <c r="C114" s="59" t="s">
        <v>997</v>
      </c>
      <c r="D114" s="59" t="s">
        <v>23</v>
      </c>
      <c r="E114" s="59" t="s">
        <v>1011</v>
      </c>
      <c r="F114" s="59" t="s">
        <v>1881</v>
      </c>
      <c r="G114" s="2"/>
    </row>
    <row r="115">
      <c r="B115" s="59" t="s">
        <v>26</v>
      </c>
      <c r="C115" s="59" t="s">
        <v>1694</v>
      </c>
      <c r="D115" s="59" t="s">
        <v>23</v>
      </c>
      <c r="E115" s="59" t="s">
        <v>1019</v>
      </c>
      <c r="F115" s="59" t="s">
        <v>1021</v>
      </c>
      <c r="G115" s="2"/>
    </row>
    <row r="116">
      <c r="B116" s="59" t="s">
        <v>28</v>
      </c>
      <c r="C116" s="59" t="s">
        <v>23</v>
      </c>
      <c r="D116" s="59" t="s">
        <v>23</v>
      </c>
      <c r="E116" s="59" t="s">
        <v>23</v>
      </c>
      <c r="F116" s="59" t="s">
        <v>23</v>
      </c>
      <c r="G116" s="2"/>
    </row>
    <row r="117">
      <c r="A117" s="5" t="s">
        <v>1179</v>
      </c>
      <c r="B117" s="5" t="s">
        <v>3</v>
      </c>
      <c r="C117" s="5" t="s">
        <v>985</v>
      </c>
      <c r="D117" s="5" t="s">
        <v>986</v>
      </c>
      <c r="E117" s="5" t="s">
        <v>987</v>
      </c>
      <c r="F117" s="5" t="s">
        <v>988</v>
      </c>
      <c r="G117" s="2"/>
    </row>
    <row r="118">
      <c r="B118" s="5" t="s">
        <v>9</v>
      </c>
      <c r="C118" s="5" t="s">
        <v>2020</v>
      </c>
      <c r="D118" s="5" t="s">
        <v>2021</v>
      </c>
      <c r="E118" s="5" t="s">
        <v>2022</v>
      </c>
      <c r="F118" s="5" t="s">
        <v>2023</v>
      </c>
      <c r="G118" s="2"/>
    </row>
    <row r="119">
      <c r="B119" s="5" t="s">
        <v>15</v>
      </c>
      <c r="C119" s="5" t="s">
        <v>2024</v>
      </c>
      <c r="D119" s="5" t="s">
        <v>2025</v>
      </c>
      <c r="E119" s="5" t="s">
        <v>1019</v>
      </c>
      <c r="F119" s="5" t="s">
        <v>2026</v>
      </c>
      <c r="G119" s="2"/>
    </row>
    <row r="120">
      <c r="B120" s="5" t="s">
        <v>21</v>
      </c>
      <c r="C120" s="5" t="s">
        <v>997</v>
      </c>
      <c r="D120" s="5" t="s">
        <v>23</v>
      </c>
      <c r="E120" s="5" t="s">
        <v>1011</v>
      </c>
      <c r="F120" s="5" t="s">
        <v>1881</v>
      </c>
      <c r="G120" s="2"/>
    </row>
    <row r="121">
      <c r="B121" s="5" t="s">
        <v>26</v>
      </c>
      <c r="C121" s="5" t="s">
        <v>1187</v>
      </c>
      <c r="D121" s="5" t="s">
        <v>23</v>
      </c>
      <c r="E121" s="5" t="s">
        <v>1019</v>
      </c>
      <c r="F121" s="5" t="s">
        <v>2027</v>
      </c>
      <c r="G121" s="2"/>
    </row>
    <row r="122">
      <c r="B122" s="5" t="s">
        <v>28</v>
      </c>
      <c r="C122" s="5" t="s">
        <v>23</v>
      </c>
      <c r="D122" s="5" t="s">
        <v>23</v>
      </c>
      <c r="E122" s="5" t="s">
        <v>23</v>
      </c>
      <c r="F122" s="5" t="s">
        <v>2028</v>
      </c>
      <c r="G122" s="2"/>
    </row>
    <row r="123">
      <c r="A123" s="59" t="s">
        <v>1188</v>
      </c>
      <c r="B123" s="59" t="s">
        <v>3</v>
      </c>
      <c r="C123" s="59" t="s">
        <v>985</v>
      </c>
      <c r="D123" s="59" t="s">
        <v>986</v>
      </c>
      <c r="E123" s="59" t="s">
        <v>987</v>
      </c>
      <c r="F123" s="59" t="s">
        <v>988</v>
      </c>
      <c r="G123" s="2"/>
    </row>
    <row r="124">
      <c r="B124" s="59" t="s">
        <v>9</v>
      </c>
      <c r="C124" s="59" t="s">
        <v>2029</v>
      </c>
      <c r="D124" s="59" t="s">
        <v>2030</v>
      </c>
      <c r="E124" s="59" t="s">
        <v>2031</v>
      </c>
      <c r="F124" s="59" t="s">
        <v>2029</v>
      </c>
      <c r="G124" s="2"/>
    </row>
    <row r="125">
      <c r="B125" s="59" t="s">
        <v>15</v>
      </c>
      <c r="C125" s="59" t="s">
        <v>2032</v>
      </c>
      <c r="D125" s="59" t="s">
        <v>2033</v>
      </c>
      <c r="E125" s="59" t="s">
        <v>2034</v>
      </c>
      <c r="F125" s="59" t="s">
        <v>1032</v>
      </c>
      <c r="G125" s="2"/>
    </row>
    <row r="126">
      <c r="B126" s="59" t="s">
        <v>21</v>
      </c>
      <c r="C126" s="59" t="s">
        <v>997</v>
      </c>
      <c r="D126" s="59" t="s">
        <v>23</v>
      </c>
      <c r="E126" s="59" t="s">
        <v>1011</v>
      </c>
      <c r="F126" s="59" t="s">
        <v>1881</v>
      </c>
      <c r="G126" s="2"/>
    </row>
    <row r="127">
      <c r="B127" s="59" t="s">
        <v>26</v>
      </c>
      <c r="C127" s="59" t="s">
        <v>1198</v>
      </c>
      <c r="D127" s="59" t="s">
        <v>23</v>
      </c>
      <c r="E127" s="59" t="s">
        <v>2035</v>
      </c>
      <c r="F127" s="59" t="s">
        <v>1032</v>
      </c>
      <c r="G127" s="2"/>
    </row>
    <row r="128">
      <c r="B128" s="59" t="s">
        <v>28</v>
      </c>
      <c r="C128" s="59" t="s">
        <v>1193</v>
      </c>
      <c r="D128" s="59" t="s">
        <v>23</v>
      </c>
      <c r="E128" s="59" t="s">
        <v>23</v>
      </c>
      <c r="F128" s="59" t="s">
        <v>23</v>
      </c>
      <c r="G128" s="2"/>
    </row>
    <row r="129">
      <c r="A129" s="5" t="s">
        <v>1199</v>
      </c>
      <c r="B129" s="5" t="s">
        <v>3</v>
      </c>
      <c r="C129" s="5" t="s">
        <v>985</v>
      </c>
      <c r="D129" s="5" t="s">
        <v>986</v>
      </c>
      <c r="E129" s="5" t="s">
        <v>987</v>
      </c>
      <c r="F129" s="5" t="s">
        <v>988</v>
      </c>
      <c r="G129" s="2"/>
    </row>
    <row r="130">
      <c r="B130" s="5" t="s">
        <v>9</v>
      </c>
      <c r="C130" s="5" t="s">
        <v>2036</v>
      </c>
      <c r="D130" s="5" t="s">
        <v>2037</v>
      </c>
      <c r="E130" s="5" t="s">
        <v>2038</v>
      </c>
      <c r="F130" s="5" t="s">
        <v>2039</v>
      </c>
      <c r="G130" s="2"/>
    </row>
    <row r="131">
      <c r="B131" s="5" t="s">
        <v>15</v>
      </c>
      <c r="C131" s="5" t="s">
        <v>1203</v>
      </c>
      <c r="D131" s="5" t="s">
        <v>2040</v>
      </c>
      <c r="E131" s="5" t="s">
        <v>2041</v>
      </c>
      <c r="F131" s="5" t="s">
        <v>2042</v>
      </c>
      <c r="G131" s="2"/>
    </row>
    <row r="132">
      <c r="B132" s="5" t="s">
        <v>21</v>
      </c>
      <c r="C132" s="5" t="s">
        <v>997</v>
      </c>
      <c r="D132" s="5" t="s">
        <v>23</v>
      </c>
      <c r="E132" s="5" t="s">
        <v>1011</v>
      </c>
      <c r="F132" s="5" t="s">
        <v>1881</v>
      </c>
      <c r="G132" s="2"/>
    </row>
    <row r="133">
      <c r="B133" s="5" t="s">
        <v>26</v>
      </c>
      <c r="C133" s="5" t="s">
        <v>1198</v>
      </c>
      <c r="D133" s="5" t="s">
        <v>23</v>
      </c>
      <c r="E133" s="5" t="s">
        <v>1207</v>
      </c>
      <c r="F133" s="5" t="s">
        <v>1208</v>
      </c>
      <c r="G133" s="2"/>
    </row>
    <row r="134">
      <c r="B134" s="5" t="s">
        <v>28</v>
      </c>
      <c r="C134" s="5" t="s">
        <v>2043</v>
      </c>
      <c r="D134" s="5" t="s">
        <v>23</v>
      </c>
      <c r="E134" s="5" t="s">
        <v>2044</v>
      </c>
      <c r="F134" s="5" t="s">
        <v>23</v>
      </c>
      <c r="G134" s="2"/>
    </row>
    <row r="135">
      <c r="A135" s="59" t="s">
        <v>1209</v>
      </c>
      <c r="B135" s="59" t="s">
        <v>3</v>
      </c>
      <c r="C135" s="59" t="s">
        <v>985</v>
      </c>
      <c r="D135" s="59" t="s">
        <v>986</v>
      </c>
      <c r="E135" s="59" t="s">
        <v>987</v>
      </c>
      <c r="F135" s="59" t="s">
        <v>988</v>
      </c>
      <c r="G135" s="2"/>
    </row>
    <row r="136">
      <c r="B136" s="59" t="s">
        <v>9</v>
      </c>
      <c r="C136" s="59" t="s">
        <v>2045</v>
      </c>
      <c r="D136" s="59" t="s">
        <v>2046</v>
      </c>
      <c r="E136" s="59" t="s">
        <v>2047</v>
      </c>
      <c r="F136" s="59" t="s">
        <v>2048</v>
      </c>
      <c r="G136" s="2"/>
    </row>
    <row r="137">
      <c r="B137" s="59" t="s">
        <v>15</v>
      </c>
      <c r="C137" s="59" t="s">
        <v>2049</v>
      </c>
      <c r="D137" s="59" t="s">
        <v>2050</v>
      </c>
      <c r="E137" s="59" t="s">
        <v>2051</v>
      </c>
      <c r="F137" s="59" t="s">
        <v>2052</v>
      </c>
      <c r="G137" s="2"/>
    </row>
    <row r="138">
      <c r="B138" s="59" t="s">
        <v>21</v>
      </c>
      <c r="C138" s="59" t="s">
        <v>997</v>
      </c>
      <c r="D138" s="59" t="s">
        <v>23</v>
      </c>
      <c r="E138" s="59" t="s">
        <v>1011</v>
      </c>
      <c r="F138" s="59" t="s">
        <v>1881</v>
      </c>
      <c r="G138" s="2"/>
    </row>
    <row r="139">
      <c r="B139" s="59" t="s">
        <v>26</v>
      </c>
      <c r="C139" s="59" t="s">
        <v>2053</v>
      </c>
      <c r="D139" s="59" t="s">
        <v>23</v>
      </c>
      <c r="E139" s="59" t="s">
        <v>2051</v>
      </c>
      <c r="F139" s="59" t="s">
        <v>23</v>
      </c>
      <c r="G139" s="2"/>
    </row>
    <row r="140">
      <c r="B140" s="59" t="s">
        <v>28</v>
      </c>
      <c r="C140" s="59" t="s">
        <v>1764</v>
      </c>
      <c r="D140" s="59" t="s">
        <v>23</v>
      </c>
      <c r="E140" s="59" t="s">
        <v>23</v>
      </c>
      <c r="F140" s="59" t="s">
        <v>2052</v>
      </c>
      <c r="G140" s="2"/>
    </row>
    <row r="141">
      <c r="A141" s="5" t="s">
        <v>1218</v>
      </c>
      <c r="B141" s="5" t="s">
        <v>3</v>
      </c>
      <c r="C141" s="5" t="s">
        <v>985</v>
      </c>
      <c r="D141" s="5" t="s">
        <v>986</v>
      </c>
      <c r="E141" s="5" t="s">
        <v>987</v>
      </c>
      <c r="F141" s="5" t="s">
        <v>988</v>
      </c>
      <c r="G141" s="2"/>
    </row>
    <row r="142">
      <c r="B142" s="5" t="s">
        <v>9</v>
      </c>
      <c r="C142" s="5" t="s">
        <v>2054</v>
      </c>
      <c r="D142" s="5" t="s">
        <v>2055</v>
      </c>
      <c r="E142" s="5" t="s">
        <v>2056</v>
      </c>
      <c r="F142" s="5" t="s">
        <v>2057</v>
      </c>
      <c r="G142" s="2"/>
    </row>
    <row r="143">
      <c r="B143" s="5" t="s">
        <v>15</v>
      </c>
      <c r="C143" s="5" t="s">
        <v>2058</v>
      </c>
      <c r="D143" s="5" t="s">
        <v>2059</v>
      </c>
      <c r="E143" s="5" t="s">
        <v>2060</v>
      </c>
      <c r="F143" s="5" t="s">
        <v>2061</v>
      </c>
      <c r="G143" s="2"/>
    </row>
    <row r="144">
      <c r="B144" s="5" t="s">
        <v>21</v>
      </c>
      <c r="C144" s="5" t="s">
        <v>997</v>
      </c>
      <c r="D144" s="5" t="s">
        <v>23</v>
      </c>
      <c r="E144" s="5" t="s">
        <v>1011</v>
      </c>
      <c r="F144" s="5" t="s">
        <v>1881</v>
      </c>
      <c r="G144" s="2"/>
    </row>
    <row r="145">
      <c r="B145" s="5" t="s">
        <v>26</v>
      </c>
      <c r="C145" s="5" t="s">
        <v>2062</v>
      </c>
      <c r="D145" s="5" t="s">
        <v>23</v>
      </c>
      <c r="E145" s="5" t="s">
        <v>2063</v>
      </c>
      <c r="F145" s="5" t="s">
        <v>1779</v>
      </c>
      <c r="G145" s="2"/>
    </row>
    <row r="146">
      <c r="B146" s="5" t="s">
        <v>28</v>
      </c>
      <c r="C146" s="5" t="s">
        <v>1193</v>
      </c>
      <c r="D146" s="5" t="s">
        <v>23</v>
      </c>
      <c r="E146" s="5" t="s">
        <v>23</v>
      </c>
      <c r="F146" s="5" t="s">
        <v>2064</v>
      </c>
      <c r="G146" s="2"/>
    </row>
    <row r="147">
      <c r="A147" s="59" t="s">
        <v>1231</v>
      </c>
      <c r="B147" s="59" t="s">
        <v>3</v>
      </c>
      <c r="C147" s="59" t="s">
        <v>985</v>
      </c>
      <c r="D147" s="59" t="s">
        <v>986</v>
      </c>
      <c r="E147" s="59" t="s">
        <v>987</v>
      </c>
      <c r="F147" s="59" t="s">
        <v>988</v>
      </c>
      <c r="G147" s="2"/>
    </row>
    <row r="148">
      <c r="B148" s="59" t="s">
        <v>9</v>
      </c>
      <c r="C148" s="59" t="s">
        <v>2065</v>
      </c>
      <c r="D148" s="59" t="s">
        <v>2066</v>
      </c>
      <c r="E148" s="59" t="s">
        <v>2067</v>
      </c>
      <c r="F148" s="59" t="s">
        <v>2068</v>
      </c>
      <c r="G148" s="2"/>
    </row>
    <row r="149">
      <c r="B149" s="59" t="s">
        <v>15</v>
      </c>
      <c r="C149" s="59" t="s">
        <v>2069</v>
      </c>
      <c r="D149" s="59" t="s">
        <v>2070</v>
      </c>
      <c r="E149" s="59" t="s">
        <v>2071</v>
      </c>
      <c r="F149" s="59" t="s">
        <v>1239</v>
      </c>
      <c r="G149" s="2"/>
    </row>
    <row r="150">
      <c r="B150" s="59" t="s">
        <v>21</v>
      </c>
      <c r="C150" s="59" t="s">
        <v>997</v>
      </c>
      <c r="D150" s="59" t="s">
        <v>23</v>
      </c>
      <c r="E150" s="59" t="s">
        <v>1011</v>
      </c>
      <c r="F150" s="59" t="s">
        <v>1881</v>
      </c>
      <c r="G150" s="2"/>
    </row>
    <row r="151">
      <c r="B151" s="59" t="s">
        <v>26</v>
      </c>
      <c r="C151" s="59" t="s">
        <v>1236</v>
      </c>
      <c r="D151" s="59" t="s">
        <v>23</v>
      </c>
      <c r="E151" s="59" t="s">
        <v>1240</v>
      </c>
      <c r="F151" s="59" t="s">
        <v>1079</v>
      </c>
      <c r="G151" s="2"/>
    </row>
    <row r="152">
      <c r="B152" s="59" t="s">
        <v>28</v>
      </c>
      <c r="C152" s="59" t="s">
        <v>2072</v>
      </c>
      <c r="D152" s="59" t="s">
        <v>23</v>
      </c>
      <c r="E152" s="59" t="s">
        <v>23</v>
      </c>
      <c r="F152" s="59" t="s">
        <v>1239</v>
      </c>
      <c r="G152" s="2"/>
    </row>
    <row r="153">
      <c r="A153" s="5" t="s">
        <v>1241</v>
      </c>
      <c r="B153" s="5" t="s">
        <v>3</v>
      </c>
      <c r="C153" s="5" t="s">
        <v>985</v>
      </c>
      <c r="D153" s="5" t="s">
        <v>986</v>
      </c>
      <c r="E153" s="5" t="s">
        <v>987</v>
      </c>
      <c r="F153" s="5" t="s">
        <v>988</v>
      </c>
      <c r="G153" s="2"/>
    </row>
    <row r="154">
      <c r="B154" s="5" t="s">
        <v>9</v>
      </c>
      <c r="C154" s="5" t="s">
        <v>2073</v>
      </c>
      <c r="D154" s="5" t="s">
        <v>2074</v>
      </c>
      <c r="E154" s="5" t="s">
        <v>2075</v>
      </c>
      <c r="F154" s="5" t="s">
        <v>2076</v>
      </c>
      <c r="G154" s="2"/>
    </row>
    <row r="155">
      <c r="B155" s="5" t="s">
        <v>15</v>
      </c>
      <c r="C155" s="5" t="s">
        <v>2077</v>
      </c>
      <c r="D155" s="5" t="s">
        <v>1247</v>
      </c>
      <c r="E155" s="5" t="s">
        <v>2078</v>
      </c>
      <c r="F155" s="5" t="s">
        <v>2079</v>
      </c>
      <c r="G155" s="2"/>
    </row>
    <row r="156">
      <c r="B156" s="5" t="s">
        <v>21</v>
      </c>
      <c r="C156" s="5" t="s">
        <v>997</v>
      </c>
      <c r="D156" s="5" t="s">
        <v>23</v>
      </c>
      <c r="E156" s="5" t="s">
        <v>1011</v>
      </c>
      <c r="F156" s="5" t="s">
        <v>1881</v>
      </c>
      <c r="G156" s="2"/>
    </row>
    <row r="157">
      <c r="B157" s="5" t="s">
        <v>26</v>
      </c>
      <c r="C157" s="5" t="s">
        <v>1246</v>
      </c>
      <c r="D157" s="5" t="s">
        <v>23</v>
      </c>
      <c r="E157" s="5" t="s">
        <v>2078</v>
      </c>
      <c r="F157" s="5" t="s">
        <v>1250</v>
      </c>
      <c r="G157" s="2"/>
    </row>
    <row r="158">
      <c r="B158" s="5" t="s">
        <v>28</v>
      </c>
      <c r="C158" s="5" t="s">
        <v>23</v>
      </c>
      <c r="D158" s="5" t="s">
        <v>23</v>
      </c>
      <c r="E158" s="5" t="s">
        <v>23</v>
      </c>
      <c r="F158" s="5" t="s">
        <v>23</v>
      </c>
      <c r="G158" s="2"/>
    </row>
    <row r="159">
      <c r="A159" s="59" t="s">
        <v>1251</v>
      </c>
      <c r="B159" s="59" t="s">
        <v>3</v>
      </c>
      <c r="C159" s="59" t="s">
        <v>985</v>
      </c>
      <c r="D159" s="59" t="s">
        <v>986</v>
      </c>
      <c r="E159" s="59" t="s">
        <v>987</v>
      </c>
      <c r="F159" s="59" t="s">
        <v>988</v>
      </c>
      <c r="G159" s="2"/>
    </row>
    <row r="160">
      <c r="B160" s="59" t="s">
        <v>9</v>
      </c>
      <c r="C160" s="59" t="s">
        <v>2080</v>
      </c>
      <c r="D160" s="59" t="s">
        <v>2081</v>
      </c>
      <c r="E160" s="59" t="s">
        <v>2082</v>
      </c>
      <c r="F160" s="59" t="s">
        <v>2083</v>
      </c>
      <c r="G160" s="2"/>
    </row>
    <row r="161">
      <c r="B161" s="59" t="s">
        <v>15</v>
      </c>
      <c r="C161" s="59" t="s">
        <v>2084</v>
      </c>
      <c r="D161" s="59" t="s">
        <v>2085</v>
      </c>
      <c r="E161" s="59" t="s">
        <v>2086</v>
      </c>
      <c r="F161" s="59" t="s">
        <v>2087</v>
      </c>
      <c r="G161" s="2"/>
    </row>
    <row r="162">
      <c r="B162" s="59" t="s">
        <v>21</v>
      </c>
      <c r="C162" s="59" t="s">
        <v>997</v>
      </c>
      <c r="D162" s="59" t="s">
        <v>23</v>
      </c>
      <c r="E162" s="59" t="s">
        <v>1011</v>
      </c>
      <c r="F162" s="59" t="s">
        <v>1881</v>
      </c>
      <c r="G162" s="2"/>
    </row>
    <row r="163">
      <c r="B163" s="59" t="s">
        <v>26</v>
      </c>
      <c r="C163" s="59" t="s">
        <v>2088</v>
      </c>
      <c r="D163" s="59" t="s">
        <v>23</v>
      </c>
      <c r="E163" s="59" t="s">
        <v>1260</v>
      </c>
      <c r="F163" s="59" t="s">
        <v>2027</v>
      </c>
      <c r="G163" s="2"/>
    </row>
    <row r="164">
      <c r="B164" s="59" t="s">
        <v>28</v>
      </c>
      <c r="C164" s="59" t="s">
        <v>23</v>
      </c>
      <c r="D164" s="59" t="s">
        <v>23</v>
      </c>
      <c r="E164" s="59" t="s">
        <v>23</v>
      </c>
      <c r="F164" s="59" t="s">
        <v>2089</v>
      </c>
      <c r="G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sheetData>
  <mergeCells count="27">
    <mergeCell ref="A3:A8"/>
    <mergeCell ref="A9:A14"/>
    <mergeCell ref="A15:A20"/>
    <mergeCell ref="A21:A26"/>
    <mergeCell ref="A27:A32"/>
    <mergeCell ref="A33:A38"/>
    <mergeCell ref="A39:A44"/>
    <mergeCell ref="A45:A50"/>
    <mergeCell ref="A51:A56"/>
    <mergeCell ref="A57:A62"/>
    <mergeCell ref="A63:A68"/>
    <mergeCell ref="A69:A74"/>
    <mergeCell ref="A75:A80"/>
    <mergeCell ref="A81:A86"/>
    <mergeCell ref="A129:A134"/>
    <mergeCell ref="A135:A140"/>
    <mergeCell ref="A141:A146"/>
    <mergeCell ref="A147:A152"/>
    <mergeCell ref="A153:A158"/>
    <mergeCell ref="A159:A164"/>
    <mergeCell ref="A87:A92"/>
    <mergeCell ref="A93:A98"/>
    <mergeCell ref="A99:A104"/>
    <mergeCell ref="A105:A110"/>
    <mergeCell ref="A111:A116"/>
    <mergeCell ref="A117:A122"/>
    <mergeCell ref="A123:A12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5.5"/>
    <col customWidth="1" hidden="1" min="3" max="3" width="31.5"/>
    <col customWidth="1" min="4" max="4" width="51.5"/>
    <col customWidth="1" min="5" max="5" width="39.88"/>
    <col customWidth="1" min="6" max="6" width="36.75"/>
    <col customWidth="1" min="7" max="7" width="35.63"/>
    <col customWidth="1" min="8" max="8" width="41.0"/>
  </cols>
  <sheetData>
    <row r="1">
      <c r="A1" s="100" t="s">
        <v>1261</v>
      </c>
      <c r="B1" s="100" t="s">
        <v>431</v>
      </c>
      <c r="C1" s="100" t="s">
        <v>1262</v>
      </c>
      <c r="D1" s="97" t="s">
        <v>1263</v>
      </c>
      <c r="E1" s="97" t="s">
        <v>1264</v>
      </c>
      <c r="F1" s="97" t="s">
        <v>1265</v>
      </c>
      <c r="G1" s="97" t="s">
        <v>1266</v>
      </c>
      <c r="H1" s="100" t="s">
        <v>1267</v>
      </c>
      <c r="I1" s="97" t="s">
        <v>1268</v>
      </c>
      <c r="J1" s="97" t="s">
        <v>1269</v>
      </c>
      <c r="K1" s="97" t="s">
        <v>1270</v>
      </c>
      <c r="L1" s="97" t="s">
        <v>1271</v>
      </c>
    </row>
    <row r="2">
      <c r="A2" s="101" t="s">
        <v>1272</v>
      </c>
      <c r="B2" s="101"/>
      <c r="C2" s="101"/>
      <c r="D2" s="59" t="s">
        <v>1876</v>
      </c>
      <c r="E2" s="59" t="s">
        <v>1877</v>
      </c>
      <c r="F2" s="59" t="s">
        <v>1878</v>
      </c>
      <c r="G2" s="59" t="s">
        <v>1879</v>
      </c>
      <c r="H2" s="101"/>
      <c r="I2" s="103"/>
      <c r="J2" s="103"/>
      <c r="K2" s="103"/>
      <c r="L2" s="103"/>
    </row>
    <row r="3">
      <c r="A3" s="101" t="s">
        <v>1273</v>
      </c>
      <c r="B3" s="101" t="s">
        <v>1274</v>
      </c>
      <c r="C3" s="101" t="s">
        <v>1275</v>
      </c>
      <c r="D3" s="103" t="s">
        <v>1276</v>
      </c>
      <c r="E3" s="103" t="s">
        <v>1277</v>
      </c>
      <c r="F3" s="103" t="s">
        <v>1278</v>
      </c>
      <c r="G3" s="103" t="s">
        <v>1002</v>
      </c>
      <c r="H3" s="101" t="s">
        <v>1000</v>
      </c>
      <c r="I3" s="103" t="s">
        <v>1275</v>
      </c>
      <c r="J3" s="103" t="s">
        <v>1279</v>
      </c>
      <c r="K3" s="103" t="s">
        <v>1280</v>
      </c>
      <c r="L3" s="103" t="s">
        <v>1002</v>
      </c>
    </row>
    <row r="4">
      <c r="A4" s="101" t="s">
        <v>1281</v>
      </c>
      <c r="B4" s="101"/>
      <c r="C4" s="101"/>
      <c r="D4" s="102">
        <v>1.0</v>
      </c>
      <c r="E4" s="102">
        <v>1.0</v>
      </c>
      <c r="F4" s="102">
        <v>1.0</v>
      </c>
      <c r="G4" s="102">
        <v>1.0</v>
      </c>
      <c r="H4" s="101"/>
      <c r="I4" s="103"/>
      <c r="J4" s="103"/>
      <c r="K4" s="103"/>
      <c r="L4" s="103"/>
    </row>
    <row r="5">
      <c r="A5" s="101" t="s">
        <v>1282</v>
      </c>
      <c r="B5" s="101"/>
      <c r="C5" s="101"/>
      <c r="D5" s="102">
        <v>1.0</v>
      </c>
      <c r="E5" s="102">
        <v>1.0</v>
      </c>
      <c r="F5" s="102">
        <v>1.0</v>
      </c>
      <c r="G5" s="102">
        <v>1.0</v>
      </c>
      <c r="H5" s="101"/>
      <c r="I5" s="103"/>
      <c r="J5" s="103"/>
      <c r="K5" s="103"/>
      <c r="L5" s="101"/>
    </row>
    <row r="6">
      <c r="A6" s="101" t="s">
        <v>948</v>
      </c>
      <c r="B6" s="101"/>
      <c r="C6" s="101"/>
      <c r="D6" s="102">
        <v>1.0</v>
      </c>
      <c r="E6" s="102">
        <v>1.0</v>
      </c>
      <c r="F6" s="102">
        <v>1.0</v>
      </c>
      <c r="G6" s="102">
        <v>1.0</v>
      </c>
      <c r="H6" s="101"/>
      <c r="I6" s="103"/>
      <c r="J6" s="103"/>
      <c r="K6" s="103"/>
      <c r="L6" s="103"/>
    </row>
    <row r="7">
      <c r="A7" s="101" t="s">
        <v>1283</v>
      </c>
      <c r="B7" s="101"/>
      <c r="C7" s="101"/>
      <c r="D7" s="102">
        <v>1.0</v>
      </c>
      <c r="E7" s="102">
        <v>1.0</v>
      </c>
      <c r="F7" s="102">
        <v>1.0</v>
      </c>
      <c r="G7" s="102">
        <v>1.0</v>
      </c>
      <c r="H7" s="101"/>
      <c r="I7" s="103"/>
      <c r="J7" s="103"/>
      <c r="K7" s="103"/>
      <c r="L7" s="103"/>
    </row>
    <row r="8">
      <c r="A8" s="101" t="s">
        <v>950</v>
      </c>
      <c r="B8" s="101"/>
      <c r="C8" s="101"/>
      <c r="D8" s="102">
        <v>1.0</v>
      </c>
      <c r="E8" s="102">
        <v>1.0</v>
      </c>
      <c r="F8" s="102">
        <v>1.0</v>
      </c>
      <c r="G8" s="102">
        <v>1.0</v>
      </c>
      <c r="H8" s="101"/>
      <c r="I8" s="103"/>
      <c r="J8" s="103"/>
      <c r="K8" s="103"/>
      <c r="L8" s="103"/>
    </row>
    <row r="9">
      <c r="A9" s="103" t="s">
        <v>951</v>
      </c>
      <c r="B9" s="103"/>
      <c r="C9" s="103"/>
      <c r="D9" s="102">
        <v>1.0</v>
      </c>
      <c r="E9" s="102">
        <v>1.0</v>
      </c>
      <c r="F9" s="102">
        <v>1.0</v>
      </c>
      <c r="G9" s="102">
        <v>1.0</v>
      </c>
      <c r="H9" s="103"/>
      <c r="I9" s="103"/>
      <c r="J9" s="103"/>
      <c r="K9" s="103"/>
      <c r="L9" s="103"/>
    </row>
    <row r="10">
      <c r="A10" s="101" t="s">
        <v>952</v>
      </c>
      <c r="B10" s="103"/>
      <c r="C10" s="103"/>
      <c r="D10" s="102">
        <v>1.0</v>
      </c>
      <c r="E10" s="102">
        <v>1.0</v>
      </c>
      <c r="F10" s="102">
        <v>1.0</v>
      </c>
      <c r="G10" s="102">
        <v>1.0</v>
      </c>
      <c r="H10" s="103"/>
      <c r="I10" s="103"/>
      <c r="J10" s="103"/>
      <c r="K10" s="103"/>
      <c r="L10" s="103"/>
    </row>
    <row r="11">
      <c r="A11" s="103" t="s">
        <v>1284</v>
      </c>
      <c r="B11" s="103" t="s">
        <v>1274</v>
      </c>
      <c r="C11" s="103" t="s">
        <v>1285</v>
      </c>
      <c r="D11" s="103" t="s">
        <v>1286</v>
      </c>
      <c r="E11" s="103" t="s">
        <v>1287</v>
      </c>
      <c r="F11" s="103" t="s">
        <v>1280</v>
      </c>
      <c r="G11" s="103" t="s">
        <v>1288</v>
      </c>
      <c r="H11" s="103" t="s">
        <v>1275</v>
      </c>
      <c r="I11" s="101" t="s">
        <v>1289</v>
      </c>
      <c r="J11" s="103" t="s">
        <v>1290</v>
      </c>
      <c r="K11" s="103" t="s">
        <v>1280</v>
      </c>
      <c r="L11" s="103" t="s">
        <v>1002</v>
      </c>
    </row>
    <row r="12">
      <c r="A12" s="103" t="s">
        <v>1281</v>
      </c>
      <c r="B12" s="103"/>
      <c r="C12" s="103"/>
      <c r="D12" s="102">
        <v>1.0</v>
      </c>
      <c r="E12" s="102">
        <v>1.0</v>
      </c>
      <c r="F12" s="102">
        <v>1.0</v>
      </c>
      <c r="G12" s="102">
        <v>1.0</v>
      </c>
      <c r="H12" s="103"/>
      <c r="I12" s="103"/>
      <c r="J12" s="103"/>
      <c r="K12" s="103"/>
      <c r="L12" s="103"/>
    </row>
    <row r="13">
      <c r="A13" s="103" t="s">
        <v>1282</v>
      </c>
      <c r="B13" s="103"/>
      <c r="C13" s="103"/>
      <c r="D13" s="102">
        <v>1.0</v>
      </c>
      <c r="E13" s="102">
        <v>1.0</v>
      </c>
      <c r="F13" s="102">
        <v>1.0</v>
      </c>
      <c r="G13" s="102">
        <v>1.0</v>
      </c>
      <c r="H13" s="103"/>
      <c r="I13" s="103"/>
      <c r="J13" s="103"/>
      <c r="K13" s="103"/>
      <c r="L13" s="103"/>
    </row>
    <row r="14">
      <c r="A14" s="103" t="s">
        <v>948</v>
      </c>
      <c r="B14" s="103"/>
      <c r="C14" s="103"/>
      <c r="D14" s="102">
        <v>1.0</v>
      </c>
      <c r="E14" s="102">
        <v>0.0</v>
      </c>
      <c r="F14" s="102">
        <v>1.0</v>
      </c>
      <c r="G14" s="102">
        <v>1.0</v>
      </c>
      <c r="H14" s="103"/>
      <c r="I14" s="103"/>
      <c r="J14" s="103"/>
      <c r="K14" s="103"/>
      <c r="L14" s="103"/>
    </row>
    <row r="15">
      <c r="A15" s="103" t="s">
        <v>1283</v>
      </c>
      <c r="B15" s="103"/>
      <c r="C15" s="103"/>
      <c r="D15" s="102">
        <v>1.0</v>
      </c>
      <c r="E15" s="102">
        <v>1.0</v>
      </c>
      <c r="F15" s="102">
        <v>1.0</v>
      </c>
      <c r="G15" s="102">
        <v>1.0</v>
      </c>
      <c r="H15" s="103"/>
      <c r="I15" s="103"/>
      <c r="J15" s="103"/>
      <c r="K15" s="103"/>
      <c r="L15" s="103"/>
    </row>
    <row r="16">
      <c r="A16" s="103" t="s">
        <v>950</v>
      </c>
      <c r="B16" s="103"/>
      <c r="C16" s="103"/>
      <c r="D16" s="102">
        <v>0.0</v>
      </c>
      <c r="E16" s="102">
        <v>1.0</v>
      </c>
      <c r="F16" s="102">
        <v>1.0</v>
      </c>
      <c r="G16" s="102">
        <v>0.0</v>
      </c>
      <c r="H16" s="103"/>
      <c r="I16" s="103"/>
      <c r="J16" s="103"/>
      <c r="K16" s="103"/>
      <c r="L16" s="103"/>
    </row>
    <row r="17">
      <c r="A17" s="103" t="s">
        <v>951</v>
      </c>
      <c r="B17" s="103"/>
      <c r="C17" s="103"/>
      <c r="D17" s="102">
        <v>1.0</v>
      </c>
      <c r="E17" s="102">
        <v>1.0</v>
      </c>
      <c r="F17" s="102">
        <v>1.0</v>
      </c>
      <c r="G17" s="102">
        <v>1.0</v>
      </c>
      <c r="H17" s="103"/>
      <c r="I17" s="103"/>
      <c r="J17" s="103"/>
      <c r="K17" s="103"/>
      <c r="L17" s="103"/>
    </row>
    <row r="18">
      <c r="A18" s="103" t="s">
        <v>952</v>
      </c>
      <c r="B18" s="103"/>
      <c r="C18" s="103"/>
      <c r="D18" s="102">
        <v>1.0</v>
      </c>
      <c r="E18" s="102">
        <v>1.0</v>
      </c>
      <c r="F18" s="102">
        <v>1.0</v>
      </c>
      <c r="G18" s="102">
        <v>1.0</v>
      </c>
      <c r="H18" s="103"/>
      <c r="I18" s="103"/>
      <c r="J18" s="103"/>
      <c r="K18" s="103"/>
      <c r="L18" s="103"/>
    </row>
    <row r="19">
      <c r="A19" s="103" t="s">
        <v>1291</v>
      </c>
      <c r="B19" s="103" t="s">
        <v>1274</v>
      </c>
      <c r="C19" s="103" t="s">
        <v>1292</v>
      </c>
      <c r="D19" s="103" t="s">
        <v>1293</v>
      </c>
      <c r="E19" s="103" t="s">
        <v>1294</v>
      </c>
      <c r="F19" s="103" t="s">
        <v>1295</v>
      </c>
      <c r="G19" s="103" t="s">
        <v>1296</v>
      </c>
      <c r="H19" s="103" t="s">
        <v>1275</v>
      </c>
      <c r="I19" s="103" t="s">
        <v>1297</v>
      </c>
      <c r="J19" s="103" t="s">
        <v>1298</v>
      </c>
      <c r="K19" s="103" t="s">
        <v>1280</v>
      </c>
      <c r="L19" s="103" t="s">
        <v>1002</v>
      </c>
    </row>
    <row r="20">
      <c r="A20" s="103" t="s">
        <v>1281</v>
      </c>
      <c r="B20" s="103"/>
      <c r="C20" s="103"/>
      <c r="D20" s="102">
        <v>0.0</v>
      </c>
      <c r="E20" s="102">
        <v>1.0</v>
      </c>
      <c r="F20" s="102">
        <v>1.0</v>
      </c>
      <c r="G20" s="102">
        <v>1.0</v>
      </c>
      <c r="H20" s="103"/>
      <c r="I20" s="103"/>
      <c r="J20" s="103"/>
      <c r="K20" s="103"/>
      <c r="L20" s="103"/>
    </row>
    <row r="21">
      <c r="A21" s="103" t="s">
        <v>1282</v>
      </c>
      <c r="B21" s="103"/>
      <c r="C21" s="103"/>
      <c r="D21" s="102">
        <v>0.0</v>
      </c>
      <c r="E21" s="102">
        <v>1.0</v>
      </c>
      <c r="F21" s="102">
        <v>1.0</v>
      </c>
      <c r="G21" s="102">
        <v>1.0</v>
      </c>
      <c r="H21" s="103"/>
      <c r="I21" s="103"/>
      <c r="J21" s="103"/>
      <c r="K21" s="103"/>
      <c r="L21" s="103"/>
    </row>
    <row r="22">
      <c r="A22" s="103" t="s">
        <v>948</v>
      </c>
      <c r="B22" s="103"/>
      <c r="C22" s="103"/>
      <c r="D22" s="102">
        <v>0.0</v>
      </c>
      <c r="E22" s="102">
        <v>1.0</v>
      </c>
      <c r="F22" s="102">
        <v>1.0</v>
      </c>
      <c r="G22" s="102">
        <v>1.0</v>
      </c>
      <c r="H22" s="103"/>
      <c r="I22" s="103"/>
      <c r="J22" s="103"/>
      <c r="K22" s="103"/>
      <c r="L22" s="103"/>
    </row>
    <row r="23">
      <c r="A23" s="103" t="s">
        <v>1283</v>
      </c>
      <c r="B23" s="103"/>
      <c r="C23" s="103"/>
      <c r="D23" s="102">
        <v>1.0</v>
      </c>
      <c r="E23" s="102">
        <v>1.0</v>
      </c>
      <c r="F23" s="102">
        <v>1.0</v>
      </c>
      <c r="G23" s="102">
        <v>1.0</v>
      </c>
      <c r="H23" s="101"/>
      <c r="I23" s="103"/>
      <c r="J23" s="103"/>
      <c r="K23" s="103"/>
      <c r="L23" s="103"/>
    </row>
    <row r="24">
      <c r="A24" s="103" t="s">
        <v>950</v>
      </c>
      <c r="B24" s="101"/>
      <c r="C24" s="103"/>
      <c r="D24" s="102">
        <v>1.0</v>
      </c>
      <c r="E24" s="102">
        <v>1.0</v>
      </c>
      <c r="F24" s="102">
        <v>1.0</v>
      </c>
      <c r="G24" s="102">
        <v>1.0</v>
      </c>
      <c r="H24" s="101"/>
      <c r="I24" s="103"/>
      <c r="J24" s="103"/>
      <c r="K24" s="103"/>
      <c r="L24" s="103"/>
    </row>
    <row r="25">
      <c r="A25" s="103" t="s">
        <v>951</v>
      </c>
      <c r="B25" s="101"/>
      <c r="C25" s="103"/>
      <c r="D25" s="102">
        <v>0.0</v>
      </c>
      <c r="E25" s="102">
        <v>1.0</v>
      </c>
      <c r="F25" s="102">
        <v>1.0</v>
      </c>
      <c r="G25" s="102">
        <v>1.0</v>
      </c>
      <c r="H25" s="101"/>
      <c r="I25" s="103"/>
      <c r="J25" s="103"/>
      <c r="K25" s="103"/>
      <c r="L25" s="103"/>
    </row>
    <row r="26">
      <c r="A26" s="103" t="s">
        <v>952</v>
      </c>
      <c r="B26" s="101"/>
      <c r="C26" s="103"/>
      <c r="D26" s="102">
        <v>1.0</v>
      </c>
      <c r="E26" s="102">
        <v>1.0</v>
      </c>
      <c r="F26" s="102">
        <v>1.0</v>
      </c>
      <c r="G26" s="102">
        <v>1.0</v>
      </c>
      <c r="H26" s="101"/>
      <c r="I26" s="103"/>
      <c r="J26" s="103"/>
      <c r="K26" s="103"/>
      <c r="L26" s="103"/>
    </row>
    <row r="27">
      <c r="A27" s="97" t="s">
        <v>1272</v>
      </c>
      <c r="B27" s="100"/>
      <c r="C27" s="97"/>
      <c r="D27" s="5" t="s">
        <v>1888</v>
      </c>
      <c r="E27" s="5" t="s">
        <v>1008</v>
      </c>
      <c r="F27" s="5" t="s">
        <v>1889</v>
      </c>
      <c r="G27" s="5" t="s">
        <v>1010</v>
      </c>
      <c r="H27" s="100"/>
      <c r="I27" s="97"/>
      <c r="J27" s="97"/>
      <c r="K27" s="97"/>
      <c r="L27" s="97"/>
    </row>
    <row r="28">
      <c r="A28" s="97" t="s">
        <v>1273</v>
      </c>
      <c r="B28" s="100" t="s">
        <v>1300</v>
      </c>
      <c r="C28" s="97" t="s">
        <v>1301</v>
      </c>
      <c r="D28" s="97" t="s">
        <v>1302</v>
      </c>
      <c r="E28" s="97" t="s">
        <v>1303</v>
      </c>
      <c r="F28" s="97" t="s">
        <v>1304</v>
      </c>
      <c r="G28" s="97" t="s">
        <v>1305</v>
      </c>
      <c r="H28" s="100" t="s">
        <v>1306</v>
      </c>
      <c r="I28" s="97" t="s">
        <v>1275</v>
      </c>
      <c r="J28" s="97" t="s">
        <v>1307</v>
      </c>
      <c r="K28" s="97" t="s">
        <v>1308</v>
      </c>
      <c r="L28" s="97" t="s">
        <v>1305</v>
      </c>
    </row>
    <row r="29">
      <c r="A29" s="97" t="s">
        <v>1281</v>
      </c>
      <c r="B29" s="100"/>
      <c r="C29" s="97"/>
      <c r="D29" s="107">
        <v>1.0</v>
      </c>
      <c r="E29" s="107">
        <v>1.0</v>
      </c>
      <c r="F29" s="107">
        <v>1.0</v>
      </c>
      <c r="G29" s="107">
        <v>0.0</v>
      </c>
      <c r="H29" s="100"/>
      <c r="I29" s="97"/>
      <c r="J29" s="97"/>
      <c r="K29" s="97"/>
      <c r="L29" s="97"/>
    </row>
    <row r="30">
      <c r="A30" s="97" t="s">
        <v>1282</v>
      </c>
      <c r="B30" s="100"/>
      <c r="C30" s="97"/>
      <c r="D30" s="107">
        <v>1.0</v>
      </c>
      <c r="E30" s="107">
        <v>1.0</v>
      </c>
      <c r="F30" s="107">
        <v>1.0</v>
      </c>
      <c r="G30" s="107">
        <v>0.0</v>
      </c>
      <c r="H30" s="100"/>
      <c r="I30" s="97"/>
      <c r="J30" s="97"/>
      <c r="K30" s="97"/>
      <c r="L30" s="97"/>
    </row>
    <row r="31">
      <c r="A31" s="97" t="s">
        <v>948</v>
      </c>
      <c r="B31" s="100"/>
      <c r="C31" s="97"/>
      <c r="D31" s="107">
        <v>1.0</v>
      </c>
      <c r="E31" s="107">
        <v>1.0</v>
      </c>
      <c r="F31" s="107">
        <v>1.0</v>
      </c>
      <c r="G31" s="107">
        <v>1.0</v>
      </c>
      <c r="H31" s="100"/>
      <c r="I31" s="97"/>
      <c r="J31" s="97"/>
      <c r="K31" s="97"/>
      <c r="L31" s="97"/>
    </row>
    <row r="32">
      <c r="A32" s="97" t="s">
        <v>1283</v>
      </c>
      <c r="B32" s="100"/>
      <c r="C32" s="97"/>
      <c r="D32" s="107">
        <v>1.0</v>
      </c>
      <c r="E32" s="107">
        <v>1.0</v>
      </c>
      <c r="F32" s="107">
        <v>1.0</v>
      </c>
      <c r="G32" s="107">
        <v>1.0</v>
      </c>
      <c r="H32" s="100"/>
      <c r="I32" s="97"/>
      <c r="J32" s="97"/>
      <c r="K32" s="97"/>
      <c r="L32" s="97"/>
    </row>
    <row r="33">
      <c r="A33" s="97" t="s">
        <v>950</v>
      </c>
      <c r="B33" s="97"/>
      <c r="C33" s="97"/>
      <c r="D33" s="107">
        <v>1.0</v>
      </c>
      <c r="E33" s="107">
        <v>1.0</v>
      </c>
      <c r="F33" s="107">
        <v>1.0</v>
      </c>
      <c r="G33" s="107">
        <v>1.0</v>
      </c>
      <c r="H33" s="97"/>
      <c r="I33" s="97"/>
      <c r="J33" s="97"/>
      <c r="K33" s="97"/>
      <c r="L33" s="97"/>
    </row>
    <row r="34">
      <c r="A34" s="97" t="s">
        <v>951</v>
      </c>
      <c r="B34" s="97"/>
      <c r="C34" s="97"/>
      <c r="D34" s="107">
        <v>1.0</v>
      </c>
      <c r="E34" s="107">
        <v>1.0</v>
      </c>
      <c r="F34" s="107">
        <v>1.0</v>
      </c>
      <c r="G34" s="107">
        <v>0.0</v>
      </c>
      <c r="H34" s="97"/>
      <c r="I34" s="97"/>
      <c r="J34" s="97"/>
      <c r="K34" s="97"/>
      <c r="L34" s="97"/>
    </row>
    <row r="35">
      <c r="A35" s="97" t="s">
        <v>952</v>
      </c>
      <c r="B35" s="97"/>
      <c r="C35" s="97"/>
      <c r="D35" s="107">
        <v>1.0</v>
      </c>
      <c r="E35" s="107">
        <v>1.0</v>
      </c>
      <c r="F35" s="107">
        <v>1.0</v>
      </c>
      <c r="G35" s="107">
        <v>1.0</v>
      </c>
      <c r="H35" s="97"/>
      <c r="I35" s="97"/>
      <c r="J35" s="97"/>
      <c r="K35" s="97"/>
      <c r="L35" s="97"/>
    </row>
    <row r="36">
      <c r="A36" s="97" t="s">
        <v>1284</v>
      </c>
      <c r="B36" s="97" t="s">
        <v>1300</v>
      </c>
      <c r="C36" s="97" t="s">
        <v>1309</v>
      </c>
      <c r="D36" s="97" t="s">
        <v>1310</v>
      </c>
      <c r="E36" s="97" t="s">
        <v>1311</v>
      </c>
      <c r="F36" s="97" t="s">
        <v>1312</v>
      </c>
      <c r="G36" s="97" t="s">
        <v>1313</v>
      </c>
      <c r="H36" s="97" t="s">
        <v>1314</v>
      </c>
      <c r="I36" s="97" t="s">
        <v>1315</v>
      </c>
      <c r="J36" s="97" t="s">
        <v>1316</v>
      </c>
      <c r="K36" s="97" t="s">
        <v>1317</v>
      </c>
      <c r="L36" s="97" t="s">
        <v>1318</v>
      </c>
    </row>
    <row r="37">
      <c r="A37" s="97" t="s">
        <v>1281</v>
      </c>
      <c r="B37" s="97"/>
      <c r="C37" s="97"/>
      <c r="D37" s="107">
        <v>1.0</v>
      </c>
      <c r="E37" s="107">
        <v>1.0</v>
      </c>
      <c r="F37" s="107">
        <v>1.0</v>
      </c>
      <c r="G37" s="107">
        <v>0.0</v>
      </c>
      <c r="H37" s="97"/>
      <c r="I37" s="97"/>
      <c r="J37" s="97"/>
      <c r="K37" s="97"/>
      <c r="L37" s="97"/>
    </row>
    <row r="38">
      <c r="A38" s="97" t="s">
        <v>1282</v>
      </c>
      <c r="B38" s="97"/>
      <c r="C38" s="97"/>
      <c r="D38" s="107">
        <v>1.0</v>
      </c>
      <c r="E38" s="107">
        <v>1.0</v>
      </c>
      <c r="F38" s="107">
        <v>1.0</v>
      </c>
      <c r="G38" s="107">
        <v>0.0</v>
      </c>
      <c r="H38" s="97"/>
      <c r="I38" s="97"/>
      <c r="J38" s="97"/>
      <c r="K38" s="97"/>
      <c r="L38" s="97"/>
    </row>
    <row r="39">
      <c r="A39" s="97" t="s">
        <v>948</v>
      </c>
      <c r="B39" s="97"/>
      <c r="C39" s="97"/>
      <c r="D39" s="107">
        <v>1.0</v>
      </c>
      <c r="E39" s="107">
        <v>1.0</v>
      </c>
      <c r="F39" s="107">
        <v>1.0</v>
      </c>
      <c r="G39" s="107">
        <v>1.0</v>
      </c>
      <c r="H39" s="97"/>
      <c r="I39" s="97"/>
      <c r="J39" s="97"/>
      <c r="K39" s="97"/>
      <c r="L39" s="97"/>
    </row>
    <row r="40">
      <c r="A40" s="97" t="s">
        <v>1283</v>
      </c>
      <c r="B40" s="97"/>
      <c r="C40" s="97"/>
      <c r="D40" s="107">
        <v>1.0</v>
      </c>
      <c r="E40" s="107">
        <v>1.0</v>
      </c>
      <c r="F40" s="107">
        <v>1.0</v>
      </c>
      <c r="G40" s="107">
        <v>1.0</v>
      </c>
      <c r="H40" s="97"/>
      <c r="I40" s="97"/>
      <c r="J40" s="97"/>
      <c r="K40" s="97"/>
      <c r="L40" s="97"/>
    </row>
    <row r="41">
      <c r="A41" s="97" t="s">
        <v>950</v>
      </c>
      <c r="B41" s="97"/>
      <c r="C41" s="97"/>
      <c r="D41" s="107">
        <v>1.0</v>
      </c>
      <c r="E41" s="107">
        <v>1.0</v>
      </c>
      <c r="F41" s="107">
        <v>1.0</v>
      </c>
      <c r="G41" s="107">
        <v>0.0</v>
      </c>
      <c r="H41" s="97"/>
      <c r="I41" s="97"/>
      <c r="J41" s="97"/>
      <c r="K41" s="97"/>
      <c r="L41" s="97"/>
    </row>
    <row r="42">
      <c r="A42" s="97" t="s">
        <v>951</v>
      </c>
      <c r="B42" s="97"/>
      <c r="C42" s="97"/>
      <c r="D42" s="107">
        <v>1.0</v>
      </c>
      <c r="E42" s="107">
        <v>1.0</v>
      </c>
      <c r="F42" s="107">
        <v>1.0</v>
      </c>
      <c r="G42" s="107">
        <v>0.0</v>
      </c>
      <c r="H42" s="97"/>
      <c r="I42" s="97"/>
      <c r="J42" s="97"/>
      <c r="K42" s="97"/>
      <c r="L42" s="97"/>
    </row>
    <row r="43">
      <c r="A43" s="97" t="s">
        <v>952</v>
      </c>
      <c r="B43" s="97"/>
      <c r="C43" s="97"/>
      <c r="D43" s="107">
        <v>1.0</v>
      </c>
      <c r="E43" s="107">
        <v>1.0</v>
      </c>
      <c r="F43" s="107">
        <v>1.0</v>
      </c>
      <c r="G43" s="107">
        <v>1.0</v>
      </c>
      <c r="H43" s="97"/>
      <c r="I43" s="97"/>
      <c r="J43" s="97"/>
      <c r="K43" s="97"/>
      <c r="L43" s="97"/>
    </row>
    <row r="44">
      <c r="A44" s="97" t="s">
        <v>1291</v>
      </c>
      <c r="B44" s="97" t="s">
        <v>1300</v>
      </c>
      <c r="C44" s="97" t="s">
        <v>1319</v>
      </c>
      <c r="D44" s="97" t="s">
        <v>1320</v>
      </c>
      <c r="E44" s="97" t="s">
        <v>1321</v>
      </c>
      <c r="F44" s="97" t="s">
        <v>1322</v>
      </c>
      <c r="G44" s="97" t="s">
        <v>1323</v>
      </c>
      <c r="H44" s="97" t="s">
        <v>1000</v>
      </c>
      <c r="I44" s="97" t="s">
        <v>1324</v>
      </c>
      <c r="J44" s="97" t="s">
        <v>1325</v>
      </c>
      <c r="K44" s="97" t="s">
        <v>1326</v>
      </c>
      <c r="L44" s="97" t="s">
        <v>1327</v>
      </c>
    </row>
    <row r="45">
      <c r="A45" s="97" t="s">
        <v>1281</v>
      </c>
      <c r="B45" s="97"/>
      <c r="C45" s="97"/>
      <c r="D45" s="107">
        <v>1.0</v>
      </c>
      <c r="E45" s="107">
        <v>1.0</v>
      </c>
      <c r="F45" s="107">
        <v>1.0</v>
      </c>
      <c r="G45" s="107">
        <v>0.0</v>
      </c>
      <c r="H45" s="97"/>
      <c r="I45" s="97"/>
      <c r="J45" s="97"/>
      <c r="K45" s="97"/>
      <c r="L45" s="97"/>
    </row>
    <row r="46">
      <c r="A46" s="97" t="s">
        <v>1282</v>
      </c>
      <c r="B46" s="97"/>
      <c r="C46" s="97"/>
      <c r="D46" s="107">
        <v>1.0</v>
      </c>
      <c r="E46" s="107">
        <v>1.0</v>
      </c>
      <c r="F46" s="107">
        <v>1.0</v>
      </c>
      <c r="G46" s="107">
        <v>0.0</v>
      </c>
      <c r="H46" s="97"/>
      <c r="I46" s="97"/>
      <c r="J46" s="97"/>
      <c r="K46" s="97"/>
      <c r="L46" s="97"/>
    </row>
    <row r="47">
      <c r="A47" s="97" t="s">
        <v>948</v>
      </c>
      <c r="B47" s="97"/>
      <c r="C47" s="97"/>
      <c r="D47" s="107">
        <v>1.0</v>
      </c>
      <c r="E47" s="107">
        <v>1.0</v>
      </c>
      <c r="F47" s="107">
        <v>1.0</v>
      </c>
      <c r="G47" s="107">
        <v>1.0</v>
      </c>
      <c r="H47" s="97"/>
      <c r="I47" s="97"/>
      <c r="J47" s="97"/>
      <c r="K47" s="97"/>
      <c r="L47" s="97"/>
    </row>
    <row r="48">
      <c r="A48" s="97" t="s">
        <v>1283</v>
      </c>
      <c r="B48" s="97"/>
      <c r="C48" s="97"/>
      <c r="D48" s="107">
        <v>1.0</v>
      </c>
      <c r="E48" s="107">
        <v>1.0</v>
      </c>
      <c r="F48" s="107">
        <v>1.0</v>
      </c>
      <c r="G48" s="107">
        <v>1.0</v>
      </c>
      <c r="H48" s="97"/>
      <c r="I48" s="97"/>
      <c r="J48" s="97"/>
      <c r="K48" s="97"/>
      <c r="L48" s="97"/>
    </row>
    <row r="49">
      <c r="A49" s="97" t="s">
        <v>950</v>
      </c>
      <c r="B49" s="97"/>
      <c r="C49" s="97"/>
      <c r="D49" s="107">
        <v>1.0</v>
      </c>
      <c r="E49" s="107">
        <v>1.0</v>
      </c>
      <c r="F49" s="107">
        <v>1.0</v>
      </c>
      <c r="G49" s="107">
        <v>0.0</v>
      </c>
      <c r="H49" s="97"/>
      <c r="I49" s="97"/>
      <c r="J49" s="97"/>
      <c r="K49" s="97"/>
      <c r="L49" s="97"/>
    </row>
    <row r="50">
      <c r="A50" s="97" t="s">
        <v>951</v>
      </c>
      <c r="B50" s="97"/>
      <c r="C50" s="97"/>
      <c r="D50" s="107">
        <v>1.0</v>
      </c>
      <c r="E50" s="107">
        <v>1.0</v>
      </c>
      <c r="F50" s="107">
        <v>1.0</v>
      </c>
      <c r="G50" s="107">
        <v>0.0</v>
      </c>
      <c r="H50" s="97"/>
      <c r="I50" s="97"/>
      <c r="J50" s="97"/>
      <c r="K50" s="97"/>
      <c r="L50" s="97"/>
    </row>
    <row r="51">
      <c r="A51" s="97" t="s">
        <v>952</v>
      </c>
      <c r="B51" s="97"/>
      <c r="C51" s="97"/>
      <c r="D51" s="107">
        <v>1.0</v>
      </c>
      <c r="E51" s="107">
        <v>1.0</v>
      </c>
      <c r="F51" s="107">
        <v>1.0</v>
      </c>
      <c r="G51" s="107">
        <v>1.0</v>
      </c>
      <c r="H51" s="97"/>
      <c r="I51" s="97"/>
      <c r="J51" s="97"/>
      <c r="K51" s="97"/>
      <c r="L51" s="97"/>
    </row>
    <row r="52">
      <c r="A52" s="103" t="s">
        <v>1272</v>
      </c>
      <c r="B52" s="103"/>
      <c r="C52" s="103"/>
      <c r="D52" s="59" t="s">
        <v>1895</v>
      </c>
      <c r="E52" s="59" t="s">
        <v>1896</v>
      </c>
      <c r="F52" s="59" t="s">
        <v>1332</v>
      </c>
      <c r="G52" s="59" t="s">
        <v>1897</v>
      </c>
      <c r="H52" s="103"/>
      <c r="I52" s="103"/>
      <c r="J52" s="103"/>
      <c r="K52" s="103"/>
      <c r="L52" s="103"/>
    </row>
    <row r="53">
      <c r="A53" s="103" t="s">
        <v>1273</v>
      </c>
      <c r="B53" s="103" t="s">
        <v>1328</v>
      </c>
      <c r="C53" s="103" t="s">
        <v>1329</v>
      </c>
      <c r="D53" s="103" t="s">
        <v>1330</v>
      </c>
      <c r="E53" s="103" t="s">
        <v>1331</v>
      </c>
      <c r="F53" s="103" t="s">
        <v>1332</v>
      </c>
      <c r="G53" s="103" t="s">
        <v>1333</v>
      </c>
      <c r="H53" s="103" t="s">
        <v>1329</v>
      </c>
      <c r="I53" s="103" t="s">
        <v>1334</v>
      </c>
      <c r="J53" s="103" t="s">
        <v>1335</v>
      </c>
      <c r="K53" s="103" t="s">
        <v>1332</v>
      </c>
      <c r="L53" s="103" t="s">
        <v>1336</v>
      </c>
    </row>
    <row r="54">
      <c r="A54" s="103" t="s">
        <v>1281</v>
      </c>
      <c r="B54" s="103"/>
      <c r="C54" s="103"/>
      <c r="D54" s="102">
        <v>1.0</v>
      </c>
      <c r="E54" s="102">
        <v>1.0</v>
      </c>
      <c r="F54" s="102">
        <v>1.0</v>
      </c>
      <c r="G54" s="102">
        <v>0.0</v>
      </c>
      <c r="H54" s="103"/>
      <c r="I54" s="103"/>
      <c r="J54" s="103"/>
      <c r="K54" s="103"/>
      <c r="L54" s="103"/>
    </row>
    <row r="55">
      <c r="A55" s="103" t="s">
        <v>1282</v>
      </c>
      <c r="B55" s="103"/>
      <c r="C55" s="103"/>
      <c r="D55" s="102">
        <v>1.0</v>
      </c>
      <c r="E55" s="102">
        <v>1.0</v>
      </c>
      <c r="F55" s="102">
        <v>1.0</v>
      </c>
      <c r="G55" s="102">
        <v>0.0</v>
      </c>
      <c r="H55" s="103"/>
      <c r="I55" s="103"/>
      <c r="J55" s="103"/>
      <c r="K55" s="103"/>
      <c r="L55" s="103"/>
    </row>
    <row r="56">
      <c r="A56" s="103" t="s">
        <v>948</v>
      </c>
      <c r="B56" s="103"/>
      <c r="C56" s="103"/>
      <c r="D56" s="102">
        <v>1.0</v>
      </c>
      <c r="E56" s="102">
        <v>1.0</v>
      </c>
      <c r="F56" s="102">
        <v>1.0</v>
      </c>
      <c r="G56" s="102">
        <v>1.0</v>
      </c>
      <c r="H56" s="103"/>
      <c r="I56" s="103"/>
      <c r="J56" s="103"/>
      <c r="K56" s="103"/>
      <c r="L56" s="103"/>
    </row>
    <row r="57">
      <c r="A57" s="103" t="s">
        <v>1283</v>
      </c>
      <c r="B57" s="103"/>
      <c r="C57" s="103"/>
      <c r="D57" s="102">
        <v>1.0</v>
      </c>
      <c r="E57" s="102">
        <v>1.0</v>
      </c>
      <c r="F57" s="102">
        <v>1.0</v>
      </c>
      <c r="G57" s="102">
        <v>1.0</v>
      </c>
      <c r="H57" s="103"/>
      <c r="I57" s="103"/>
      <c r="J57" s="103"/>
      <c r="K57" s="103"/>
      <c r="L57" s="103"/>
    </row>
    <row r="58">
      <c r="A58" s="103" t="s">
        <v>950</v>
      </c>
      <c r="B58" s="103"/>
      <c r="C58" s="103"/>
      <c r="D58" s="102">
        <v>1.0</v>
      </c>
      <c r="E58" s="102">
        <v>1.0</v>
      </c>
      <c r="F58" s="102">
        <v>1.0</v>
      </c>
      <c r="G58" s="102">
        <v>0.0</v>
      </c>
      <c r="H58" s="103"/>
      <c r="I58" s="103"/>
      <c r="J58" s="103"/>
      <c r="K58" s="103"/>
      <c r="L58" s="103"/>
    </row>
    <row r="59">
      <c r="A59" s="103" t="s">
        <v>951</v>
      </c>
      <c r="B59" s="103"/>
      <c r="C59" s="103"/>
      <c r="D59" s="102">
        <v>1.0</v>
      </c>
      <c r="E59" s="102">
        <v>1.0</v>
      </c>
      <c r="F59" s="102">
        <v>1.0</v>
      </c>
      <c r="G59" s="102">
        <v>0.0</v>
      </c>
      <c r="H59" s="103"/>
      <c r="I59" s="103"/>
      <c r="J59" s="103"/>
      <c r="K59" s="103"/>
      <c r="L59" s="103"/>
    </row>
    <row r="60">
      <c r="A60" s="103" t="s">
        <v>952</v>
      </c>
      <c r="B60" s="103"/>
      <c r="C60" s="103"/>
      <c r="D60" s="102">
        <v>1.0</v>
      </c>
      <c r="E60" s="102">
        <v>1.0</v>
      </c>
      <c r="F60" s="102">
        <v>1.0</v>
      </c>
      <c r="G60" s="102">
        <v>1.0</v>
      </c>
      <c r="H60" s="103"/>
      <c r="I60" s="103"/>
      <c r="J60" s="103"/>
      <c r="K60" s="103"/>
      <c r="L60" s="103"/>
    </row>
    <row r="61">
      <c r="A61" s="103" t="s">
        <v>1284</v>
      </c>
      <c r="B61" s="103" t="s">
        <v>1328</v>
      </c>
      <c r="C61" s="103" t="s">
        <v>1337</v>
      </c>
      <c r="D61" s="103" t="s">
        <v>1338</v>
      </c>
      <c r="E61" s="103" t="s">
        <v>1339</v>
      </c>
      <c r="F61" s="103" t="s">
        <v>1332</v>
      </c>
      <c r="G61" s="103" t="s">
        <v>1340</v>
      </c>
      <c r="H61" s="103" t="s">
        <v>1275</v>
      </c>
      <c r="I61" s="103" t="s">
        <v>1275</v>
      </c>
      <c r="J61" s="103" t="s">
        <v>1335</v>
      </c>
      <c r="K61" s="103" t="s">
        <v>1332</v>
      </c>
      <c r="L61" s="103" t="s">
        <v>1341</v>
      </c>
    </row>
    <row r="62">
      <c r="A62" s="103" t="s">
        <v>1281</v>
      </c>
      <c r="B62" s="103"/>
      <c r="C62" s="103"/>
      <c r="D62" s="102">
        <v>1.0</v>
      </c>
      <c r="E62" s="102">
        <v>1.0</v>
      </c>
      <c r="F62" s="102">
        <v>1.0</v>
      </c>
      <c r="G62" s="102">
        <v>1.0</v>
      </c>
      <c r="H62" s="103"/>
      <c r="I62" s="103"/>
      <c r="J62" s="103"/>
      <c r="K62" s="103"/>
      <c r="L62" s="103"/>
    </row>
    <row r="63">
      <c r="A63" s="103" t="s">
        <v>1282</v>
      </c>
      <c r="B63" s="103"/>
      <c r="C63" s="103"/>
      <c r="D63" s="102">
        <v>1.0</v>
      </c>
      <c r="E63" s="102">
        <v>1.0</v>
      </c>
      <c r="F63" s="102">
        <v>1.0</v>
      </c>
      <c r="G63" s="102">
        <v>1.0</v>
      </c>
      <c r="H63" s="103"/>
      <c r="I63" s="103"/>
      <c r="J63" s="103"/>
      <c r="K63" s="103"/>
      <c r="L63" s="103"/>
    </row>
    <row r="64">
      <c r="A64" s="103" t="s">
        <v>948</v>
      </c>
      <c r="B64" s="103"/>
      <c r="C64" s="103"/>
      <c r="D64" s="102">
        <v>1.0</v>
      </c>
      <c r="E64" s="102">
        <v>1.0</v>
      </c>
      <c r="F64" s="102">
        <v>1.0</v>
      </c>
      <c r="G64" s="102">
        <v>1.0</v>
      </c>
      <c r="H64" s="103"/>
      <c r="I64" s="103"/>
      <c r="J64" s="103"/>
      <c r="K64" s="103"/>
      <c r="L64" s="103"/>
    </row>
    <row r="65">
      <c r="A65" s="103" t="s">
        <v>1283</v>
      </c>
      <c r="B65" s="103"/>
      <c r="C65" s="103"/>
      <c r="D65" s="102">
        <v>1.0</v>
      </c>
      <c r="E65" s="102">
        <v>1.0</v>
      </c>
      <c r="F65" s="102">
        <v>1.0</v>
      </c>
      <c r="G65" s="102">
        <v>1.0</v>
      </c>
      <c r="H65" s="103"/>
      <c r="I65" s="103"/>
      <c r="J65" s="103"/>
      <c r="K65" s="103"/>
      <c r="L65" s="103"/>
    </row>
    <row r="66">
      <c r="A66" s="103" t="s">
        <v>950</v>
      </c>
      <c r="B66" s="103"/>
      <c r="C66" s="103"/>
      <c r="D66" s="102">
        <v>1.0</v>
      </c>
      <c r="E66" s="102">
        <v>1.0</v>
      </c>
      <c r="F66" s="102">
        <v>1.0</v>
      </c>
      <c r="G66" s="102">
        <v>1.0</v>
      </c>
      <c r="H66" s="103"/>
      <c r="I66" s="103"/>
      <c r="J66" s="103"/>
      <c r="K66" s="103"/>
      <c r="L66" s="103"/>
    </row>
    <row r="67">
      <c r="A67" s="103" t="s">
        <v>951</v>
      </c>
      <c r="B67" s="103"/>
      <c r="C67" s="103"/>
      <c r="D67" s="102">
        <v>1.0</v>
      </c>
      <c r="E67" s="102">
        <v>1.0</v>
      </c>
      <c r="F67" s="102">
        <v>1.0</v>
      </c>
      <c r="G67" s="102">
        <v>1.0</v>
      </c>
      <c r="H67" s="103"/>
      <c r="I67" s="103"/>
      <c r="J67" s="103"/>
      <c r="K67" s="103"/>
      <c r="L67" s="103"/>
    </row>
    <row r="68">
      <c r="A68" s="103" t="s">
        <v>952</v>
      </c>
      <c r="B68" s="103"/>
      <c r="C68" s="103"/>
      <c r="D68" s="102">
        <v>1.0</v>
      </c>
      <c r="E68" s="102">
        <v>1.0</v>
      </c>
      <c r="F68" s="102">
        <v>1.0</v>
      </c>
      <c r="G68" s="102">
        <v>1.0</v>
      </c>
      <c r="H68" s="103"/>
      <c r="I68" s="103"/>
      <c r="J68" s="103"/>
      <c r="K68" s="103"/>
      <c r="L68" s="103"/>
    </row>
    <row r="69">
      <c r="A69" s="103" t="s">
        <v>1291</v>
      </c>
      <c r="B69" s="103" t="s">
        <v>1328</v>
      </c>
      <c r="C69" s="103" t="s">
        <v>1342</v>
      </c>
      <c r="D69" s="103" t="s">
        <v>1343</v>
      </c>
      <c r="E69" s="103" t="s">
        <v>1344</v>
      </c>
      <c r="F69" s="103" t="s">
        <v>1332</v>
      </c>
      <c r="G69" s="103" t="s">
        <v>1345</v>
      </c>
      <c r="H69" s="103" t="s">
        <v>1000</v>
      </c>
      <c r="I69" s="103" t="s">
        <v>1346</v>
      </c>
      <c r="J69" s="103" t="s">
        <v>1347</v>
      </c>
      <c r="K69" s="103" t="s">
        <v>1332</v>
      </c>
      <c r="L69" s="103" t="s">
        <v>1348</v>
      </c>
    </row>
    <row r="70">
      <c r="A70" s="103" t="s">
        <v>1281</v>
      </c>
      <c r="B70" s="103"/>
      <c r="C70" s="103"/>
      <c r="D70" s="102">
        <v>1.0</v>
      </c>
      <c r="E70" s="102">
        <v>1.0</v>
      </c>
      <c r="F70" s="102">
        <v>1.0</v>
      </c>
      <c r="G70" s="102">
        <v>0.0</v>
      </c>
      <c r="H70" s="103"/>
      <c r="I70" s="103"/>
      <c r="J70" s="103"/>
      <c r="K70" s="103"/>
      <c r="L70" s="103"/>
    </row>
    <row r="71">
      <c r="A71" s="103" t="s">
        <v>1282</v>
      </c>
      <c r="B71" s="103"/>
      <c r="C71" s="103"/>
      <c r="D71" s="102">
        <v>1.0</v>
      </c>
      <c r="E71" s="102">
        <v>1.0</v>
      </c>
      <c r="F71" s="102">
        <v>1.0</v>
      </c>
      <c r="G71" s="102">
        <v>0.0</v>
      </c>
      <c r="H71" s="103"/>
      <c r="I71" s="103"/>
      <c r="J71" s="103"/>
      <c r="K71" s="103"/>
      <c r="L71" s="103"/>
    </row>
    <row r="72">
      <c r="A72" s="103" t="s">
        <v>948</v>
      </c>
      <c r="B72" s="103"/>
      <c r="C72" s="103"/>
      <c r="D72" s="102">
        <v>1.0</v>
      </c>
      <c r="E72" s="102">
        <v>1.0</v>
      </c>
      <c r="F72" s="102">
        <v>1.0</v>
      </c>
      <c r="G72" s="102">
        <v>1.0</v>
      </c>
      <c r="H72" s="103"/>
      <c r="I72" s="103"/>
      <c r="J72" s="103"/>
      <c r="K72" s="103"/>
      <c r="L72" s="103"/>
    </row>
    <row r="73">
      <c r="A73" s="103" t="s">
        <v>1283</v>
      </c>
      <c r="B73" s="103"/>
      <c r="C73" s="103"/>
      <c r="D73" s="102">
        <v>1.0</v>
      </c>
      <c r="E73" s="102">
        <v>1.0</v>
      </c>
      <c r="F73" s="102">
        <v>1.0</v>
      </c>
      <c r="G73" s="102">
        <v>1.0</v>
      </c>
      <c r="H73" s="103"/>
      <c r="I73" s="103"/>
      <c r="J73" s="103"/>
      <c r="K73" s="103"/>
      <c r="L73" s="103"/>
    </row>
    <row r="74">
      <c r="A74" s="103" t="s">
        <v>950</v>
      </c>
      <c r="B74" s="103"/>
      <c r="C74" s="103"/>
      <c r="D74" s="102">
        <v>1.0</v>
      </c>
      <c r="E74" s="102">
        <v>1.0</v>
      </c>
      <c r="F74" s="102">
        <v>1.0</v>
      </c>
      <c r="G74" s="102">
        <v>0.0</v>
      </c>
      <c r="H74" s="103"/>
      <c r="I74" s="103"/>
      <c r="J74" s="103"/>
      <c r="K74" s="103"/>
      <c r="L74" s="103"/>
    </row>
    <row r="75">
      <c r="A75" s="103" t="s">
        <v>951</v>
      </c>
      <c r="B75" s="103"/>
      <c r="C75" s="103"/>
      <c r="D75" s="102">
        <v>1.0</v>
      </c>
      <c r="E75" s="102">
        <v>1.0</v>
      </c>
      <c r="F75" s="102">
        <v>1.0</v>
      </c>
      <c r="G75" s="102">
        <v>0.0</v>
      </c>
      <c r="H75" s="103"/>
      <c r="I75" s="103"/>
      <c r="J75" s="103"/>
      <c r="K75" s="103"/>
      <c r="L75" s="103"/>
    </row>
    <row r="76">
      <c r="A76" s="103" t="s">
        <v>952</v>
      </c>
      <c r="B76" s="103"/>
      <c r="C76" s="103"/>
      <c r="D76" s="102">
        <v>1.0</v>
      </c>
      <c r="E76" s="102">
        <v>1.0</v>
      </c>
      <c r="F76" s="102">
        <v>1.0</v>
      </c>
      <c r="G76" s="102">
        <v>1.0</v>
      </c>
      <c r="H76" s="103"/>
      <c r="I76" s="103"/>
      <c r="J76" s="103"/>
      <c r="K76" s="103"/>
      <c r="L76" s="103"/>
    </row>
    <row r="77">
      <c r="A77" s="97" t="s">
        <v>1272</v>
      </c>
      <c r="B77" s="97"/>
      <c r="C77" s="97"/>
      <c r="D77" s="5" t="s">
        <v>1902</v>
      </c>
      <c r="E77" s="5" t="s">
        <v>1903</v>
      </c>
      <c r="F77" s="5" t="s">
        <v>1904</v>
      </c>
      <c r="G77" s="5" t="s">
        <v>1041</v>
      </c>
      <c r="H77" s="97"/>
      <c r="I77" s="97"/>
      <c r="J77" s="97"/>
      <c r="K77" s="97"/>
      <c r="L77" s="97"/>
    </row>
    <row r="78">
      <c r="A78" s="97" t="s">
        <v>1273</v>
      </c>
      <c r="B78" s="97" t="s">
        <v>1349</v>
      </c>
      <c r="C78" s="97" t="s">
        <v>1350</v>
      </c>
      <c r="D78" s="97" t="s">
        <v>1351</v>
      </c>
      <c r="E78" s="97" t="s">
        <v>1352</v>
      </c>
      <c r="F78" s="97" t="s">
        <v>1353</v>
      </c>
      <c r="G78" s="97" t="s">
        <v>1010</v>
      </c>
      <c r="H78" s="97" t="s">
        <v>1275</v>
      </c>
      <c r="I78" s="97" t="s">
        <v>1275</v>
      </c>
      <c r="J78" s="97" t="s">
        <v>1354</v>
      </c>
      <c r="K78" s="97" t="s">
        <v>1353</v>
      </c>
      <c r="L78" s="97" t="s">
        <v>1010</v>
      </c>
    </row>
    <row r="79">
      <c r="A79" s="97" t="s">
        <v>1281</v>
      </c>
      <c r="B79" s="97"/>
      <c r="C79" s="97"/>
      <c r="D79" s="107">
        <v>1.0</v>
      </c>
      <c r="E79" s="107">
        <v>1.0</v>
      </c>
      <c r="F79" s="107">
        <v>1.0</v>
      </c>
      <c r="G79" s="107">
        <v>1.0</v>
      </c>
      <c r="H79" s="97"/>
      <c r="I79" s="97"/>
      <c r="J79" s="97"/>
      <c r="K79" s="97"/>
      <c r="L79" s="97"/>
    </row>
    <row r="80">
      <c r="A80" s="97" t="s">
        <v>1282</v>
      </c>
      <c r="B80" s="97"/>
      <c r="C80" s="97"/>
      <c r="D80" s="107">
        <v>1.0</v>
      </c>
      <c r="E80" s="107">
        <v>1.0</v>
      </c>
      <c r="F80" s="107">
        <v>1.0</v>
      </c>
      <c r="G80" s="107">
        <v>1.0</v>
      </c>
      <c r="H80" s="97"/>
      <c r="I80" s="97"/>
      <c r="J80" s="97"/>
      <c r="K80" s="97"/>
      <c r="L80" s="97"/>
    </row>
    <row r="81">
      <c r="A81" s="97" t="s">
        <v>948</v>
      </c>
      <c r="B81" s="97"/>
      <c r="C81" s="97"/>
      <c r="D81" s="107">
        <v>1.0</v>
      </c>
      <c r="E81" s="107">
        <v>0.0</v>
      </c>
      <c r="F81" s="107">
        <v>0.0</v>
      </c>
      <c r="G81" s="107">
        <v>0.0</v>
      </c>
      <c r="H81" s="97"/>
      <c r="I81" s="97"/>
      <c r="J81" s="97"/>
      <c r="K81" s="97"/>
      <c r="L81" s="97"/>
    </row>
    <row r="82">
      <c r="A82" s="97" t="s">
        <v>1283</v>
      </c>
      <c r="B82" s="97"/>
      <c r="C82" s="97"/>
      <c r="D82" s="107">
        <v>1.0</v>
      </c>
      <c r="E82" s="107">
        <v>1.0</v>
      </c>
      <c r="F82" s="107">
        <v>1.0</v>
      </c>
      <c r="G82" s="107">
        <v>1.0</v>
      </c>
      <c r="H82" s="97"/>
      <c r="I82" s="97"/>
      <c r="J82" s="97"/>
      <c r="K82" s="97"/>
      <c r="L82" s="97"/>
    </row>
    <row r="83">
      <c r="A83" s="97" t="s">
        <v>950</v>
      </c>
      <c r="B83" s="97"/>
      <c r="C83" s="97"/>
      <c r="D83" s="107">
        <v>1.0</v>
      </c>
      <c r="E83" s="107">
        <v>1.0</v>
      </c>
      <c r="F83" s="107">
        <v>1.0</v>
      </c>
      <c r="G83" s="107">
        <v>1.0</v>
      </c>
      <c r="H83" s="97"/>
      <c r="I83" s="97"/>
      <c r="J83" s="97"/>
      <c r="K83" s="97"/>
      <c r="L83" s="97"/>
    </row>
    <row r="84">
      <c r="A84" s="97" t="s">
        <v>951</v>
      </c>
      <c r="B84" s="97"/>
      <c r="C84" s="97"/>
      <c r="D84" s="107">
        <v>1.0</v>
      </c>
      <c r="E84" s="107">
        <v>1.0</v>
      </c>
      <c r="F84" s="107">
        <v>1.0</v>
      </c>
      <c r="G84" s="107">
        <v>1.0</v>
      </c>
      <c r="H84" s="97"/>
      <c r="I84" s="97"/>
      <c r="J84" s="97"/>
      <c r="K84" s="97"/>
      <c r="L84" s="97"/>
    </row>
    <row r="85">
      <c r="A85" s="97" t="s">
        <v>952</v>
      </c>
      <c r="B85" s="97"/>
      <c r="C85" s="97"/>
      <c r="D85" s="107">
        <v>1.0</v>
      </c>
      <c r="E85" s="107">
        <v>1.0</v>
      </c>
      <c r="F85" s="107">
        <v>1.0</v>
      </c>
      <c r="G85" s="107">
        <v>1.0</v>
      </c>
      <c r="H85" s="97"/>
      <c r="I85" s="97"/>
      <c r="J85" s="97"/>
      <c r="K85" s="97"/>
      <c r="L85" s="97"/>
    </row>
    <row r="86">
      <c r="A86" s="97" t="s">
        <v>1284</v>
      </c>
      <c r="B86" s="97" t="s">
        <v>1349</v>
      </c>
      <c r="C86" s="97" t="s">
        <v>1355</v>
      </c>
      <c r="D86" s="97" t="s">
        <v>1356</v>
      </c>
      <c r="E86" s="97" t="s">
        <v>1357</v>
      </c>
      <c r="F86" s="97" t="s">
        <v>1353</v>
      </c>
      <c r="G86" s="97" t="s">
        <v>1358</v>
      </c>
      <c r="H86" s="97" t="s">
        <v>1275</v>
      </c>
      <c r="I86" s="97" t="s">
        <v>1275</v>
      </c>
      <c r="J86" s="97" t="s">
        <v>1354</v>
      </c>
      <c r="K86" s="97" t="s">
        <v>1353</v>
      </c>
      <c r="L86" s="97" t="s">
        <v>1032</v>
      </c>
    </row>
    <row r="87">
      <c r="A87" s="97" t="s">
        <v>1281</v>
      </c>
      <c r="B87" s="97"/>
      <c r="C87" s="97"/>
      <c r="D87" s="107">
        <v>1.0</v>
      </c>
      <c r="E87" s="107">
        <v>1.0</v>
      </c>
      <c r="F87" s="107">
        <v>1.0</v>
      </c>
      <c r="G87" s="107">
        <v>1.0</v>
      </c>
      <c r="H87" s="97"/>
      <c r="I87" s="97"/>
      <c r="J87" s="97"/>
      <c r="K87" s="97"/>
      <c r="L87" s="97"/>
    </row>
    <row r="88">
      <c r="A88" s="97" t="s">
        <v>1282</v>
      </c>
      <c r="B88" s="97"/>
      <c r="C88" s="97"/>
      <c r="D88" s="107">
        <v>1.0</v>
      </c>
      <c r="E88" s="107">
        <v>1.0</v>
      </c>
      <c r="F88" s="107">
        <v>1.0</v>
      </c>
      <c r="G88" s="107">
        <v>1.0</v>
      </c>
      <c r="H88" s="97"/>
      <c r="I88" s="97"/>
      <c r="J88" s="97"/>
      <c r="K88" s="97"/>
      <c r="L88" s="97"/>
    </row>
    <row r="89">
      <c r="A89" s="97" t="s">
        <v>948</v>
      </c>
      <c r="B89" s="97"/>
      <c r="C89" s="97"/>
      <c r="D89" s="107">
        <v>1.0</v>
      </c>
      <c r="E89" s="107">
        <v>0.0</v>
      </c>
      <c r="F89" s="107">
        <v>0.0</v>
      </c>
      <c r="G89" s="107">
        <v>1.0</v>
      </c>
      <c r="H89" s="97"/>
      <c r="I89" s="97"/>
      <c r="J89" s="97"/>
      <c r="K89" s="97"/>
      <c r="L89" s="97"/>
    </row>
    <row r="90">
      <c r="A90" s="97" t="s">
        <v>1283</v>
      </c>
      <c r="B90" s="97"/>
      <c r="C90" s="97"/>
      <c r="D90" s="107">
        <v>1.0</v>
      </c>
      <c r="E90" s="107">
        <v>1.0</v>
      </c>
      <c r="F90" s="107">
        <v>1.0</v>
      </c>
      <c r="G90" s="107">
        <v>1.0</v>
      </c>
      <c r="H90" s="97"/>
      <c r="I90" s="97"/>
      <c r="J90" s="97"/>
      <c r="K90" s="97"/>
      <c r="L90" s="97"/>
    </row>
    <row r="91">
      <c r="A91" s="97" t="s">
        <v>950</v>
      </c>
      <c r="B91" s="97"/>
      <c r="C91" s="97"/>
      <c r="D91" s="107">
        <v>1.0</v>
      </c>
      <c r="E91" s="107">
        <v>1.0</v>
      </c>
      <c r="F91" s="107">
        <v>1.0</v>
      </c>
      <c r="G91" s="107">
        <v>1.0</v>
      </c>
      <c r="H91" s="97"/>
      <c r="I91" s="97"/>
      <c r="J91" s="97"/>
      <c r="K91" s="97"/>
      <c r="L91" s="97"/>
    </row>
    <row r="92">
      <c r="A92" s="97" t="s">
        <v>951</v>
      </c>
      <c r="B92" s="97"/>
      <c r="C92" s="97"/>
      <c r="D92" s="107">
        <v>1.0</v>
      </c>
      <c r="E92" s="107">
        <v>1.0</v>
      </c>
      <c r="F92" s="107">
        <v>1.0</v>
      </c>
      <c r="G92" s="107">
        <v>1.0</v>
      </c>
      <c r="H92" s="97"/>
      <c r="I92" s="97"/>
      <c r="J92" s="97"/>
      <c r="K92" s="97"/>
      <c r="L92" s="97"/>
    </row>
    <row r="93">
      <c r="A93" s="97" t="s">
        <v>952</v>
      </c>
      <c r="B93" s="97"/>
      <c r="C93" s="97"/>
      <c r="D93" s="107">
        <v>1.0</v>
      </c>
      <c r="E93" s="107">
        <v>1.0</v>
      </c>
      <c r="F93" s="107">
        <v>1.0</v>
      </c>
      <c r="G93" s="107">
        <v>1.0</v>
      </c>
      <c r="H93" s="97"/>
      <c r="I93" s="97"/>
      <c r="J93" s="97"/>
      <c r="K93" s="97"/>
      <c r="L93" s="97"/>
    </row>
    <row r="94">
      <c r="A94" s="97" t="s">
        <v>1291</v>
      </c>
      <c r="B94" s="97" t="s">
        <v>1349</v>
      </c>
      <c r="C94" s="97" t="s">
        <v>1359</v>
      </c>
      <c r="D94" s="97" t="s">
        <v>1360</v>
      </c>
      <c r="E94" s="97" t="s">
        <v>1361</v>
      </c>
      <c r="F94" s="97" t="s">
        <v>1362</v>
      </c>
      <c r="G94" s="97" t="s">
        <v>1363</v>
      </c>
      <c r="H94" s="97" t="s">
        <v>1364</v>
      </c>
      <c r="I94" s="97" t="s">
        <v>1275</v>
      </c>
      <c r="J94" s="97" t="s">
        <v>1365</v>
      </c>
      <c r="K94" s="97" t="s">
        <v>1366</v>
      </c>
      <c r="L94" s="97" t="s">
        <v>1032</v>
      </c>
    </row>
    <row r="95">
      <c r="A95" s="97" t="s">
        <v>1281</v>
      </c>
      <c r="B95" s="97"/>
      <c r="C95" s="97"/>
      <c r="D95" s="107">
        <v>1.0</v>
      </c>
      <c r="E95" s="107">
        <v>1.0</v>
      </c>
      <c r="F95" s="107">
        <v>0.0</v>
      </c>
      <c r="G95" s="107">
        <v>1.0</v>
      </c>
      <c r="H95" s="97"/>
      <c r="I95" s="97"/>
      <c r="J95" s="97"/>
      <c r="K95" s="97"/>
      <c r="L95" s="97"/>
    </row>
    <row r="96">
      <c r="A96" s="97" t="s">
        <v>1282</v>
      </c>
      <c r="B96" s="97"/>
      <c r="C96" s="97"/>
      <c r="D96" s="107">
        <v>1.0</v>
      </c>
      <c r="E96" s="107">
        <v>1.0</v>
      </c>
      <c r="F96" s="107">
        <v>0.0</v>
      </c>
      <c r="G96" s="107">
        <v>1.0</v>
      </c>
      <c r="H96" s="97"/>
      <c r="I96" s="97"/>
      <c r="J96" s="97"/>
      <c r="K96" s="97"/>
      <c r="L96" s="97"/>
    </row>
    <row r="97">
      <c r="A97" s="97" t="s">
        <v>948</v>
      </c>
      <c r="B97" s="97"/>
      <c r="C97" s="97"/>
      <c r="D97" s="107">
        <v>1.0</v>
      </c>
      <c r="E97" s="107">
        <v>0.0</v>
      </c>
      <c r="F97" s="107">
        <v>0.0</v>
      </c>
      <c r="G97" s="107">
        <v>1.0</v>
      </c>
      <c r="H97" s="97"/>
      <c r="I97" s="97"/>
      <c r="J97" s="97"/>
      <c r="K97" s="97"/>
      <c r="L97" s="97"/>
    </row>
    <row r="98">
      <c r="A98" s="97" t="s">
        <v>1283</v>
      </c>
      <c r="B98" s="97"/>
      <c r="C98" s="97"/>
      <c r="D98" s="107">
        <v>1.0</v>
      </c>
      <c r="E98" s="107">
        <v>1.0</v>
      </c>
      <c r="F98" s="107">
        <v>1.0</v>
      </c>
      <c r="G98" s="107">
        <v>1.0</v>
      </c>
      <c r="H98" s="97"/>
      <c r="I98" s="97"/>
      <c r="J98" s="97"/>
      <c r="K98" s="97"/>
      <c r="L98" s="97"/>
    </row>
    <row r="99">
      <c r="A99" s="97" t="s">
        <v>950</v>
      </c>
      <c r="B99" s="97"/>
      <c r="C99" s="97"/>
      <c r="D99" s="107">
        <v>1.0</v>
      </c>
      <c r="E99" s="107">
        <v>1.0</v>
      </c>
      <c r="F99" s="107">
        <v>0.0</v>
      </c>
      <c r="G99" s="107">
        <v>1.0</v>
      </c>
      <c r="H99" s="97"/>
      <c r="I99" s="97"/>
      <c r="J99" s="97"/>
      <c r="K99" s="97"/>
      <c r="L99" s="97"/>
    </row>
    <row r="100">
      <c r="A100" s="97" t="s">
        <v>951</v>
      </c>
      <c r="B100" s="97"/>
      <c r="C100" s="97"/>
      <c r="D100" s="107">
        <v>1.0</v>
      </c>
      <c r="E100" s="107">
        <v>1.0</v>
      </c>
      <c r="F100" s="107">
        <v>0.0</v>
      </c>
      <c r="G100" s="107">
        <v>1.0</v>
      </c>
      <c r="H100" s="97"/>
      <c r="I100" s="97"/>
      <c r="J100" s="97"/>
      <c r="K100" s="97"/>
      <c r="L100" s="97"/>
    </row>
    <row r="101">
      <c r="A101" s="97" t="s">
        <v>952</v>
      </c>
      <c r="B101" s="97"/>
      <c r="C101" s="97"/>
      <c r="D101" s="107">
        <v>1.0</v>
      </c>
      <c r="E101" s="107">
        <v>1.0</v>
      </c>
      <c r="F101" s="107">
        <v>1.0</v>
      </c>
      <c r="G101" s="107">
        <v>1.0</v>
      </c>
      <c r="H101" s="97"/>
      <c r="I101" s="97"/>
      <c r="J101" s="97"/>
      <c r="K101" s="97"/>
      <c r="L101" s="97"/>
    </row>
    <row r="102">
      <c r="A102" s="103" t="s">
        <v>1272</v>
      </c>
      <c r="B102" s="103"/>
      <c r="C102" s="103"/>
      <c r="D102" s="59" t="s">
        <v>1910</v>
      </c>
      <c r="E102" s="59" t="s">
        <v>1911</v>
      </c>
      <c r="F102" s="59" t="s">
        <v>1912</v>
      </c>
      <c r="G102" s="59" t="s">
        <v>1041</v>
      </c>
      <c r="H102" s="103"/>
      <c r="I102" s="103"/>
      <c r="J102" s="103"/>
      <c r="K102" s="103"/>
      <c r="L102" s="103"/>
    </row>
    <row r="103">
      <c r="A103" s="103" t="s">
        <v>1273</v>
      </c>
      <c r="B103" s="103" t="s">
        <v>1368</v>
      </c>
      <c r="C103" s="103" t="s">
        <v>1369</v>
      </c>
      <c r="D103" s="103" t="s">
        <v>1370</v>
      </c>
      <c r="E103" s="103" t="s">
        <v>1371</v>
      </c>
      <c r="F103" s="103" t="s">
        <v>1372</v>
      </c>
      <c r="G103" s="103" t="s">
        <v>1373</v>
      </c>
      <c r="H103" s="103" t="s">
        <v>1374</v>
      </c>
      <c r="I103" s="103" t="s">
        <v>1275</v>
      </c>
      <c r="J103" s="103" t="s">
        <v>1375</v>
      </c>
      <c r="K103" s="103" t="s">
        <v>1372</v>
      </c>
      <c r="L103" s="103" t="s">
        <v>1376</v>
      </c>
    </row>
    <row r="104">
      <c r="A104" s="103" t="s">
        <v>1281</v>
      </c>
      <c r="B104" s="103"/>
      <c r="C104" s="103"/>
      <c r="D104" s="102">
        <v>1.0</v>
      </c>
      <c r="E104" s="102">
        <v>1.0</v>
      </c>
      <c r="F104" s="102">
        <v>0.0</v>
      </c>
      <c r="G104" s="102">
        <v>1.0</v>
      </c>
      <c r="H104" s="103"/>
      <c r="I104" s="103"/>
      <c r="J104" s="103"/>
      <c r="K104" s="103"/>
      <c r="L104" s="103"/>
    </row>
    <row r="105">
      <c r="A105" s="103" t="s">
        <v>1282</v>
      </c>
      <c r="B105" s="103"/>
      <c r="C105" s="103"/>
      <c r="D105" s="102">
        <v>1.0</v>
      </c>
      <c r="E105" s="102">
        <v>1.0</v>
      </c>
      <c r="F105" s="102">
        <v>0.0</v>
      </c>
      <c r="G105" s="102">
        <v>1.0</v>
      </c>
      <c r="H105" s="103"/>
      <c r="I105" s="103"/>
      <c r="J105" s="103"/>
      <c r="K105" s="103"/>
      <c r="L105" s="103"/>
    </row>
    <row r="106">
      <c r="A106" s="103" t="s">
        <v>948</v>
      </c>
      <c r="B106" s="103"/>
      <c r="C106" s="103"/>
      <c r="D106" s="102">
        <v>1.0</v>
      </c>
      <c r="E106" s="102">
        <v>1.0</v>
      </c>
      <c r="F106" s="102">
        <v>0.0</v>
      </c>
      <c r="G106" s="102">
        <v>1.0</v>
      </c>
      <c r="H106" s="103"/>
      <c r="I106" s="103"/>
      <c r="J106" s="103"/>
      <c r="K106" s="103"/>
      <c r="L106" s="103"/>
    </row>
    <row r="107">
      <c r="A107" s="103" t="s">
        <v>1283</v>
      </c>
      <c r="B107" s="103"/>
      <c r="C107" s="103"/>
      <c r="D107" s="102">
        <v>1.0</v>
      </c>
      <c r="E107" s="102">
        <v>1.0</v>
      </c>
      <c r="F107" s="102">
        <v>1.0</v>
      </c>
      <c r="G107" s="102">
        <v>1.0</v>
      </c>
      <c r="H107" s="103"/>
      <c r="I107" s="103"/>
      <c r="J107" s="103"/>
      <c r="K107" s="103"/>
      <c r="L107" s="103"/>
    </row>
    <row r="108">
      <c r="A108" s="103" t="s">
        <v>950</v>
      </c>
      <c r="B108" s="103"/>
      <c r="C108" s="103"/>
      <c r="D108" s="102">
        <v>1.0</v>
      </c>
      <c r="E108" s="102">
        <v>1.0</v>
      </c>
      <c r="F108" s="102">
        <v>0.0</v>
      </c>
      <c r="G108" s="102">
        <v>1.0</v>
      </c>
      <c r="H108" s="103"/>
      <c r="I108" s="103"/>
      <c r="J108" s="103"/>
      <c r="K108" s="103"/>
      <c r="L108" s="103"/>
    </row>
    <row r="109">
      <c r="A109" s="103" t="s">
        <v>951</v>
      </c>
      <c r="B109" s="103"/>
      <c r="C109" s="103"/>
      <c r="D109" s="102">
        <v>1.0</v>
      </c>
      <c r="E109" s="102">
        <v>1.0</v>
      </c>
      <c r="F109" s="102">
        <v>0.0</v>
      </c>
      <c r="G109" s="102">
        <v>1.0</v>
      </c>
      <c r="H109" s="103"/>
      <c r="I109" s="103"/>
      <c r="J109" s="103"/>
      <c r="K109" s="103"/>
      <c r="L109" s="103"/>
    </row>
    <row r="110">
      <c r="A110" s="103" t="s">
        <v>952</v>
      </c>
      <c r="B110" s="103"/>
      <c r="C110" s="103"/>
      <c r="D110" s="102">
        <v>1.0</v>
      </c>
      <c r="E110" s="102">
        <v>1.0</v>
      </c>
      <c r="F110" s="102">
        <v>1.0</v>
      </c>
      <c r="G110" s="102">
        <v>1.0</v>
      </c>
      <c r="H110" s="103"/>
      <c r="I110" s="103"/>
      <c r="J110" s="103"/>
      <c r="K110" s="103"/>
      <c r="L110" s="103"/>
    </row>
    <row r="111">
      <c r="A111" s="103" t="s">
        <v>1284</v>
      </c>
      <c r="B111" s="103" t="s">
        <v>1368</v>
      </c>
      <c r="C111" s="103" t="s">
        <v>1377</v>
      </c>
      <c r="D111" s="103" t="s">
        <v>1378</v>
      </c>
      <c r="E111" s="103" t="s">
        <v>1379</v>
      </c>
      <c r="F111" s="103" t="s">
        <v>1353</v>
      </c>
      <c r="G111" s="103" t="s">
        <v>1358</v>
      </c>
      <c r="H111" s="103" t="s">
        <v>1275</v>
      </c>
      <c r="I111" s="103" t="s">
        <v>1275</v>
      </c>
      <c r="J111" s="103" t="s">
        <v>1380</v>
      </c>
      <c r="K111" s="103" t="s">
        <v>1353</v>
      </c>
      <c r="L111" s="103" t="s">
        <v>1032</v>
      </c>
    </row>
    <row r="112">
      <c r="A112" s="103" t="s">
        <v>1281</v>
      </c>
      <c r="B112" s="103"/>
      <c r="C112" s="103"/>
      <c r="D112" s="102">
        <v>1.0</v>
      </c>
      <c r="E112" s="102">
        <v>1.0</v>
      </c>
      <c r="F112" s="102">
        <v>1.0</v>
      </c>
      <c r="G112" s="102">
        <v>1.0</v>
      </c>
      <c r="H112" s="103"/>
      <c r="I112" s="103"/>
      <c r="J112" s="103"/>
      <c r="K112" s="103"/>
      <c r="L112" s="103"/>
    </row>
    <row r="113">
      <c r="A113" s="103" t="s">
        <v>1282</v>
      </c>
      <c r="B113" s="103"/>
      <c r="C113" s="103"/>
      <c r="D113" s="102">
        <v>1.0</v>
      </c>
      <c r="E113" s="102">
        <v>1.0</v>
      </c>
      <c r="F113" s="102">
        <v>1.0</v>
      </c>
      <c r="G113" s="102">
        <v>1.0</v>
      </c>
      <c r="H113" s="103"/>
      <c r="I113" s="103"/>
      <c r="J113" s="103"/>
      <c r="K113" s="103"/>
      <c r="L113" s="103"/>
    </row>
    <row r="114">
      <c r="A114" s="103" t="s">
        <v>948</v>
      </c>
      <c r="B114" s="103"/>
      <c r="C114" s="103"/>
      <c r="D114" s="102">
        <v>1.0</v>
      </c>
      <c r="E114" s="102">
        <v>1.0</v>
      </c>
      <c r="F114" s="102">
        <v>0.0</v>
      </c>
      <c r="G114" s="102">
        <v>1.0</v>
      </c>
      <c r="H114" s="103"/>
      <c r="I114" s="103"/>
      <c r="J114" s="103"/>
      <c r="K114" s="103"/>
      <c r="L114" s="103"/>
    </row>
    <row r="115">
      <c r="A115" s="103" t="s">
        <v>1283</v>
      </c>
      <c r="B115" s="103"/>
      <c r="C115" s="103"/>
      <c r="D115" s="102">
        <v>1.0</v>
      </c>
      <c r="E115" s="102">
        <v>1.0</v>
      </c>
      <c r="F115" s="102">
        <v>1.0</v>
      </c>
      <c r="G115" s="102">
        <v>1.0</v>
      </c>
      <c r="H115" s="103"/>
      <c r="I115" s="103"/>
      <c r="J115" s="103"/>
      <c r="K115" s="103"/>
      <c r="L115" s="103"/>
    </row>
    <row r="116">
      <c r="A116" s="103" t="s">
        <v>950</v>
      </c>
      <c r="B116" s="103"/>
      <c r="C116" s="103"/>
      <c r="D116" s="102">
        <v>0.0</v>
      </c>
      <c r="E116" s="102">
        <v>1.0</v>
      </c>
      <c r="F116" s="102">
        <v>1.0</v>
      </c>
      <c r="G116" s="102">
        <v>1.0</v>
      </c>
      <c r="H116" s="103"/>
      <c r="I116" s="103"/>
      <c r="J116" s="103"/>
      <c r="K116" s="103"/>
      <c r="L116" s="103"/>
    </row>
    <row r="117">
      <c r="A117" s="103" t="s">
        <v>951</v>
      </c>
      <c r="B117" s="103"/>
      <c r="C117" s="103"/>
      <c r="D117" s="102">
        <v>1.0</v>
      </c>
      <c r="E117" s="102">
        <v>1.0</v>
      </c>
      <c r="F117" s="102">
        <v>1.0</v>
      </c>
      <c r="G117" s="102">
        <v>1.0</v>
      </c>
      <c r="H117" s="103"/>
      <c r="I117" s="103"/>
      <c r="J117" s="103"/>
      <c r="K117" s="103"/>
      <c r="L117" s="103"/>
    </row>
    <row r="118">
      <c r="A118" s="103" t="s">
        <v>952</v>
      </c>
      <c r="B118" s="103"/>
      <c r="C118" s="103"/>
      <c r="D118" s="102">
        <v>1.0</v>
      </c>
      <c r="E118" s="102">
        <v>1.0</v>
      </c>
      <c r="F118" s="102">
        <v>1.0</v>
      </c>
      <c r="G118" s="102">
        <v>1.0</v>
      </c>
      <c r="H118" s="103"/>
      <c r="I118" s="103"/>
      <c r="J118" s="103"/>
      <c r="K118" s="103"/>
      <c r="L118" s="103"/>
    </row>
    <row r="119">
      <c r="A119" s="103" t="s">
        <v>1291</v>
      </c>
      <c r="B119" s="103" t="s">
        <v>1368</v>
      </c>
      <c r="C119" s="103" t="s">
        <v>1381</v>
      </c>
      <c r="D119" s="103" t="s">
        <v>1382</v>
      </c>
      <c r="E119" s="103" t="s">
        <v>1383</v>
      </c>
      <c r="F119" s="103" t="s">
        <v>1384</v>
      </c>
      <c r="G119" s="103" t="s">
        <v>1385</v>
      </c>
      <c r="H119" s="103" t="s">
        <v>1000</v>
      </c>
      <c r="I119" s="103" t="s">
        <v>1275</v>
      </c>
      <c r="J119" s="103" t="s">
        <v>1386</v>
      </c>
      <c r="K119" s="103" t="s">
        <v>1387</v>
      </c>
      <c r="L119" s="103" t="s">
        <v>1032</v>
      </c>
    </row>
    <row r="120">
      <c r="A120" s="103" t="s">
        <v>1281</v>
      </c>
      <c r="B120" s="103"/>
      <c r="C120" s="103"/>
      <c r="D120" s="102">
        <v>1.0</v>
      </c>
      <c r="E120" s="102">
        <v>1.0</v>
      </c>
      <c r="F120" s="102">
        <v>1.0</v>
      </c>
      <c r="G120" s="102">
        <v>1.0</v>
      </c>
      <c r="H120" s="103"/>
      <c r="I120" s="103"/>
      <c r="J120" s="103"/>
      <c r="K120" s="103"/>
      <c r="L120" s="103"/>
    </row>
    <row r="121">
      <c r="A121" s="103" t="s">
        <v>1282</v>
      </c>
      <c r="B121" s="103"/>
      <c r="C121" s="103"/>
      <c r="D121" s="102">
        <v>1.0</v>
      </c>
      <c r="E121" s="102">
        <v>1.0</v>
      </c>
      <c r="F121" s="102">
        <v>1.0</v>
      </c>
      <c r="G121" s="102">
        <v>1.0</v>
      </c>
      <c r="H121" s="103"/>
      <c r="I121" s="103"/>
      <c r="J121" s="103"/>
      <c r="K121" s="103"/>
      <c r="L121" s="103"/>
    </row>
    <row r="122">
      <c r="A122" s="103" t="s">
        <v>948</v>
      </c>
      <c r="B122" s="103"/>
      <c r="C122" s="103"/>
      <c r="D122" s="102">
        <v>1.0</v>
      </c>
      <c r="E122" s="102">
        <v>1.0</v>
      </c>
      <c r="F122" s="102">
        <v>1.0</v>
      </c>
      <c r="G122" s="102">
        <v>1.0</v>
      </c>
      <c r="H122" s="103"/>
      <c r="I122" s="103"/>
      <c r="J122" s="103"/>
      <c r="K122" s="103"/>
      <c r="L122" s="103"/>
    </row>
    <row r="123">
      <c r="A123" s="103" t="s">
        <v>1283</v>
      </c>
      <c r="B123" s="103"/>
      <c r="C123" s="103"/>
      <c r="D123" s="102">
        <v>1.0</v>
      </c>
      <c r="E123" s="102">
        <v>1.0</v>
      </c>
      <c r="F123" s="102">
        <v>1.0</v>
      </c>
      <c r="G123" s="102">
        <v>1.0</v>
      </c>
      <c r="H123" s="103"/>
      <c r="I123" s="103"/>
      <c r="J123" s="103"/>
      <c r="K123" s="103"/>
      <c r="L123" s="103"/>
    </row>
    <row r="124">
      <c r="A124" s="103" t="s">
        <v>950</v>
      </c>
      <c r="B124" s="103"/>
      <c r="C124" s="103"/>
      <c r="D124" s="102">
        <v>1.0</v>
      </c>
      <c r="E124" s="102">
        <v>1.0</v>
      </c>
      <c r="F124" s="102">
        <v>1.0</v>
      </c>
      <c r="G124" s="102">
        <v>1.0</v>
      </c>
      <c r="H124" s="103"/>
      <c r="I124" s="103"/>
      <c r="J124" s="103"/>
      <c r="K124" s="103"/>
      <c r="L124" s="103"/>
    </row>
    <row r="125">
      <c r="A125" s="103" t="s">
        <v>951</v>
      </c>
      <c r="B125" s="103"/>
      <c r="C125" s="103"/>
      <c r="D125" s="102">
        <v>1.0</v>
      </c>
      <c r="E125" s="102">
        <v>1.0</v>
      </c>
      <c r="F125" s="102">
        <v>1.0</v>
      </c>
      <c r="G125" s="102">
        <v>1.0</v>
      </c>
      <c r="H125" s="103"/>
      <c r="I125" s="103"/>
      <c r="J125" s="103"/>
      <c r="K125" s="103"/>
      <c r="L125" s="103"/>
    </row>
    <row r="126">
      <c r="A126" s="103" t="s">
        <v>952</v>
      </c>
      <c r="B126" s="103"/>
      <c r="C126" s="103"/>
      <c r="D126" s="102">
        <v>1.0</v>
      </c>
      <c r="E126" s="102">
        <v>1.0</v>
      </c>
      <c r="F126" s="102">
        <v>1.0</v>
      </c>
      <c r="G126" s="102">
        <v>1.0</v>
      </c>
      <c r="H126" s="103"/>
      <c r="I126" s="103"/>
      <c r="J126" s="103"/>
      <c r="K126" s="103"/>
      <c r="L126" s="103"/>
    </row>
    <row r="127">
      <c r="A127" s="97" t="s">
        <v>1272</v>
      </c>
      <c r="B127" s="97"/>
      <c r="C127" s="97"/>
      <c r="D127" s="5" t="s">
        <v>1917</v>
      </c>
      <c r="E127" s="5" t="s">
        <v>1918</v>
      </c>
      <c r="F127" s="5" t="s">
        <v>1019</v>
      </c>
      <c r="G127" s="5" t="s">
        <v>1919</v>
      </c>
      <c r="H127" s="97"/>
      <c r="I127" s="97"/>
      <c r="J127" s="97"/>
      <c r="K127" s="97"/>
      <c r="L127" s="97"/>
    </row>
    <row r="128">
      <c r="A128" s="97" t="s">
        <v>1273</v>
      </c>
      <c r="B128" s="97" t="s">
        <v>1388</v>
      </c>
      <c r="C128" s="97" t="s">
        <v>1389</v>
      </c>
      <c r="D128" s="97" t="s">
        <v>1390</v>
      </c>
      <c r="E128" s="97" t="s">
        <v>1391</v>
      </c>
      <c r="F128" s="97" t="s">
        <v>1392</v>
      </c>
      <c r="G128" s="97" t="s">
        <v>1393</v>
      </c>
      <c r="H128" s="97" t="s">
        <v>1394</v>
      </c>
      <c r="I128" s="97" t="s">
        <v>1275</v>
      </c>
      <c r="J128" s="97" t="s">
        <v>1395</v>
      </c>
      <c r="K128" s="97" t="s">
        <v>1392</v>
      </c>
      <c r="L128" s="97" t="s">
        <v>1393</v>
      </c>
    </row>
    <row r="129">
      <c r="A129" s="97" t="s">
        <v>1281</v>
      </c>
      <c r="B129" s="97"/>
      <c r="C129" s="97"/>
      <c r="D129" s="107">
        <v>1.0</v>
      </c>
      <c r="E129" s="107">
        <v>1.0</v>
      </c>
      <c r="F129" s="107">
        <v>1.0</v>
      </c>
      <c r="G129" s="107">
        <v>0.0</v>
      </c>
      <c r="H129" s="97"/>
      <c r="I129" s="97"/>
      <c r="J129" s="97"/>
      <c r="K129" s="97"/>
      <c r="L129" s="97"/>
    </row>
    <row r="130">
      <c r="A130" s="97" t="s">
        <v>1282</v>
      </c>
      <c r="B130" s="97"/>
      <c r="C130" s="97"/>
      <c r="D130" s="107">
        <v>1.0</v>
      </c>
      <c r="E130" s="107">
        <v>1.0</v>
      </c>
      <c r="F130" s="107">
        <v>0.0</v>
      </c>
      <c r="G130" s="107">
        <v>0.0</v>
      </c>
      <c r="H130" s="97"/>
      <c r="I130" s="97"/>
      <c r="J130" s="97"/>
      <c r="K130" s="97"/>
      <c r="L130" s="97"/>
    </row>
    <row r="131">
      <c r="A131" s="97" t="s">
        <v>948</v>
      </c>
      <c r="B131" s="97"/>
      <c r="C131" s="97"/>
      <c r="D131" s="107">
        <v>1.0</v>
      </c>
      <c r="E131" s="107">
        <v>1.0</v>
      </c>
      <c r="F131" s="107">
        <v>1.0</v>
      </c>
      <c r="G131" s="107">
        <v>0.0</v>
      </c>
      <c r="H131" s="97"/>
      <c r="I131" s="97"/>
      <c r="J131" s="97"/>
      <c r="K131" s="97"/>
      <c r="L131" s="97"/>
    </row>
    <row r="132">
      <c r="A132" s="97" t="s">
        <v>1283</v>
      </c>
      <c r="B132" s="97"/>
      <c r="C132" s="97"/>
      <c r="D132" s="107">
        <v>1.0</v>
      </c>
      <c r="E132" s="107">
        <v>1.0</v>
      </c>
      <c r="F132" s="107">
        <v>1.0</v>
      </c>
      <c r="G132" s="107">
        <v>1.0</v>
      </c>
      <c r="H132" s="97"/>
      <c r="I132" s="97"/>
      <c r="J132" s="97"/>
      <c r="K132" s="97"/>
      <c r="L132" s="97"/>
    </row>
    <row r="133">
      <c r="A133" s="97" t="s">
        <v>950</v>
      </c>
      <c r="B133" s="97"/>
      <c r="C133" s="97"/>
      <c r="D133" s="107">
        <v>1.0</v>
      </c>
      <c r="E133" s="107">
        <v>1.0</v>
      </c>
      <c r="F133" s="107">
        <v>0.0</v>
      </c>
      <c r="G133" s="107">
        <v>1.0</v>
      </c>
      <c r="H133" s="97"/>
      <c r="I133" s="97"/>
      <c r="J133" s="97"/>
      <c r="K133" s="97"/>
      <c r="L133" s="97"/>
    </row>
    <row r="134">
      <c r="A134" s="97" t="s">
        <v>951</v>
      </c>
      <c r="B134" s="97"/>
      <c r="C134" s="97"/>
      <c r="D134" s="107">
        <v>1.0</v>
      </c>
      <c r="E134" s="107">
        <v>1.0</v>
      </c>
      <c r="F134" s="107">
        <v>0.0</v>
      </c>
      <c r="G134" s="107">
        <v>0.0</v>
      </c>
      <c r="H134" s="97"/>
      <c r="I134" s="97"/>
      <c r="J134" s="97"/>
      <c r="K134" s="97"/>
      <c r="L134" s="97"/>
    </row>
    <row r="135">
      <c r="A135" s="97" t="s">
        <v>952</v>
      </c>
      <c r="B135" s="97"/>
      <c r="C135" s="97"/>
      <c r="D135" s="107">
        <v>1.0</v>
      </c>
      <c r="E135" s="107">
        <v>1.0</v>
      </c>
      <c r="F135" s="107">
        <v>1.0</v>
      </c>
      <c r="G135" s="107">
        <v>1.0</v>
      </c>
      <c r="H135" s="97"/>
      <c r="I135" s="97"/>
      <c r="J135" s="97"/>
      <c r="K135" s="97"/>
      <c r="L135" s="97"/>
    </row>
    <row r="136">
      <c r="A136" s="97" t="s">
        <v>1284</v>
      </c>
      <c r="B136" s="97" t="s">
        <v>1388</v>
      </c>
      <c r="C136" s="97" t="s">
        <v>1396</v>
      </c>
      <c r="D136" s="97" t="s">
        <v>1397</v>
      </c>
      <c r="E136" s="97" t="s">
        <v>1398</v>
      </c>
      <c r="F136" s="97" t="s">
        <v>1332</v>
      </c>
      <c r="G136" s="97" t="s">
        <v>1399</v>
      </c>
      <c r="H136" s="97" t="s">
        <v>1400</v>
      </c>
      <c r="I136" s="97" t="s">
        <v>1401</v>
      </c>
      <c r="J136" s="97" t="s">
        <v>1395</v>
      </c>
      <c r="K136" s="97" t="s">
        <v>1332</v>
      </c>
      <c r="L136" s="97" t="s">
        <v>1402</v>
      </c>
    </row>
    <row r="137">
      <c r="A137" s="97" t="s">
        <v>1281</v>
      </c>
      <c r="B137" s="97"/>
      <c r="C137" s="97"/>
      <c r="D137" s="107">
        <v>1.0</v>
      </c>
      <c r="E137" s="107">
        <v>1.0</v>
      </c>
      <c r="F137" s="107">
        <v>1.0</v>
      </c>
      <c r="G137" s="107">
        <v>1.0</v>
      </c>
      <c r="H137" s="97"/>
      <c r="I137" s="97"/>
      <c r="J137" s="97"/>
      <c r="K137" s="97"/>
      <c r="L137" s="97"/>
    </row>
    <row r="138">
      <c r="A138" s="97" t="s">
        <v>1282</v>
      </c>
      <c r="B138" s="97"/>
      <c r="C138" s="97"/>
      <c r="D138" s="107">
        <v>1.0</v>
      </c>
      <c r="E138" s="107">
        <v>1.0</v>
      </c>
      <c r="F138" s="107">
        <v>1.0</v>
      </c>
      <c r="G138" s="107">
        <v>1.0</v>
      </c>
      <c r="H138" s="97"/>
      <c r="I138" s="97"/>
      <c r="J138" s="97"/>
      <c r="K138" s="97"/>
      <c r="L138" s="97"/>
    </row>
    <row r="139">
      <c r="A139" s="97" t="s">
        <v>948</v>
      </c>
      <c r="B139" s="97"/>
      <c r="C139" s="97"/>
      <c r="D139" s="107">
        <v>1.0</v>
      </c>
      <c r="E139" s="107">
        <v>1.0</v>
      </c>
      <c r="F139" s="107">
        <v>0.0</v>
      </c>
      <c r="G139" s="107">
        <v>1.0</v>
      </c>
      <c r="H139" s="97"/>
      <c r="I139" s="97"/>
      <c r="J139" s="97"/>
      <c r="K139" s="97"/>
      <c r="L139" s="97"/>
    </row>
    <row r="140">
      <c r="A140" s="97" t="s">
        <v>1283</v>
      </c>
      <c r="B140" s="97"/>
      <c r="C140" s="97"/>
      <c r="D140" s="107">
        <v>1.0</v>
      </c>
      <c r="E140" s="107">
        <v>1.0</v>
      </c>
      <c r="F140" s="107">
        <v>1.0</v>
      </c>
      <c r="G140" s="107">
        <v>1.0</v>
      </c>
      <c r="H140" s="97"/>
      <c r="I140" s="97"/>
      <c r="J140" s="97"/>
      <c r="K140" s="97"/>
      <c r="L140" s="97"/>
    </row>
    <row r="141">
      <c r="A141" s="97" t="s">
        <v>950</v>
      </c>
      <c r="B141" s="97"/>
      <c r="C141" s="97"/>
      <c r="D141" s="107">
        <v>1.0</v>
      </c>
      <c r="E141" s="107">
        <v>1.0</v>
      </c>
      <c r="F141" s="107">
        <v>1.0</v>
      </c>
      <c r="G141" s="107">
        <v>1.0</v>
      </c>
      <c r="H141" s="97"/>
      <c r="I141" s="97"/>
      <c r="J141" s="97"/>
      <c r="K141" s="97"/>
      <c r="L141" s="97"/>
    </row>
    <row r="142">
      <c r="A142" s="97" t="s">
        <v>951</v>
      </c>
      <c r="B142" s="97"/>
      <c r="C142" s="97"/>
      <c r="D142" s="107">
        <v>1.0</v>
      </c>
      <c r="E142" s="107">
        <v>1.0</v>
      </c>
      <c r="F142" s="107">
        <v>0.0</v>
      </c>
      <c r="G142" s="107">
        <v>1.0</v>
      </c>
      <c r="H142" s="97"/>
      <c r="I142" s="97"/>
      <c r="J142" s="97"/>
      <c r="K142" s="97"/>
      <c r="L142" s="97"/>
    </row>
    <row r="143">
      <c r="A143" s="97" t="s">
        <v>952</v>
      </c>
      <c r="B143" s="97"/>
      <c r="C143" s="97"/>
      <c r="D143" s="107">
        <v>1.0</v>
      </c>
      <c r="E143" s="107">
        <v>1.0</v>
      </c>
      <c r="F143" s="107">
        <v>1.0</v>
      </c>
      <c r="G143" s="107">
        <v>1.0</v>
      </c>
      <c r="H143" s="97"/>
      <c r="I143" s="97"/>
      <c r="J143" s="97"/>
      <c r="K143" s="97"/>
      <c r="L143" s="97"/>
    </row>
    <row r="144">
      <c r="A144" s="97" t="s">
        <v>1291</v>
      </c>
      <c r="B144" s="97" t="s">
        <v>1388</v>
      </c>
      <c r="C144" s="97" t="s">
        <v>1403</v>
      </c>
      <c r="D144" s="97" t="s">
        <v>1404</v>
      </c>
      <c r="E144" s="97" t="s">
        <v>1405</v>
      </c>
      <c r="F144" s="97" t="s">
        <v>1406</v>
      </c>
      <c r="G144" s="97" t="s">
        <v>1407</v>
      </c>
      <c r="H144" s="97" t="s">
        <v>1394</v>
      </c>
      <c r="I144" s="97" t="s">
        <v>1408</v>
      </c>
      <c r="J144" s="97" t="s">
        <v>1409</v>
      </c>
      <c r="K144" s="97" t="s">
        <v>1392</v>
      </c>
      <c r="L144" s="97" t="s">
        <v>1002</v>
      </c>
    </row>
    <row r="145">
      <c r="A145" s="97" t="s">
        <v>1281</v>
      </c>
      <c r="B145" s="97"/>
      <c r="C145" s="97"/>
      <c r="D145" s="107">
        <v>1.0</v>
      </c>
      <c r="E145" s="107">
        <v>1.0</v>
      </c>
      <c r="F145" s="107">
        <v>1.0</v>
      </c>
      <c r="G145" s="107">
        <v>1.0</v>
      </c>
      <c r="H145" s="97"/>
      <c r="I145" s="97"/>
      <c r="J145" s="97"/>
      <c r="K145" s="97"/>
      <c r="L145" s="97"/>
    </row>
    <row r="146">
      <c r="A146" s="97" t="s">
        <v>1282</v>
      </c>
      <c r="B146" s="97"/>
      <c r="C146" s="97"/>
      <c r="D146" s="107">
        <v>1.0</v>
      </c>
      <c r="E146" s="107">
        <v>1.0</v>
      </c>
      <c r="F146" s="107">
        <v>0.0</v>
      </c>
      <c r="G146" s="107">
        <v>1.0</v>
      </c>
      <c r="H146" s="97"/>
      <c r="I146" s="97"/>
      <c r="J146" s="97"/>
      <c r="K146" s="97"/>
      <c r="L146" s="97"/>
    </row>
    <row r="147">
      <c r="A147" s="97" t="s">
        <v>948</v>
      </c>
      <c r="B147" s="97"/>
      <c r="C147" s="97"/>
      <c r="D147" s="107">
        <v>1.0</v>
      </c>
      <c r="E147" s="107">
        <v>1.0</v>
      </c>
      <c r="F147" s="107">
        <v>1.0</v>
      </c>
      <c r="G147" s="107">
        <v>1.0</v>
      </c>
      <c r="H147" s="97"/>
      <c r="I147" s="97"/>
      <c r="J147" s="97"/>
      <c r="K147" s="97"/>
      <c r="L147" s="97"/>
    </row>
    <row r="148">
      <c r="A148" s="97" t="s">
        <v>1283</v>
      </c>
      <c r="B148" s="97"/>
      <c r="C148" s="97"/>
      <c r="D148" s="107">
        <v>1.0</v>
      </c>
      <c r="E148" s="107">
        <v>1.0</v>
      </c>
      <c r="F148" s="107">
        <v>1.0</v>
      </c>
      <c r="G148" s="107">
        <v>1.0</v>
      </c>
      <c r="H148" s="97"/>
      <c r="I148" s="97"/>
      <c r="J148" s="97"/>
      <c r="K148" s="97"/>
      <c r="L148" s="97"/>
    </row>
    <row r="149">
      <c r="A149" s="97" t="s">
        <v>950</v>
      </c>
      <c r="B149" s="97"/>
      <c r="C149" s="97"/>
      <c r="D149" s="107">
        <v>1.0</v>
      </c>
      <c r="E149" s="107">
        <v>1.0</v>
      </c>
      <c r="F149" s="107">
        <v>0.0</v>
      </c>
      <c r="G149" s="107">
        <v>1.0</v>
      </c>
      <c r="H149" s="97"/>
      <c r="I149" s="97"/>
      <c r="J149" s="97"/>
      <c r="K149" s="97"/>
      <c r="L149" s="97"/>
    </row>
    <row r="150">
      <c r="A150" s="97" t="s">
        <v>951</v>
      </c>
      <c r="B150" s="97"/>
      <c r="C150" s="97"/>
      <c r="D150" s="107">
        <v>1.0</v>
      </c>
      <c r="E150" s="107">
        <v>1.0</v>
      </c>
      <c r="F150" s="107">
        <v>1.0</v>
      </c>
      <c r="G150" s="107">
        <v>1.0</v>
      </c>
      <c r="H150" s="97"/>
      <c r="I150" s="97"/>
      <c r="J150" s="97"/>
      <c r="K150" s="97"/>
      <c r="L150" s="97"/>
    </row>
    <row r="151">
      <c r="A151" s="97" t="s">
        <v>952</v>
      </c>
      <c r="B151" s="97"/>
      <c r="C151" s="97"/>
      <c r="D151" s="107">
        <v>1.0</v>
      </c>
      <c r="E151" s="107">
        <v>1.0</v>
      </c>
      <c r="F151" s="107">
        <v>1.0</v>
      </c>
      <c r="G151" s="107">
        <v>1.0</v>
      </c>
      <c r="H151" s="97"/>
      <c r="I151" s="97"/>
      <c r="J151" s="97"/>
      <c r="K151" s="97"/>
      <c r="L151" s="97"/>
    </row>
    <row r="152">
      <c r="A152" s="103" t="s">
        <v>1272</v>
      </c>
      <c r="B152" s="103"/>
      <c r="C152" s="103"/>
      <c r="D152" s="59" t="s">
        <v>1925</v>
      </c>
      <c r="E152" s="59" t="s">
        <v>1926</v>
      </c>
      <c r="F152" s="59" t="s">
        <v>1927</v>
      </c>
      <c r="G152" s="59" t="s">
        <v>1928</v>
      </c>
      <c r="H152" s="103"/>
      <c r="I152" s="103"/>
      <c r="J152" s="103"/>
      <c r="K152" s="103"/>
      <c r="L152" s="103"/>
    </row>
    <row r="153">
      <c r="A153" s="103" t="s">
        <v>1273</v>
      </c>
      <c r="B153" s="103" t="s">
        <v>1411</v>
      </c>
      <c r="C153" s="103" t="s">
        <v>1297</v>
      </c>
      <c r="D153" s="103" t="s">
        <v>1297</v>
      </c>
      <c r="E153" s="103" t="s">
        <v>1412</v>
      </c>
      <c r="F153" s="103" t="s">
        <v>1413</v>
      </c>
      <c r="G153" s="103" t="s">
        <v>1414</v>
      </c>
      <c r="H153" s="103" t="s">
        <v>1297</v>
      </c>
      <c r="I153" s="103" t="s">
        <v>1297</v>
      </c>
      <c r="J153" s="103" t="s">
        <v>1415</v>
      </c>
      <c r="K153" s="103" t="s">
        <v>1416</v>
      </c>
      <c r="L153" s="103" t="s">
        <v>1417</v>
      </c>
    </row>
    <row r="154">
      <c r="A154" s="103" t="s">
        <v>1281</v>
      </c>
      <c r="B154" s="103"/>
      <c r="C154" s="103"/>
      <c r="D154" s="102">
        <v>1.0</v>
      </c>
      <c r="E154" s="102">
        <v>1.0</v>
      </c>
      <c r="F154" s="102">
        <v>1.0</v>
      </c>
      <c r="G154" s="102">
        <v>1.0</v>
      </c>
      <c r="H154" s="103"/>
      <c r="I154" s="103"/>
      <c r="J154" s="103"/>
      <c r="K154" s="103"/>
      <c r="L154" s="103"/>
    </row>
    <row r="155">
      <c r="A155" s="103" t="s">
        <v>1282</v>
      </c>
      <c r="B155" s="103"/>
      <c r="C155" s="103"/>
      <c r="D155" s="102">
        <v>1.0</v>
      </c>
      <c r="E155" s="102">
        <v>1.0</v>
      </c>
      <c r="F155" s="102">
        <v>1.0</v>
      </c>
      <c r="G155" s="102">
        <v>1.0</v>
      </c>
      <c r="H155" s="103"/>
      <c r="I155" s="103"/>
      <c r="J155" s="103"/>
      <c r="K155" s="103"/>
      <c r="L155" s="103"/>
    </row>
    <row r="156">
      <c r="A156" s="103" t="s">
        <v>948</v>
      </c>
      <c r="B156" s="103"/>
      <c r="C156" s="103"/>
      <c r="D156" s="102">
        <v>1.0</v>
      </c>
      <c r="E156" s="102">
        <v>1.0</v>
      </c>
      <c r="F156" s="102">
        <v>0.0</v>
      </c>
      <c r="G156" s="102">
        <v>1.0</v>
      </c>
      <c r="H156" s="103"/>
      <c r="I156" s="103"/>
      <c r="J156" s="103"/>
      <c r="K156" s="103"/>
      <c r="L156" s="103"/>
    </row>
    <row r="157">
      <c r="A157" s="103" t="s">
        <v>1283</v>
      </c>
      <c r="B157" s="103"/>
      <c r="C157" s="103"/>
      <c r="D157" s="102">
        <v>1.0</v>
      </c>
      <c r="E157" s="102">
        <v>1.0</v>
      </c>
      <c r="F157" s="102">
        <v>1.0</v>
      </c>
      <c r="G157" s="102">
        <v>1.0</v>
      </c>
      <c r="H157" s="103"/>
      <c r="I157" s="103"/>
      <c r="J157" s="103"/>
      <c r="K157" s="103"/>
      <c r="L157" s="103"/>
    </row>
    <row r="158">
      <c r="A158" s="103" t="s">
        <v>950</v>
      </c>
      <c r="B158" s="103"/>
      <c r="C158" s="103"/>
      <c r="D158" s="102">
        <v>1.0</v>
      </c>
      <c r="E158" s="102">
        <v>1.0</v>
      </c>
      <c r="F158" s="102">
        <v>1.0</v>
      </c>
      <c r="G158" s="102">
        <v>1.0</v>
      </c>
      <c r="H158" s="103"/>
      <c r="I158" s="103"/>
      <c r="J158" s="103"/>
      <c r="K158" s="103"/>
      <c r="L158" s="103"/>
    </row>
    <row r="159">
      <c r="A159" s="103" t="s">
        <v>951</v>
      </c>
      <c r="B159" s="103"/>
      <c r="C159" s="103"/>
      <c r="D159" s="102">
        <v>1.0</v>
      </c>
      <c r="E159" s="102">
        <v>1.0</v>
      </c>
      <c r="F159" s="102">
        <v>1.0</v>
      </c>
      <c r="G159" s="102">
        <v>1.0</v>
      </c>
      <c r="H159" s="103"/>
      <c r="I159" s="103"/>
      <c r="J159" s="103"/>
      <c r="K159" s="103"/>
      <c r="L159" s="103"/>
    </row>
    <row r="160">
      <c r="A160" s="103" t="s">
        <v>952</v>
      </c>
      <c r="B160" s="103"/>
      <c r="C160" s="103"/>
      <c r="D160" s="102">
        <v>1.0</v>
      </c>
      <c r="E160" s="102">
        <v>1.0</v>
      </c>
      <c r="F160" s="102">
        <v>1.0</v>
      </c>
      <c r="G160" s="102">
        <v>1.0</v>
      </c>
      <c r="H160" s="103"/>
      <c r="I160" s="103"/>
      <c r="J160" s="103"/>
      <c r="K160" s="103"/>
      <c r="L160" s="103"/>
    </row>
    <row r="161">
      <c r="A161" s="103" t="s">
        <v>1284</v>
      </c>
      <c r="B161" s="103" t="s">
        <v>1411</v>
      </c>
      <c r="C161" s="103" t="s">
        <v>1418</v>
      </c>
      <c r="D161" s="103" t="s">
        <v>1419</v>
      </c>
      <c r="E161" s="103" t="s">
        <v>1420</v>
      </c>
      <c r="F161" s="103" t="s">
        <v>1421</v>
      </c>
      <c r="G161" s="103" t="s">
        <v>1422</v>
      </c>
      <c r="H161" s="103" t="s">
        <v>1423</v>
      </c>
      <c r="I161" s="103" t="s">
        <v>1423</v>
      </c>
      <c r="J161" s="103" t="s">
        <v>1424</v>
      </c>
      <c r="K161" s="103" t="s">
        <v>1425</v>
      </c>
      <c r="L161" s="103" t="s">
        <v>1426</v>
      </c>
    </row>
    <row r="162">
      <c r="A162" s="103" t="s">
        <v>1281</v>
      </c>
      <c r="B162" s="103"/>
      <c r="C162" s="103"/>
      <c r="D162" s="102">
        <v>1.0</v>
      </c>
      <c r="E162" s="102">
        <v>0.0</v>
      </c>
      <c r="F162" s="102">
        <v>1.0</v>
      </c>
      <c r="G162" s="102">
        <v>1.0</v>
      </c>
      <c r="H162" s="103"/>
      <c r="I162" s="103"/>
      <c r="J162" s="103"/>
      <c r="K162" s="103"/>
      <c r="L162" s="103"/>
    </row>
    <row r="163">
      <c r="A163" s="103" t="s">
        <v>1282</v>
      </c>
      <c r="B163" s="103"/>
      <c r="C163" s="103"/>
      <c r="D163" s="102">
        <v>1.0</v>
      </c>
      <c r="E163" s="102">
        <v>0.0</v>
      </c>
      <c r="F163" s="102">
        <v>1.0</v>
      </c>
      <c r="G163" s="102">
        <v>1.0</v>
      </c>
      <c r="H163" s="103"/>
      <c r="I163" s="103"/>
      <c r="J163" s="103"/>
      <c r="K163" s="103"/>
      <c r="L163" s="103"/>
    </row>
    <row r="164">
      <c r="A164" s="103" t="s">
        <v>948</v>
      </c>
      <c r="B164" s="103"/>
      <c r="C164" s="103"/>
      <c r="D164" s="102">
        <v>1.0</v>
      </c>
      <c r="E164" s="102">
        <v>1.0</v>
      </c>
      <c r="F164" s="102">
        <v>0.0</v>
      </c>
      <c r="G164" s="102">
        <v>1.0</v>
      </c>
      <c r="H164" s="103"/>
      <c r="I164" s="103"/>
      <c r="J164" s="103"/>
      <c r="K164" s="103"/>
      <c r="L164" s="103"/>
    </row>
    <row r="165">
      <c r="A165" s="103" t="s">
        <v>1283</v>
      </c>
      <c r="B165" s="103"/>
      <c r="C165" s="103"/>
      <c r="D165" s="102">
        <v>1.0</v>
      </c>
      <c r="E165" s="102">
        <v>1.0</v>
      </c>
      <c r="F165" s="102">
        <v>1.0</v>
      </c>
      <c r="G165" s="102">
        <v>1.0</v>
      </c>
      <c r="H165" s="103"/>
      <c r="I165" s="103"/>
      <c r="J165" s="103"/>
      <c r="K165" s="103"/>
      <c r="L165" s="103"/>
    </row>
    <row r="166">
      <c r="A166" s="103" t="s">
        <v>950</v>
      </c>
      <c r="B166" s="103"/>
      <c r="C166" s="103"/>
      <c r="D166" s="102">
        <v>1.0</v>
      </c>
      <c r="E166" s="102">
        <v>0.0</v>
      </c>
      <c r="F166" s="102">
        <v>1.0</v>
      </c>
      <c r="G166" s="102">
        <v>1.0</v>
      </c>
      <c r="H166" s="103"/>
      <c r="I166" s="103"/>
      <c r="J166" s="103"/>
      <c r="K166" s="103"/>
      <c r="L166" s="103"/>
    </row>
    <row r="167">
      <c r="A167" s="103" t="s">
        <v>951</v>
      </c>
      <c r="B167" s="103"/>
      <c r="C167" s="103"/>
      <c r="D167" s="102">
        <v>1.0</v>
      </c>
      <c r="E167" s="102">
        <v>0.0</v>
      </c>
      <c r="F167" s="102">
        <v>1.0</v>
      </c>
      <c r="G167" s="102">
        <v>1.0</v>
      </c>
      <c r="H167" s="103"/>
      <c r="I167" s="103"/>
      <c r="J167" s="103"/>
      <c r="K167" s="103"/>
      <c r="L167" s="103"/>
    </row>
    <row r="168">
      <c r="A168" s="103" t="s">
        <v>952</v>
      </c>
      <c r="B168" s="103"/>
      <c r="C168" s="103"/>
      <c r="D168" s="102">
        <v>1.0</v>
      </c>
      <c r="E168" s="102">
        <v>1.0</v>
      </c>
      <c r="F168" s="102">
        <v>1.0</v>
      </c>
      <c r="G168" s="102">
        <v>1.0</v>
      </c>
      <c r="H168" s="103"/>
      <c r="I168" s="103"/>
      <c r="J168" s="103"/>
      <c r="K168" s="103"/>
      <c r="L168" s="103"/>
    </row>
    <row r="169">
      <c r="A169" s="103" t="s">
        <v>1291</v>
      </c>
      <c r="B169" s="103" t="s">
        <v>1411</v>
      </c>
      <c r="C169" s="103" t="s">
        <v>1427</v>
      </c>
      <c r="D169" s="103" t="s">
        <v>1428</v>
      </c>
      <c r="E169" s="103" t="s">
        <v>1429</v>
      </c>
      <c r="F169" s="103" t="s">
        <v>1430</v>
      </c>
      <c r="G169" s="103" t="s">
        <v>1431</v>
      </c>
      <c r="H169" s="103" t="s">
        <v>1423</v>
      </c>
      <c r="I169" s="103" t="s">
        <v>1423</v>
      </c>
      <c r="J169" s="103" t="s">
        <v>1432</v>
      </c>
      <c r="K169" s="103" t="s">
        <v>1413</v>
      </c>
      <c r="L169" s="103" t="s">
        <v>1433</v>
      </c>
    </row>
    <row r="170">
      <c r="A170" s="103" t="s">
        <v>1281</v>
      </c>
      <c r="B170" s="103"/>
      <c r="C170" s="103"/>
      <c r="D170" s="102">
        <v>1.0</v>
      </c>
      <c r="E170" s="102">
        <v>1.0</v>
      </c>
      <c r="F170" s="102">
        <v>1.0</v>
      </c>
      <c r="G170" s="102">
        <v>1.0</v>
      </c>
      <c r="H170" s="103"/>
      <c r="I170" s="103"/>
      <c r="J170" s="103"/>
      <c r="K170" s="103"/>
      <c r="L170" s="103"/>
    </row>
    <row r="171">
      <c r="A171" s="103" t="s">
        <v>1282</v>
      </c>
      <c r="B171" s="103"/>
      <c r="C171" s="103"/>
      <c r="D171" s="102">
        <v>1.0</v>
      </c>
      <c r="E171" s="102">
        <v>1.0</v>
      </c>
      <c r="F171" s="102">
        <v>1.0</v>
      </c>
      <c r="G171" s="102">
        <v>1.0</v>
      </c>
      <c r="H171" s="103"/>
      <c r="I171" s="103"/>
      <c r="J171" s="103"/>
      <c r="K171" s="103"/>
      <c r="L171" s="103"/>
    </row>
    <row r="172">
      <c r="A172" s="103" t="s">
        <v>948</v>
      </c>
      <c r="B172" s="103"/>
      <c r="C172" s="103"/>
      <c r="D172" s="102">
        <v>1.0</v>
      </c>
      <c r="E172" s="102">
        <v>1.0</v>
      </c>
      <c r="F172" s="102">
        <v>0.0</v>
      </c>
      <c r="G172" s="102">
        <v>1.0</v>
      </c>
      <c r="H172" s="103"/>
      <c r="I172" s="103"/>
      <c r="J172" s="103"/>
      <c r="K172" s="103"/>
      <c r="L172" s="103"/>
    </row>
    <row r="173">
      <c r="A173" s="103" t="s">
        <v>1283</v>
      </c>
      <c r="B173" s="103"/>
      <c r="C173" s="103"/>
      <c r="D173" s="102">
        <v>1.0</v>
      </c>
      <c r="E173" s="102">
        <v>1.0</v>
      </c>
      <c r="F173" s="102">
        <v>1.0</v>
      </c>
      <c r="G173" s="102">
        <v>1.0</v>
      </c>
      <c r="H173" s="103"/>
      <c r="I173" s="103"/>
      <c r="J173" s="103"/>
      <c r="K173" s="103"/>
      <c r="L173" s="103"/>
    </row>
    <row r="174">
      <c r="A174" s="103" t="s">
        <v>950</v>
      </c>
      <c r="B174" s="103"/>
      <c r="C174" s="103"/>
      <c r="D174" s="102">
        <v>1.0</v>
      </c>
      <c r="E174" s="102">
        <v>1.0</v>
      </c>
      <c r="F174" s="102">
        <v>1.0</v>
      </c>
      <c r="G174" s="102">
        <v>1.0</v>
      </c>
      <c r="H174" s="103"/>
      <c r="I174" s="103"/>
      <c r="J174" s="103"/>
      <c r="K174" s="103"/>
      <c r="L174" s="103"/>
    </row>
    <row r="175">
      <c r="A175" s="103" t="s">
        <v>951</v>
      </c>
      <c r="B175" s="103"/>
      <c r="C175" s="103"/>
      <c r="D175" s="102">
        <v>1.0</v>
      </c>
      <c r="E175" s="102">
        <v>1.0</v>
      </c>
      <c r="F175" s="102">
        <v>1.0</v>
      </c>
      <c r="G175" s="102">
        <v>1.0</v>
      </c>
      <c r="H175" s="103"/>
      <c r="I175" s="103"/>
      <c r="J175" s="103"/>
      <c r="K175" s="103"/>
      <c r="L175" s="103"/>
    </row>
    <row r="176">
      <c r="A176" s="103" t="s">
        <v>952</v>
      </c>
      <c r="B176" s="103"/>
      <c r="C176" s="103"/>
      <c r="D176" s="102">
        <v>1.0</v>
      </c>
      <c r="E176" s="102">
        <v>1.0</v>
      </c>
      <c r="F176" s="102">
        <v>1.0</v>
      </c>
      <c r="G176" s="102">
        <v>1.0</v>
      </c>
      <c r="H176" s="103"/>
      <c r="I176" s="103"/>
      <c r="J176" s="103"/>
      <c r="K176" s="103"/>
      <c r="L176" s="103"/>
    </row>
    <row r="177">
      <c r="A177" s="97" t="s">
        <v>1272</v>
      </c>
      <c r="B177" s="97"/>
      <c r="C177" s="97"/>
      <c r="D177" s="5" t="s">
        <v>1933</v>
      </c>
      <c r="E177" s="5" t="s">
        <v>1934</v>
      </c>
      <c r="F177" s="5" t="s">
        <v>1935</v>
      </c>
      <c r="G177" s="5" t="s">
        <v>1897</v>
      </c>
      <c r="H177" s="97"/>
      <c r="I177" s="97"/>
      <c r="J177" s="97"/>
      <c r="K177" s="97"/>
      <c r="L177" s="97"/>
    </row>
    <row r="178">
      <c r="A178" s="97" t="s">
        <v>1273</v>
      </c>
      <c r="B178" s="97" t="s">
        <v>1434</v>
      </c>
      <c r="C178" s="97" t="s">
        <v>1435</v>
      </c>
      <c r="D178" s="97" t="s">
        <v>1436</v>
      </c>
      <c r="E178" s="97" t="s">
        <v>1437</v>
      </c>
      <c r="F178" s="97" t="s">
        <v>1438</v>
      </c>
      <c r="G178" s="97" t="s">
        <v>1439</v>
      </c>
      <c r="H178" s="97" t="s">
        <v>1440</v>
      </c>
      <c r="I178" s="97" t="s">
        <v>1441</v>
      </c>
      <c r="J178" s="97" t="s">
        <v>1442</v>
      </c>
      <c r="K178" s="97" t="s">
        <v>1443</v>
      </c>
      <c r="L178" s="97" t="s">
        <v>1444</v>
      </c>
    </row>
    <row r="179">
      <c r="A179" s="97" t="s">
        <v>1281</v>
      </c>
      <c r="B179" s="97"/>
      <c r="C179" s="97"/>
      <c r="D179" s="107">
        <v>1.0</v>
      </c>
      <c r="E179" s="107">
        <v>0.0</v>
      </c>
      <c r="F179" s="107">
        <v>0.0</v>
      </c>
      <c r="G179" s="107">
        <v>0.0</v>
      </c>
      <c r="H179" s="97"/>
      <c r="I179" s="97"/>
      <c r="J179" s="97"/>
      <c r="K179" s="97"/>
      <c r="L179" s="97"/>
    </row>
    <row r="180">
      <c r="A180" s="97" t="s">
        <v>1282</v>
      </c>
      <c r="B180" s="97"/>
      <c r="C180" s="97"/>
      <c r="D180" s="107">
        <v>1.0</v>
      </c>
      <c r="E180" s="107">
        <v>0.0</v>
      </c>
      <c r="F180" s="107">
        <v>0.0</v>
      </c>
      <c r="G180" s="107">
        <v>0.0</v>
      </c>
      <c r="H180" s="97"/>
      <c r="I180" s="97"/>
      <c r="J180" s="97"/>
      <c r="K180" s="97"/>
      <c r="L180" s="97"/>
    </row>
    <row r="181">
      <c r="A181" s="97" t="s">
        <v>948</v>
      </c>
      <c r="B181" s="97"/>
      <c r="C181" s="97"/>
      <c r="D181" s="107">
        <v>1.0</v>
      </c>
      <c r="E181" s="107">
        <v>1.0</v>
      </c>
      <c r="F181" s="107">
        <v>1.0</v>
      </c>
      <c r="G181" s="107">
        <v>1.0</v>
      </c>
      <c r="H181" s="97"/>
      <c r="I181" s="97"/>
      <c r="J181" s="97"/>
      <c r="K181" s="97"/>
      <c r="L181" s="97"/>
    </row>
    <row r="182">
      <c r="A182" s="97" t="s">
        <v>1283</v>
      </c>
      <c r="B182" s="97"/>
      <c r="C182" s="97"/>
      <c r="D182" s="107">
        <v>1.0</v>
      </c>
      <c r="E182" s="107">
        <v>1.0</v>
      </c>
      <c r="F182" s="107">
        <v>1.0</v>
      </c>
      <c r="G182" s="107">
        <v>1.0</v>
      </c>
      <c r="H182" s="97"/>
      <c r="I182" s="97"/>
      <c r="J182" s="97"/>
      <c r="K182" s="97"/>
      <c r="L182" s="97"/>
    </row>
    <row r="183">
      <c r="A183" s="97" t="s">
        <v>950</v>
      </c>
      <c r="B183" s="97"/>
      <c r="C183" s="97"/>
      <c r="D183" s="107">
        <v>1.0</v>
      </c>
      <c r="E183" s="107">
        <v>0.0</v>
      </c>
      <c r="F183" s="107">
        <v>1.0</v>
      </c>
      <c r="G183" s="107">
        <v>0.0</v>
      </c>
      <c r="H183" s="97"/>
      <c r="I183" s="97"/>
      <c r="J183" s="97"/>
      <c r="K183" s="97"/>
      <c r="L183" s="97"/>
    </row>
    <row r="184">
      <c r="A184" s="97" t="s">
        <v>951</v>
      </c>
      <c r="B184" s="97"/>
      <c r="C184" s="97"/>
      <c r="D184" s="107">
        <v>1.0</v>
      </c>
      <c r="E184" s="107">
        <v>1.0</v>
      </c>
      <c r="F184" s="107">
        <v>0.0</v>
      </c>
      <c r="G184" s="107">
        <v>0.0</v>
      </c>
      <c r="H184" s="97"/>
      <c r="I184" s="97"/>
      <c r="J184" s="97"/>
      <c r="K184" s="97"/>
      <c r="L184" s="97"/>
    </row>
    <row r="185">
      <c r="A185" s="97" t="s">
        <v>952</v>
      </c>
      <c r="B185" s="97"/>
      <c r="C185" s="97"/>
      <c r="D185" s="107">
        <v>1.0</v>
      </c>
      <c r="E185" s="107">
        <v>1.0</v>
      </c>
      <c r="F185" s="107">
        <v>1.0</v>
      </c>
      <c r="G185" s="107">
        <v>1.0</v>
      </c>
      <c r="H185" s="97"/>
      <c r="I185" s="97"/>
      <c r="J185" s="97"/>
      <c r="K185" s="97"/>
      <c r="L185" s="97"/>
    </row>
    <row r="186">
      <c r="A186" s="97" t="s">
        <v>1284</v>
      </c>
      <c r="B186" s="97" t="s">
        <v>1434</v>
      </c>
      <c r="C186" s="97" t="s">
        <v>1445</v>
      </c>
      <c r="D186" s="97" t="s">
        <v>1446</v>
      </c>
      <c r="E186" s="97" t="s">
        <v>1447</v>
      </c>
      <c r="F186" s="97" t="s">
        <v>1448</v>
      </c>
      <c r="G186" s="97" t="s">
        <v>1449</v>
      </c>
      <c r="H186" s="97" t="s">
        <v>1450</v>
      </c>
      <c r="I186" s="97" t="s">
        <v>1451</v>
      </c>
      <c r="J186" s="97" t="s">
        <v>1452</v>
      </c>
      <c r="K186" s="97" t="s">
        <v>1332</v>
      </c>
      <c r="L186" s="97" t="s">
        <v>1021</v>
      </c>
    </row>
    <row r="187">
      <c r="A187" s="97" t="s">
        <v>1281</v>
      </c>
      <c r="B187" s="97"/>
      <c r="C187" s="97"/>
      <c r="D187" s="107">
        <v>1.0</v>
      </c>
      <c r="E187" s="107">
        <v>1.0</v>
      </c>
      <c r="F187" s="107">
        <v>0.0</v>
      </c>
      <c r="G187" s="107">
        <v>1.0</v>
      </c>
      <c r="H187" s="97"/>
      <c r="I187" s="97"/>
      <c r="J187" s="97"/>
      <c r="K187" s="97"/>
      <c r="L187" s="97"/>
    </row>
    <row r="188">
      <c r="A188" s="97" t="s">
        <v>1282</v>
      </c>
      <c r="B188" s="97"/>
      <c r="C188" s="97"/>
      <c r="D188" s="107">
        <v>1.0</v>
      </c>
      <c r="E188" s="107">
        <v>1.0</v>
      </c>
      <c r="F188" s="107">
        <v>0.0</v>
      </c>
      <c r="G188" s="107">
        <v>1.0</v>
      </c>
      <c r="H188" s="97"/>
      <c r="I188" s="97"/>
      <c r="J188" s="97"/>
      <c r="K188" s="97"/>
      <c r="L188" s="97"/>
    </row>
    <row r="189">
      <c r="A189" s="97" t="s">
        <v>948</v>
      </c>
      <c r="B189" s="97"/>
      <c r="C189" s="97"/>
      <c r="D189" s="107">
        <v>1.0</v>
      </c>
      <c r="E189" s="107">
        <v>1.0</v>
      </c>
      <c r="F189" s="107">
        <v>0.0</v>
      </c>
      <c r="G189" s="107">
        <v>1.0</v>
      </c>
      <c r="H189" s="97"/>
      <c r="I189" s="97"/>
      <c r="J189" s="97"/>
      <c r="K189" s="97"/>
      <c r="L189" s="97"/>
    </row>
    <row r="190">
      <c r="A190" s="97" t="s">
        <v>1283</v>
      </c>
      <c r="B190" s="97"/>
      <c r="C190" s="97"/>
      <c r="D190" s="107">
        <v>1.0</v>
      </c>
      <c r="E190" s="107">
        <v>1.0</v>
      </c>
      <c r="F190" s="107">
        <v>1.0</v>
      </c>
      <c r="G190" s="107">
        <v>1.0</v>
      </c>
      <c r="H190" s="97"/>
      <c r="I190" s="97"/>
      <c r="J190" s="97"/>
      <c r="K190" s="97"/>
      <c r="L190" s="97"/>
    </row>
    <row r="191">
      <c r="A191" s="97" t="s">
        <v>950</v>
      </c>
      <c r="B191" s="97"/>
      <c r="C191" s="97"/>
      <c r="D191" s="107">
        <v>1.0</v>
      </c>
      <c r="E191" s="107">
        <v>1.0</v>
      </c>
      <c r="F191" s="107">
        <v>1.0</v>
      </c>
      <c r="G191" s="107">
        <v>1.0</v>
      </c>
      <c r="H191" s="97"/>
      <c r="I191" s="97"/>
      <c r="J191" s="97"/>
      <c r="K191" s="97"/>
      <c r="L191" s="97"/>
    </row>
    <row r="192">
      <c r="A192" s="97" t="s">
        <v>951</v>
      </c>
      <c r="B192" s="97"/>
      <c r="C192" s="97"/>
      <c r="D192" s="107">
        <v>1.0</v>
      </c>
      <c r="E192" s="107">
        <v>1.0</v>
      </c>
      <c r="F192" s="107">
        <v>0.0</v>
      </c>
      <c r="G192" s="107">
        <v>1.0</v>
      </c>
      <c r="H192" s="97"/>
      <c r="I192" s="97"/>
      <c r="J192" s="97"/>
      <c r="K192" s="97"/>
      <c r="L192" s="97"/>
    </row>
    <row r="193">
      <c r="A193" s="97" t="s">
        <v>952</v>
      </c>
      <c r="B193" s="97"/>
      <c r="C193" s="97"/>
      <c r="D193" s="107">
        <v>1.0</v>
      </c>
      <c r="E193" s="107">
        <v>1.0</v>
      </c>
      <c r="F193" s="107">
        <v>1.0</v>
      </c>
      <c r="G193" s="107">
        <v>1.0</v>
      </c>
      <c r="H193" s="97"/>
      <c r="I193" s="97"/>
      <c r="J193" s="97"/>
      <c r="K193" s="97"/>
      <c r="L193" s="97"/>
    </row>
    <row r="194">
      <c r="A194" s="97" t="s">
        <v>1291</v>
      </c>
      <c r="B194" s="97" t="s">
        <v>1434</v>
      </c>
      <c r="C194" s="97" t="s">
        <v>1453</v>
      </c>
      <c r="D194" s="97" t="s">
        <v>1454</v>
      </c>
      <c r="E194" s="97" t="s">
        <v>1455</v>
      </c>
      <c r="F194" s="97" t="s">
        <v>1456</v>
      </c>
      <c r="G194" s="97" t="s">
        <v>1457</v>
      </c>
      <c r="H194" s="97" t="s">
        <v>1297</v>
      </c>
      <c r="I194" s="97" t="s">
        <v>1423</v>
      </c>
      <c r="J194" s="97" t="s">
        <v>1458</v>
      </c>
      <c r="K194" s="97" t="s">
        <v>1459</v>
      </c>
      <c r="L194" s="97" t="s">
        <v>1460</v>
      </c>
    </row>
    <row r="195">
      <c r="A195" s="97" t="s">
        <v>1281</v>
      </c>
      <c r="B195" s="97"/>
      <c r="C195" s="97"/>
      <c r="D195" s="107">
        <v>1.0</v>
      </c>
      <c r="E195" s="107">
        <v>1.0</v>
      </c>
      <c r="F195" s="107">
        <v>0.0</v>
      </c>
      <c r="G195" s="107">
        <v>0.0</v>
      </c>
      <c r="H195" s="97"/>
      <c r="I195" s="97"/>
      <c r="J195" s="97"/>
      <c r="K195" s="97"/>
      <c r="L195" s="97"/>
    </row>
    <row r="196">
      <c r="A196" s="97" t="s">
        <v>1282</v>
      </c>
      <c r="B196" s="97"/>
      <c r="C196" s="97"/>
      <c r="D196" s="107">
        <v>1.0</v>
      </c>
      <c r="E196" s="107">
        <v>1.0</v>
      </c>
      <c r="F196" s="107">
        <v>0.0</v>
      </c>
      <c r="G196" s="107">
        <v>1.0</v>
      </c>
      <c r="H196" s="97"/>
      <c r="I196" s="97"/>
      <c r="J196" s="97"/>
      <c r="K196" s="97"/>
      <c r="L196" s="97"/>
    </row>
    <row r="197">
      <c r="A197" s="97" t="s">
        <v>948</v>
      </c>
      <c r="B197" s="97"/>
      <c r="C197" s="97"/>
      <c r="D197" s="107">
        <v>1.0</v>
      </c>
      <c r="E197" s="107">
        <v>1.0</v>
      </c>
      <c r="F197" s="107">
        <v>1.0</v>
      </c>
      <c r="G197" s="107">
        <v>1.0</v>
      </c>
      <c r="H197" s="97"/>
      <c r="I197" s="97"/>
      <c r="J197" s="97"/>
      <c r="K197" s="97"/>
      <c r="L197" s="97"/>
    </row>
    <row r="198">
      <c r="A198" s="97" t="s">
        <v>1283</v>
      </c>
      <c r="B198" s="97"/>
      <c r="C198" s="97"/>
      <c r="D198" s="107">
        <v>1.0</v>
      </c>
      <c r="E198" s="107">
        <v>1.0</v>
      </c>
      <c r="F198" s="107">
        <v>1.0</v>
      </c>
      <c r="G198" s="107">
        <v>1.0</v>
      </c>
      <c r="H198" s="97"/>
      <c r="I198" s="97"/>
      <c r="J198" s="97"/>
      <c r="K198" s="97"/>
      <c r="L198" s="97"/>
    </row>
    <row r="199">
      <c r="A199" s="97" t="s">
        <v>950</v>
      </c>
      <c r="B199" s="97"/>
      <c r="C199" s="97"/>
      <c r="D199" s="107">
        <v>1.0</v>
      </c>
      <c r="E199" s="107">
        <v>1.0</v>
      </c>
      <c r="F199" s="107">
        <v>0.0</v>
      </c>
      <c r="G199" s="107">
        <v>0.0</v>
      </c>
      <c r="H199" s="97"/>
      <c r="I199" s="97"/>
      <c r="J199" s="97"/>
      <c r="K199" s="97"/>
      <c r="L199" s="97"/>
    </row>
    <row r="200">
      <c r="A200" s="97" t="s">
        <v>951</v>
      </c>
      <c r="B200" s="97"/>
      <c r="C200" s="97"/>
      <c r="D200" s="107">
        <v>1.0</v>
      </c>
      <c r="E200" s="107">
        <v>1.0</v>
      </c>
      <c r="F200" s="107">
        <v>0.0</v>
      </c>
      <c r="G200" s="107">
        <v>1.0</v>
      </c>
      <c r="H200" s="97"/>
      <c r="I200" s="97"/>
      <c r="J200" s="97"/>
      <c r="K200" s="97"/>
      <c r="L200" s="97"/>
    </row>
    <row r="201">
      <c r="A201" s="97" t="s">
        <v>952</v>
      </c>
      <c r="B201" s="97"/>
      <c r="C201" s="97"/>
      <c r="D201" s="107">
        <v>1.0</v>
      </c>
      <c r="E201" s="107">
        <v>1.0</v>
      </c>
      <c r="F201" s="107">
        <v>1.0</v>
      </c>
      <c r="G201" s="107">
        <v>1.0</v>
      </c>
      <c r="H201" s="97"/>
      <c r="I201" s="97"/>
      <c r="J201" s="97"/>
      <c r="K201" s="97"/>
      <c r="L201" s="97"/>
    </row>
    <row r="202">
      <c r="A202" s="103" t="s">
        <v>1272</v>
      </c>
      <c r="B202" s="103"/>
      <c r="C202" s="103"/>
      <c r="D202" s="59" t="s">
        <v>1942</v>
      </c>
      <c r="E202" s="59" t="s">
        <v>1467</v>
      </c>
      <c r="F202" s="59" t="s">
        <v>1943</v>
      </c>
      <c r="G202" s="59" t="s">
        <v>1944</v>
      </c>
      <c r="H202" s="103"/>
      <c r="I202" s="103"/>
      <c r="J202" s="103"/>
      <c r="K202" s="103"/>
      <c r="L202" s="103"/>
    </row>
    <row r="203">
      <c r="A203" s="103" t="s">
        <v>1273</v>
      </c>
      <c r="B203" s="103" t="s">
        <v>1461</v>
      </c>
      <c r="C203" s="103" t="s">
        <v>1462</v>
      </c>
      <c r="D203" s="103" t="s">
        <v>1463</v>
      </c>
      <c r="E203" s="103" t="s">
        <v>1464</v>
      </c>
      <c r="F203" s="103" t="s">
        <v>1465</v>
      </c>
      <c r="G203" s="103" t="s">
        <v>1079</v>
      </c>
      <c r="H203" s="103" t="s">
        <v>1466</v>
      </c>
      <c r="I203" s="103" t="s">
        <v>1463</v>
      </c>
      <c r="J203" s="103" t="s">
        <v>1467</v>
      </c>
      <c r="K203" s="103" t="s">
        <v>1468</v>
      </c>
      <c r="L203" s="103" t="s">
        <v>1079</v>
      </c>
    </row>
    <row r="204">
      <c r="A204" s="103" t="s">
        <v>1281</v>
      </c>
      <c r="B204" s="103"/>
      <c r="C204" s="103"/>
      <c r="D204" s="102">
        <v>1.0</v>
      </c>
      <c r="E204" s="102">
        <v>1.0</v>
      </c>
      <c r="F204" s="102">
        <v>1.0</v>
      </c>
      <c r="G204" s="102">
        <v>1.0</v>
      </c>
      <c r="H204" s="103"/>
      <c r="I204" s="103"/>
      <c r="J204" s="103"/>
      <c r="K204" s="103"/>
      <c r="L204" s="103"/>
    </row>
    <row r="205">
      <c r="A205" s="103" t="s">
        <v>1282</v>
      </c>
      <c r="B205" s="103"/>
      <c r="C205" s="103"/>
      <c r="D205" s="102">
        <v>1.0</v>
      </c>
      <c r="E205" s="102">
        <v>1.0</v>
      </c>
      <c r="F205" s="102">
        <v>1.0</v>
      </c>
      <c r="G205" s="102">
        <v>1.0</v>
      </c>
      <c r="H205" s="103"/>
      <c r="I205" s="103"/>
      <c r="J205" s="103"/>
      <c r="K205" s="103"/>
      <c r="L205" s="103"/>
    </row>
    <row r="206">
      <c r="A206" s="103" t="s">
        <v>948</v>
      </c>
      <c r="B206" s="103"/>
      <c r="C206" s="103"/>
      <c r="D206" s="102">
        <v>1.0</v>
      </c>
      <c r="E206" s="102">
        <v>1.0</v>
      </c>
      <c r="F206" s="102">
        <v>1.0</v>
      </c>
      <c r="G206" s="102">
        <v>1.0</v>
      </c>
      <c r="H206" s="103"/>
      <c r="I206" s="103"/>
      <c r="J206" s="103"/>
      <c r="K206" s="103"/>
      <c r="L206" s="103"/>
    </row>
    <row r="207">
      <c r="A207" s="103" t="s">
        <v>1283</v>
      </c>
      <c r="B207" s="103"/>
      <c r="C207" s="103"/>
      <c r="D207" s="102">
        <v>1.0</v>
      </c>
      <c r="E207" s="102">
        <v>1.0</v>
      </c>
      <c r="F207" s="102">
        <v>1.0</v>
      </c>
      <c r="G207" s="102">
        <v>1.0</v>
      </c>
      <c r="H207" s="103"/>
      <c r="I207" s="103"/>
      <c r="J207" s="103"/>
      <c r="K207" s="103"/>
      <c r="L207" s="103"/>
    </row>
    <row r="208">
      <c r="A208" s="103" t="s">
        <v>950</v>
      </c>
      <c r="B208" s="103"/>
      <c r="C208" s="103"/>
      <c r="D208" s="102">
        <v>1.0</v>
      </c>
      <c r="E208" s="102">
        <v>1.0</v>
      </c>
      <c r="F208" s="102">
        <v>1.0</v>
      </c>
      <c r="G208" s="102">
        <v>1.0</v>
      </c>
      <c r="H208" s="103"/>
      <c r="I208" s="103"/>
      <c r="J208" s="103"/>
      <c r="K208" s="103"/>
      <c r="L208" s="103"/>
    </row>
    <row r="209">
      <c r="A209" s="103" t="s">
        <v>951</v>
      </c>
      <c r="B209" s="103"/>
      <c r="C209" s="103"/>
      <c r="D209" s="102">
        <v>1.0</v>
      </c>
      <c r="E209" s="102">
        <v>1.0</v>
      </c>
      <c r="F209" s="102">
        <v>1.0</v>
      </c>
      <c r="G209" s="102">
        <v>1.0</v>
      </c>
      <c r="H209" s="103"/>
      <c r="I209" s="103"/>
      <c r="J209" s="103"/>
      <c r="K209" s="103"/>
      <c r="L209" s="103"/>
    </row>
    <row r="210">
      <c r="A210" s="103" t="s">
        <v>952</v>
      </c>
      <c r="B210" s="103"/>
      <c r="C210" s="103"/>
      <c r="D210" s="102">
        <v>1.0</v>
      </c>
      <c r="E210" s="102">
        <v>1.0</v>
      </c>
      <c r="F210" s="102">
        <v>1.0</v>
      </c>
      <c r="G210" s="102">
        <v>1.0</v>
      </c>
      <c r="H210" s="103"/>
      <c r="I210" s="103"/>
      <c r="J210" s="103"/>
      <c r="K210" s="103"/>
      <c r="L210" s="103"/>
    </row>
    <row r="211">
      <c r="A211" s="103" t="s">
        <v>1284</v>
      </c>
      <c r="B211" s="103" t="s">
        <v>1461</v>
      </c>
      <c r="C211" s="103" t="s">
        <v>1469</v>
      </c>
      <c r="D211" s="103" t="s">
        <v>1470</v>
      </c>
      <c r="E211" s="103" t="s">
        <v>1471</v>
      </c>
      <c r="F211" s="103" t="s">
        <v>1472</v>
      </c>
      <c r="G211" s="103" t="s">
        <v>1473</v>
      </c>
      <c r="H211" s="103" t="s">
        <v>1474</v>
      </c>
      <c r="I211" s="103" t="s">
        <v>1423</v>
      </c>
      <c r="J211" s="103" t="s">
        <v>1475</v>
      </c>
      <c r="K211" s="103" t="s">
        <v>1476</v>
      </c>
      <c r="L211" s="103" t="s">
        <v>1079</v>
      </c>
    </row>
    <row r="212">
      <c r="A212" s="103" t="s">
        <v>1281</v>
      </c>
      <c r="B212" s="103"/>
      <c r="C212" s="103"/>
      <c r="D212" s="102">
        <v>1.0</v>
      </c>
      <c r="E212" s="102">
        <v>1.0</v>
      </c>
      <c r="F212" s="102">
        <v>1.0</v>
      </c>
      <c r="G212" s="102">
        <v>1.0</v>
      </c>
      <c r="H212" s="103"/>
      <c r="I212" s="103"/>
      <c r="J212" s="103"/>
      <c r="K212" s="103"/>
      <c r="L212" s="103"/>
    </row>
    <row r="213">
      <c r="A213" s="103" t="s">
        <v>1282</v>
      </c>
      <c r="B213" s="103"/>
      <c r="C213" s="103"/>
      <c r="D213" s="102">
        <v>1.0</v>
      </c>
      <c r="E213" s="102">
        <v>1.0</v>
      </c>
      <c r="F213" s="102">
        <v>1.0</v>
      </c>
      <c r="G213" s="102">
        <v>1.0</v>
      </c>
      <c r="H213" s="103"/>
      <c r="I213" s="103"/>
      <c r="J213" s="103"/>
      <c r="K213" s="103"/>
      <c r="L213" s="103"/>
    </row>
    <row r="214">
      <c r="A214" s="103" t="s">
        <v>948</v>
      </c>
      <c r="B214" s="103"/>
      <c r="C214" s="103"/>
      <c r="D214" s="102">
        <v>1.0</v>
      </c>
      <c r="E214" s="102">
        <v>1.0</v>
      </c>
      <c r="F214" s="102">
        <v>1.0</v>
      </c>
      <c r="G214" s="102">
        <v>1.0</v>
      </c>
      <c r="H214" s="103"/>
      <c r="I214" s="103"/>
      <c r="J214" s="103"/>
      <c r="K214" s="103"/>
      <c r="L214" s="103"/>
    </row>
    <row r="215">
      <c r="A215" s="103" t="s">
        <v>1283</v>
      </c>
      <c r="B215" s="103"/>
      <c r="C215" s="103"/>
      <c r="D215" s="102">
        <v>1.0</v>
      </c>
      <c r="E215" s="102">
        <v>1.0</v>
      </c>
      <c r="F215" s="102">
        <v>1.0</v>
      </c>
      <c r="G215" s="102">
        <v>1.0</v>
      </c>
      <c r="H215" s="103"/>
      <c r="I215" s="103"/>
      <c r="J215" s="103"/>
      <c r="K215" s="103"/>
      <c r="L215" s="103"/>
    </row>
    <row r="216">
      <c r="A216" s="103" t="s">
        <v>950</v>
      </c>
      <c r="B216" s="103"/>
      <c r="C216" s="103"/>
      <c r="D216" s="102">
        <v>1.0</v>
      </c>
      <c r="E216" s="102">
        <v>1.0</v>
      </c>
      <c r="F216" s="102">
        <v>1.0</v>
      </c>
      <c r="G216" s="102">
        <v>1.0</v>
      </c>
      <c r="H216" s="103"/>
      <c r="I216" s="103"/>
      <c r="J216" s="103"/>
      <c r="K216" s="103"/>
      <c r="L216" s="103"/>
    </row>
    <row r="217">
      <c r="A217" s="103" t="s">
        <v>951</v>
      </c>
      <c r="B217" s="103"/>
      <c r="C217" s="103"/>
      <c r="D217" s="102">
        <v>1.0</v>
      </c>
      <c r="E217" s="102">
        <v>1.0</v>
      </c>
      <c r="F217" s="102">
        <v>1.0</v>
      </c>
      <c r="G217" s="102">
        <v>1.0</v>
      </c>
      <c r="H217" s="103"/>
      <c r="I217" s="103"/>
      <c r="J217" s="103"/>
      <c r="K217" s="103"/>
      <c r="L217" s="103"/>
    </row>
    <row r="218">
      <c r="A218" s="103" t="s">
        <v>952</v>
      </c>
      <c r="B218" s="103"/>
      <c r="C218" s="103"/>
      <c r="D218" s="102">
        <v>1.0</v>
      </c>
      <c r="E218" s="102">
        <v>1.0</v>
      </c>
      <c r="F218" s="102">
        <v>1.0</v>
      </c>
      <c r="G218" s="102">
        <v>1.0</v>
      </c>
      <c r="H218" s="103"/>
      <c r="I218" s="103"/>
      <c r="J218" s="103"/>
      <c r="K218" s="103"/>
      <c r="L218" s="103"/>
    </row>
    <row r="219">
      <c r="A219" s="103" t="s">
        <v>1291</v>
      </c>
      <c r="B219" s="103" t="s">
        <v>1461</v>
      </c>
      <c r="C219" s="103" t="s">
        <v>1477</v>
      </c>
      <c r="D219" s="103" t="s">
        <v>1477</v>
      </c>
      <c r="E219" s="103" t="s">
        <v>1478</v>
      </c>
      <c r="F219" s="103" t="s">
        <v>1479</v>
      </c>
      <c r="G219" s="103" t="s">
        <v>1480</v>
      </c>
      <c r="H219" s="103" t="s">
        <v>1297</v>
      </c>
      <c r="I219" s="103" t="s">
        <v>1297</v>
      </c>
      <c r="J219" s="103" t="s">
        <v>1481</v>
      </c>
      <c r="K219" s="103" t="s">
        <v>1476</v>
      </c>
      <c r="L219" s="103" t="s">
        <v>1079</v>
      </c>
    </row>
    <row r="220">
      <c r="A220" s="103" t="s">
        <v>1281</v>
      </c>
      <c r="B220" s="103"/>
      <c r="C220" s="103"/>
      <c r="D220" s="102">
        <v>1.0</v>
      </c>
      <c r="E220" s="102">
        <v>1.0</v>
      </c>
      <c r="F220" s="102">
        <v>1.0</v>
      </c>
      <c r="G220" s="102">
        <v>1.0</v>
      </c>
      <c r="H220" s="103"/>
      <c r="I220" s="103"/>
      <c r="J220" s="103"/>
      <c r="K220" s="103"/>
      <c r="L220" s="103"/>
    </row>
    <row r="221">
      <c r="A221" s="103" t="s">
        <v>1282</v>
      </c>
      <c r="B221" s="103"/>
      <c r="C221" s="103"/>
      <c r="D221" s="102">
        <v>1.0</v>
      </c>
      <c r="E221" s="102">
        <v>1.0</v>
      </c>
      <c r="F221" s="102">
        <v>1.0</v>
      </c>
      <c r="G221" s="102">
        <v>1.0</v>
      </c>
      <c r="H221" s="103"/>
      <c r="I221" s="103"/>
      <c r="J221" s="103"/>
      <c r="K221" s="103"/>
      <c r="L221" s="103"/>
    </row>
    <row r="222">
      <c r="A222" s="103" t="s">
        <v>948</v>
      </c>
      <c r="B222" s="103"/>
      <c r="C222" s="103"/>
      <c r="D222" s="102">
        <v>1.0</v>
      </c>
      <c r="E222" s="102">
        <v>1.0</v>
      </c>
      <c r="F222" s="102">
        <v>1.0</v>
      </c>
      <c r="G222" s="102">
        <v>1.0</v>
      </c>
      <c r="H222" s="103"/>
      <c r="I222" s="103"/>
      <c r="J222" s="103"/>
      <c r="K222" s="103"/>
      <c r="L222" s="103"/>
    </row>
    <row r="223">
      <c r="A223" s="103" t="s">
        <v>1283</v>
      </c>
      <c r="B223" s="103"/>
      <c r="C223" s="103"/>
      <c r="D223" s="102">
        <v>1.0</v>
      </c>
      <c r="E223" s="102">
        <v>1.0</v>
      </c>
      <c r="F223" s="102">
        <v>1.0</v>
      </c>
      <c r="G223" s="102">
        <v>1.0</v>
      </c>
      <c r="H223" s="103"/>
      <c r="I223" s="103"/>
      <c r="J223" s="103"/>
      <c r="K223" s="103"/>
      <c r="L223" s="103"/>
    </row>
    <row r="224">
      <c r="A224" s="103" t="s">
        <v>950</v>
      </c>
      <c r="B224" s="103"/>
      <c r="C224" s="103"/>
      <c r="D224" s="102">
        <v>1.0</v>
      </c>
      <c r="E224" s="102">
        <v>1.0</v>
      </c>
      <c r="F224" s="102">
        <v>1.0</v>
      </c>
      <c r="G224" s="102">
        <v>1.0</v>
      </c>
      <c r="H224" s="103"/>
      <c r="I224" s="103"/>
      <c r="J224" s="103"/>
      <c r="K224" s="103"/>
      <c r="L224" s="103"/>
    </row>
    <row r="225">
      <c r="A225" s="103" t="s">
        <v>951</v>
      </c>
      <c r="B225" s="103"/>
      <c r="C225" s="103"/>
      <c r="D225" s="102">
        <v>1.0</v>
      </c>
      <c r="E225" s="102">
        <v>1.0</v>
      </c>
      <c r="F225" s="102">
        <v>1.0</v>
      </c>
      <c r="G225" s="102">
        <v>1.0</v>
      </c>
      <c r="H225" s="103"/>
      <c r="I225" s="103"/>
      <c r="J225" s="103"/>
      <c r="K225" s="103"/>
      <c r="L225" s="103"/>
    </row>
    <row r="226">
      <c r="A226" s="103" t="s">
        <v>952</v>
      </c>
      <c r="B226" s="103"/>
      <c r="C226" s="103"/>
      <c r="D226" s="102">
        <v>1.0</v>
      </c>
      <c r="E226" s="102">
        <v>1.0</v>
      </c>
      <c r="F226" s="102">
        <v>1.0</v>
      </c>
      <c r="G226" s="102">
        <v>1.0</v>
      </c>
      <c r="H226" s="103"/>
      <c r="I226" s="103"/>
      <c r="J226" s="103"/>
      <c r="K226" s="103"/>
      <c r="L226" s="103"/>
    </row>
    <row r="227">
      <c r="A227" s="97" t="s">
        <v>1272</v>
      </c>
      <c r="B227" s="97"/>
      <c r="C227" s="97"/>
      <c r="D227" s="5" t="s">
        <v>1951</v>
      </c>
      <c r="E227" s="5" t="s">
        <v>1952</v>
      </c>
      <c r="F227" s="5" t="s">
        <v>1953</v>
      </c>
      <c r="G227" s="5" t="s">
        <v>1032</v>
      </c>
      <c r="H227" s="97"/>
      <c r="I227" s="97"/>
      <c r="J227" s="97"/>
      <c r="K227" s="97"/>
      <c r="L227" s="97"/>
    </row>
    <row r="228">
      <c r="A228" s="97" t="s">
        <v>1273</v>
      </c>
      <c r="B228" s="97" t="s">
        <v>1484</v>
      </c>
      <c r="C228" s="97" t="s">
        <v>1485</v>
      </c>
      <c r="D228" s="97" t="s">
        <v>1486</v>
      </c>
      <c r="E228" s="97" t="s">
        <v>1487</v>
      </c>
      <c r="F228" s="97" t="s">
        <v>1332</v>
      </c>
      <c r="G228" s="97" t="s">
        <v>1032</v>
      </c>
      <c r="H228" s="97" t="s">
        <v>1488</v>
      </c>
      <c r="I228" s="97" t="s">
        <v>1489</v>
      </c>
      <c r="J228" s="97" t="s">
        <v>1490</v>
      </c>
      <c r="K228" s="97" t="s">
        <v>1332</v>
      </c>
      <c r="L228" s="97" t="s">
        <v>1032</v>
      </c>
    </row>
    <row r="229">
      <c r="A229" s="97" t="s">
        <v>1281</v>
      </c>
      <c r="B229" s="97"/>
      <c r="C229" s="97"/>
      <c r="D229" s="107">
        <v>1.0</v>
      </c>
      <c r="E229" s="107">
        <v>1.0</v>
      </c>
      <c r="F229" s="107">
        <v>1.0</v>
      </c>
      <c r="G229" s="107">
        <v>1.0</v>
      </c>
      <c r="H229" s="97"/>
      <c r="I229" s="97"/>
      <c r="J229" s="97"/>
      <c r="K229" s="97"/>
      <c r="L229" s="97"/>
    </row>
    <row r="230">
      <c r="A230" s="97" t="s">
        <v>1282</v>
      </c>
      <c r="B230" s="97"/>
      <c r="C230" s="97"/>
      <c r="D230" s="107">
        <v>1.0</v>
      </c>
      <c r="E230" s="107">
        <v>1.0</v>
      </c>
      <c r="F230" s="107">
        <v>1.0</v>
      </c>
      <c r="G230" s="107">
        <v>1.0</v>
      </c>
      <c r="H230" s="97"/>
      <c r="I230" s="97"/>
      <c r="J230" s="97"/>
      <c r="K230" s="97"/>
      <c r="L230" s="97"/>
    </row>
    <row r="231">
      <c r="A231" s="97" t="s">
        <v>948</v>
      </c>
      <c r="B231" s="97"/>
      <c r="C231" s="97"/>
      <c r="D231" s="107">
        <v>1.0</v>
      </c>
      <c r="E231" s="107">
        <v>0.0</v>
      </c>
      <c r="F231" s="107">
        <v>0.0</v>
      </c>
      <c r="G231" s="107">
        <v>1.0</v>
      </c>
      <c r="H231" s="97"/>
      <c r="I231" s="97"/>
      <c r="J231" s="97"/>
      <c r="K231" s="97"/>
      <c r="L231" s="97"/>
    </row>
    <row r="232">
      <c r="A232" s="97" t="s">
        <v>1283</v>
      </c>
      <c r="B232" s="97"/>
      <c r="C232" s="97"/>
      <c r="D232" s="107">
        <v>1.0</v>
      </c>
      <c r="E232" s="107">
        <v>1.0</v>
      </c>
      <c r="F232" s="107">
        <v>1.0</v>
      </c>
      <c r="G232" s="107">
        <v>1.0</v>
      </c>
      <c r="H232" s="97"/>
      <c r="I232" s="97"/>
      <c r="J232" s="97"/>
      <c r="K232" s="97"/>
      <c r="L232" s="97"/>
    </row>
    <row r="233">
      <c r="A233" s="97" t="s">
        <v>950</v>
      </c>
      <c r="B233" s="97"/>
      <c r="C233" s="97"/>
      <c r="D233" s="107">
        <v>1.0</v>
      </c>
      <c r="E233" s="107">
        <v>1.0</v>
      </c>
      <c r="F233" s="107">
        <v>1.0</v>
      </c>
      <c r="G233" s="107">
        <v>1.0</v>
      </c>
      <c r="H233" s="97"/>
      <c r="I233" s="97"/>
      <c r="J233" s="97"/>
      <c r="K233" s="97"/>
      <c r="L233" s="97"/>
    </row>
    <row r="234">
      <c r="A234" s="97" t="s">
        <v>951</v>
      </c>
      <c r="B234" s="97"/>
      <c r="C234" s="97"/>
      <c r="D234" s="107">
        <v>1.0</v>
      </c>
      <c r="E234" s="107">
        <v>1.0</v>
      </c>
      <c r="F234" s="107">
        <v>1.0</v>
      </c>
      <c r="G234" s="107">
        <v>1.0</v>
      </c>
      <c r="H234" s="97"/>
      <c r="I234" s="97"/>
      <c r="J234" s="97"/>
      <c r="K234" s="97"/>
      <c r="L234" s="97"/>
    </row>
    <row r="235">
      <c r="A235" s="97" t="s">
        <v>952</v>
      </c>
      <c r="B235" s="97"/>
      <c r="C235" s="97"/>
      <c r="D235" s="107">
        <v>1.0</v>
      </c>
      <c r="E235" s="107">
        <v>1.0</v>
      </c>
      <c r="F235" s="107">
        <v>1.0</v>
      </c>
      <c r="G235" s="107">
        <v>1.0</v>
      </c>
      <c r="H235" s="97"/>
      <c r="I235" s="97"/>
      <c r="J235" s="97"/>
      <c r="K235" s="97"/>
      <c r="L235" s="97"/>
    </row>
    <row r="236">
      <c r="A236" s="97" t="s">
        <v>1284</v>
      </c>
      <c r="B236" s="97" t="s">
        <v>1484</v>
      </c>
      <c r="C236" s="97" t="s">
        <v>1491</v>
      </c>
      <c r="D236" s="97" t="s">
        <v>1492</v>
      </c>
      <c r="E236" s="97" t="s">
        <v>1493</v>
      </c>
      <c r="F236" s="97" t="s">
        <v>1494</v>
      </c>
      <c r="G236" s="97" t="s">
        <v>1495</v>
      </c>
      <c r="H236" s="97" t="s">
        <v>1488</v>
      </c>
      <c r="I236" s="97" t="s">
        <v>1489</v>
      </c>
      <c r="J236" s="97" t="s">
        <v>1496</v>
      </c>
      <c r="K236" s="97" t="s">
        <v>1497</v>
      </c>
      <c r="L236" s="97" t="s">
        <v>1498</v>
      </c>
    </row>
    <row r="237">
      <c r="A237" s="97" t="s">
        <v>1281</v>
      </c>
      <c r="B237" s="97"/>
      <c r="C237" s="97"/>
      <c r="D237" s="107">
        <v>1.0</v>
      </c>
      <c r="E237" s="107">
        <v>1.0</v>
      </c>
      <c r="F237" s="107">
        <v>0.0</v>
      </c>
      <c r="G237" s="107">
        <v>1.0</v>
      </c>
      <c r="H237" s="97"/>
      <c r="I237" s="97"/>
      <c r="J237" s="97"/>
      <c r="K237" s="97"/>
      <c r="L237" s="97"/>
    </row>
    <row r="238">
      <c r="A238" s="97" t="s">
        <v>1282</v>
      </c>
      <c r="B238" s="97"/>
      <c r="C238" s="97"/>
      <c r="D238" s="107">
        <v>1.0</v>
      </c>
      <c r="E238" s="107">
        <v>1.0</v>
      </c>
      <c r="F238" s="107">
        <v>0.0</v>
      </c>
      <c r="G238" s="107">
        <v>1.0</v>
      </c>
      <c r="H238" s="97"/>
      <c r="I238" s="97"/>
      <c r="J238" s="97"/>
      <c r="K238" s="97"/>
      <c r="L238" s="97"/>
    </row>
    <row r="239">
      <c r="A239" s="97" t="s">
        <v>948</v>
      </c>
      <c r="B239" s="97"/>
      <c r="C239" s="97"/>
      <c r="D239" s="107">
        <v>1.0</v>
      </c>
      <c r="E239" s="107">
        <v>1.0</v>
      </c>
      <c r="F239" s="107">
        <v>0.0</v>
      </c>
      <c r="G239" s="107">
        <v>1.0</v>
      </c>
      <c r="H239" s="97"/>
      <c r="I239" s="97"/>
      <c r="J239" s="97"/>
      <c r="K239" s="97"/>
      <c r="L239" s="97"/>
    </row>
    <row r="240">
      <c r="A240" s="97" t="s">
        <v>1283</v>
      </c>
      <c r="B240" s="97"/>
      <c r="C240" s="97"/>
      <c r="D240" s="107">
        <v>1.0</v>
      </c>
      <c r="E240" s="107">
        <v>1.0</v>
      </c>
      <c r="F240" s="107">
        <v>1.0</v>
      </c>
      <c r="G240" s="107">
        <v>1.0</v>
      </c>
      <c r="H240" s="97"/>
      <c r="I240" s="97"/>
      <c r="J240" s="97"/>
      <c r="K240" s="97"/>
      <c r="L240" s="97"/>
    </row>
    <row r="241">
      <c r="A241" s="97" t="s">
        <v>950</v>
      </c>
      <c r="B241" s="97"/>
      <c r="C241" s="97"/>
      <c r="D241" s="107">
        <v>1.0</v>
      </c>
      <c r="E241" s="107">
        <v>1.0</v>
      </c>
      <c r="F241" s="107">
        <v>1.0</v>
      </c>
      <c r="G241" s="107">
        <v>1.0</v>
      </c>
      <c r="H241" s="97"/>
      <c r="I241" s="97"/>
      <c r="J241" s="97"/>
      <c r="K241" s="97"/>
      <c r="L241" s="97"/>
    </row>
    <row r="242">
      <c r="A242" s="97" t="s">
        <v>951</v>
      </c>
      <c r="B242" s="97"/>
      <c r="C242" s="97"/>
      <c r="D242" s="107">
        <v>1.0</v>
      </c>
      <c r="E242" s="107">
        <v>1.0</v>
      </c>
      <c r="F242" s="107">
        <v>0.0</v>
      </c>
      <c r="G242" s="107">
        <v>1.0</v>
      </c>
      <c r="H242" s="97"/>
      <c r="I242" s="97"/>
      <c r="J242" s="97"/>
      <c r="K242" s="97"/>
      <c r="L242" s="97"/>
    </row>
    <row r="243">
      <c r="A243" s="97" t="s">
        <v>952</v>
      </c>
      <c r="B243" s="97"/>
      <c r="C243" s="97"/>
      <c r="D243" s="107">
        <v>1.0</v>
      </c>
      <c r="E243" s="107">
        <v>1.0</v>
      </c>
      <c r="F243" s="107">
        <v>1.0</v>
      </c>
      <c r="G243" s="107">
        <v>1.0</v>
      </c>
      <c r="H243" s="97"/>
      <c r="I243" s="97"/>
      <c r="J243" s="97"/>
      <c r="K243" s="97"/>
      <c r="L243" s="97"/>
    </row>
    <row r="244">
      <c r="A244" s="97" t="s">
        <v>1291</v>
      </c>
      <c r="B244" s="97" t="s">
        <v>1484</v>
      </c>
      <c r="C244" s="97" t="s">
        <v>1499</v>
      </c>
      <c r="D244" s="97" t="s">
        <v>1500</v>
      </c>
      <c r="E244" s="97" t="s">
        <v>1501</v>
      </c>
      <c r="F244" s="97" t="s">
        <v>1502</v>
      </c>
      <c r="G244" s="97" t="s">
        <v>1503</v>
      </c>
      <c r="H244" s="97" t="s">
        <v>1489</v>
      </c>
      <c r="I244" s="97" t="s">
        <v>1504</v>
      </c>
      <c r="J244" s="97" t="s">
        <v>1505</v>
      </c>
      <c r="K244" s="97" t="s">
        <v>1332</v>
      </c>
      <c r="L244" s="97" t="s">
        <v>1032</v>
      </c>
    </row>
    <row r="245">
      <c r="A245" s="97" t="s">
        <v>1281</v>
      </c>
      <c r="B245" s="97"/>
      <c r="C245" s="97"/>
      <c r="D245" s="107">
        <v>1.0</v>
      </c>
      <c r="E245" s="107">
        <v>1.0</v>
      </c>
      <c r="F245" s="107">
        <v>1.0</v>
      </c>
      <c r="G245" s="107">
        <v>1.0</v>
      </c>
      <c r="H245" s="97"/>
      <c r="I245" s="97"/>
      <c r="J245" s="97"/>
      <c r="K245" s="97"/>
      <c r="L245" s="97"/>
    </row>
    <row r="246">
      <c r="A246" s="97" t="s">
        <v>1282</v>
      </c>
      <c r="B246" s="97"/>
      <c r="C246" s="97"/>
      <c r="D246" s="107">
        <v>1.0</v>
      </c>
      <c r="E246" s="107">
        <v>1.0</v>
      </c>
      <c r="F246" s="107">
        <v>1.0</v>
      </c>
      <c r="G246" s="107">
        <v>1.0</v>
      </c>
      <c r="H246" s="97"/>
      <c r="I246" s="97"/>
      <c r="J246" s="97"/>
      <c r="K246" s="97"/>
      <c r="L246" s="97"/>
    </row>
    <row r="247">
      <c r="A247" s="97" t="s">
        <v>948</v>
      </c>
      <c r="B247" s="97"/>
      <c r="C247" s="97"/>
      <c r="D247" s="107">
        <v>1.0</v>
      </c>
      <c r="E247" s="107">
        <v>1.0</v>
      </c>
      <c r="F247" s="107">
        <v>0.0</v>
      </c>
      <c r="G247" s="107">
        <v>1.0</v>
      </c>
      <c r="H247" s="97"/>
      <c r="I247" s="97"/>
      <c r="J247" s="97"/>
      <c r="K247" s="97"/>
      <c r="L247" s="97"/>
    </row>
    <row r="248">
      <c r="A248" s="97" t="s">
        <v>1283</v>
      </c>
      <c r="B248" s="97"/>
      <c r="C248" s="97"/>
      <c r="D248" s="107">
        <v>1.0</v>
      </c>
      <c r="E248" s="107">
        <v>1.0</v>
      </c>
      <c r="F248" s="107">
        <v>1.0</v>
      </c>
      <c r="G248" s="107">
        <v>1.0</v>
      </c>
      <c r="H248" s="97"/>
      <c r="I248" s="97"/>
      <c r="J248" s="97"/>
      <c r="K248" s="97"/>
      <c r="L248" s="97"/>
    </row>
    <row r="249">
      <c r="A249" s="97" t="s">
        <v>950</v>
      </c>
      <c r="B249" s="97"/>
      <c r="C249" s="97"/>
      <c r="D249" s="107">
        <v>1.0</v>
      </c>
      <c r="E249" s="107">
        <v>1.0</v>
      </c>
      <c r="F249" s="107">
        <v>1.0</v>
      </c>
      <c r="G249" s="107">
        <v>1.0</v>
      </c>
      <c r="H249" s="97"/>
      <c r="I249" s="97"/>
      <c r="J249" s="97"/>
      <c r="K249" s="97"/>
      <c r="L249" s="97"/>
    </row>
    <row r="250">
      <c r="A250" s="97" t="s">
        <v>951</v>
      </c>
      <c r="B250" s="97"/>
      <c r="C250" s="97"/>
      <c r="D250" s="107">
        <v>1.0</v>
      </c>
      <c r="E250" s="107">
        <v>1.0</v>
      </c>
      <c r="F250" s="107">
        <v>1.0</v>
      </c>
      <c r="G250" s="107">
        <v>1.0</v>
      </c>
      <c r="H250" s="97"/>
      <c r="I250" s="97"/>
      <c r="J250" s="97"/>
      <c r="K250" s="97"/>
      <c r="L250" s="97"/>
    </row>
    <row r="251">
      <c r="A251" s="97" t="s">
        <v>952</v>
      </c>
      <c r="B251" s="97"/>
      <c r="C251" s="97"/>
      <c r="D251" s="107">
        <v>1.0</v>
      </c>
      <c r="E251" s="107">
        <v>1.0</v>
      </c>
      <c r="F251" s="107">
        <v>1.0</v>
      </c>
      <c r="G251" s="107">
        <v>1.0</v>
      </c>
      <c r="H251" s="97"/>
      <c r="I251" s="97"/>
      <c r="J251" s="97"/>
      <c r="K251" s="97"/>
      <c r="L251" s="97"/>
    </row>
    <row r="252">
      <c r="A252" s="103" t="s">
        <v>1272</v>
      </c>
      <c r="B252" s="103"/>
      <c r="C252" s="103"/>
      <c r="D252" s="59" t="s">
        <v>1959</v>
      </c>
      <c r="E252" s="59" t="s">
        <v>1960</v>
      </c>
      <c r="F252" s="59" t="s">
        <v>1019</v>
      </c>
      <c r="G252" s="59" t="s">
        <v>1961</v>
      </c>
      <c r="H252" s="103"/>
      <c r="I252" s="103"/>
      <c r="J252" s="103"/>
      <c r="K252" s="103"/>
      <c r="L252" s="103"/>
    </row>
    <row r="253">
      <c r="A253" s="103" t="s">
        <v>1273</v>
      </c>
      <c r="B253" s="103" t="s">
        <v>1506</v>
      </c>
      <c r="C253" s="103" t="s">
        <v>1507</v>
      </c>
      <c r="D253" s="103" t="s">
        <v>1508</v>
      </c>
      <c r="E253" s="103" t="s">
        <v>1509</v>
      </c>
      <c r="F253" s="103" t="s">
        <v>1332</v>
      </c>
      <c r="G253" s="103" t="s">
        <v>1510</v>
      </c>
      <c r="H253" s="103" t="s">
        <v>1297</v>
      </c>
      <c r="I253" s="103" t="s">
        <v>1511</v>
      </c>
      <c r="J253" s="103" t="s">
        <v>1512</v>
      </c>
      <c r="K253" s="103" t="s">
        <v>1332</v>
      </c>
      <c r="L253" s="103" t="s">
        <v>1513</v>
      </c>
    </row>
    <row r="254">
      <c r="A254" s="103" t="s">
        <v>1281</v>
      </c>
      <c r="B254" s="103"/>
      <c r="C254" s="103"/>
      <c r="D254" s="102">
        <v>1.0</v>
      </c>
      <c r="E254" s="102">
        <v>1.0</v>
      </c>
      <c r="F254" s="102">
        <v>1.0</v>
      </c>
      <c r="G254" s="102">
        <v>1.0</v>
      </c>
      <c r="H254" s="103"/>
      <c r="I254" s="103"/>
      <c r="J254" s="103"/>
      <c r="K254" s="103"/>
      <c r="L254" s="103"/>
    </row>
    <row r="255">
      <c r="A255" s="103" t="s">
        <v>1282</v>
      </c>
      <c r="B255" s="103"/>
      <c r="C255" s="103"/>
      <c r="D255" s="102">
        <v>1.0</v>
      </c>
      <c r="E255" s="102">
        <v>1.0</v>
      </c>
      <c r="F255" s="102">
        <v>1.0</v>
      </c>
      <c r="G255" s="102">
        <v>1.0</v>
      </c>
      <c r="H255" s="103"/>
      <c r="I255" s="103"/>
      <c r="J255" s="103"/>
      <c r="K255" s="103"/>
      <c r="L255" s="103"/>
    </row>
    <row r="256">
      <c r="A256" s="103" t="s">
        <v>948</v>
      </c>
      <c r="B256" s="103"/>
      <c r="C256" s="103"/>
      <c r="D256" s="102">
        <v>1.0</v>
      </c>
      <c r="E256" s="102">
        <v>1.0</v>
      </c>
      <c r="F256" s="102">
        <v>1.0</v>
      </c>
      <c r="G256" s="102">
        <v>1.0</v>
      </c>
      <c r="H256" s="103"/>
      <c r="I256" s="103"/>
      <c r="J256" s="103"/>
      <c r="K256" s="103"/>
      <c r="L256" s="103"/>
    </row>
    <row r="257">
      <c r="A257" s="103" t="s">
        <v>1283</v>
      </c>
      <c r="B257" s="103"/>
      <c r="C257" s="103"/>
      <c r="D257" s="102">
        <v>1.0</v>
      </c>
      <c r="E257" s="102">
        <v>1.0</v>
      </c>
      <c r="F257" s="102">
        <v>1.0</v>
      </c>
      <c r="G257" s="102">
        <v>1.0</v>
      </c>
      <c r="H257" s="103"/>
      <c r="I257" s="103"/>
      <c r="J257" s="103"/>
      <c r="K257" s="103"/>
      <c r="L257" s="103"/>
    </row>
    <row r="258">
      <c r="A258" s="103" t="s">
        <v>950</v>
      </c>
      <c r="B258" s="103"/>
      <c r="C258" s="103"/>
      <c r="D258" s="102">
        <v>1.0</v>
      </c>
      <c r="E258" s="102">
        <v>1.0</v>
      </c>
      <c r="F258" s="102">
        <v>1.0</v>
      </c>
      <c r="G258" s="102">
        <v>1.0</v>
      </c>
      <c r="H258" s="103"/>
      <c r="I258" s="103"/>
      <c r="J258" s="103"/>
      <c r="K258" s="103"/>
      <c r="L258" s="103"/>
    </row>
    <row r="259">
      <c r="A259" s="103" t="s">
        <v>951</v>
      </c>
      <c r="B259" s="103"/>
      <c r="C259" s="103"/>
      <c r="D259" s="102">
        <v>1.0</v>
      </c>
      <c r="E259" s="102">
        <v>1.0</v>
      </c>
      <c r="F259" s="102">
        <v>1.0</v>
      </c>
      <c r="G259" s="102">
        <v>1.0</v>
      </c>
      <c r="H259" s="103"/>
      <c r="I259" s="103"/>
      <c r="J259" s="103"/>
      <c r="K259" s="103"/>
      <c r="L259" s="103"/>
    </row>
    <row r="260">
      <c r="A260" s="103" t="s">
        <v>952</v>
      </c>
      <c r="B260" s="103"/>
      <c r="C260" s="103"/>
      <c r="D260" s="102">
        <v>1.0</v>
      </c>
      <c r="E260" s="102">
        <v>1.0</v>
      </c>
      <c r="F260" s="102">
        <v>1.0</v>
      </c>
      <c r="G260" s="102">
        <v>1.0</v>
      </c>
      <c r="H260" s="103"/>
      <c r="I260" s="103"/>
      <c r="J260" s="103"/>
      <c r="K260" s="103"/>
      <c r="L260" s="103"/>
    </row>
    <row r="261">
      <c r="A261" s="103" t="s">
        <v>1284</v>
      </c>
      <c r="B261" s="103" t="s">
        <v>1506</v>
      </c>
      <c r="C261" s="103" t="s">
        <v>1514</v>
      </c>
      <c r="D261" s="103" t="s">
        <v>1515</v>
      </c>
      <c r="E261" s="103" t="s">
        <v>1516</v>
      </c>
      <c r="F261" s="103" t="s">
        <v>1332</v>
      </c>
      <c r="G261" s="103" t="s">
        <v>1517</v>
      </c>
      <c r="H261" s="103" t="s">
        <v>1511</v>
      </c>
      <c r="I261" s="103" t="s">
        <v>1518</v>
      </c>
      <c r="J261" s="103" t="s">
        <v>1519</v>
      </c>
      <c r="K261" s="103" t="s">
        <v>1332</v>
      </c>
      <c r="L261" s="103" t="s">
        <v>1021</v>
      </c>
    </row>
    <row r="262">
      <c r="A262" s="103" t="s">
        <v>1281</v>
      </c>
      <c r="B262" s="103"/>
      <c r="C262" s="103"/>
      <c r="D262" s="102">
        <v>1.0</v>
      </c>
      <c r="E262" s="102">
        <v>1.0</v>
      </c>
      <c r="F262" s="102">
        <v>1.0</v>
      </c>
      <c r="G262" s="102">
        <v>1.0</v>
      </c>
      <c r="H262" s="103"/>
      <c r="I262" s="103"/>
      <c r="J262" s="103"/>
      <c r="K262" s="103"/>
      <c r="L262" s="103"/>
    </row>
    <row r="263">
      <c r="A263" s="103" t="s">
        <v>1282</v>
      </c>
      <c r="B263" s="103"/>
      <c r="C263" s="103"/>
      <c r="D263" s="102">
        <v>1.0</v>
      </c>
      <c r="E263" s="102">
        <v>1.0</v>
      </c>
      <c r="F263" s="102">
        <v>1.0</v>
      </c>
      <c r="G263" s="102">
        <v>1.0</v>
      </c>
      <c r="H263" s="103"/>
      <c r="I263" s="103"/>
      <c r="J263" s="103"/>
      <c r="K263" s="103"/>
      <c r="L263" s="103"/>
    </row>
    <row r="264">
      <c r="A264" s="103" t="s">
        <v>948</v>
      </c>
      <c r="B264" s="103"/>
      <c r="C264" s="103"/>
      <c r="D264" s="102">
        <v>1.0</v>
      </c>
      <c r="E264" s="102">
        <v>1.0</v>
      </c>
      <c r="F264" s="102">
        <v>1.0</v>
      </c>
      <c r="G264" s="102">
        <v>1.0</v>
      </c>
      <c r="H264" s="103"/>
      <c r="I264" s="103"/>
      <c r="J264" s="103"/>
      <c r="K264" s="103"/>
      <c r="L264" s="103"/>
    </row>
    <row r="265">
      <c r="A265" s="103" t="s">
        <v>1283</v>
      </c>
      <c r="B265" s="103"/>
      <c r="C265" s="103"/>
      <c r="D265" s="102">
        <v>1.0</v>
      </c>
      <c r="E265" s="102">
        <v>1.0</v>
      </c>
      <c r="F265" s="102">
        <v>1.0</v>
      </c>
      <c r="G265" s="102">
        <v>1.0</v>
      </c>
      <c r="H265" s="103"/>
      <c r="I265" s="103"/>
      <c r="J265" s="103"/>
      <c r="K265" s="103"/>
      <c r="L265" s="103"/>
    </row>
    <row r="266">
      <c r="A266" s="103" t="s">
        <v>950</v>
      </c>
      <c r="B266" s="103"/>
      <c r="C266" s="103"/>
      <c r="D266" s="102">
        <v>1.0</v>
      </c>
      <c r="E266" s="102">
        <v>1.0</v>
      </c>
      <c r="F266" s="102">
        <v>1.0</v>
      </c>
      <c r="G266" s="102">
        <v>1.0</v>
      </c>
      <c r="H266" s="103"/>
      <c r="I266" s="103"/>
      <c r="J266" s="103"/>
      <c r="K266" s="103"/>
      <c r="L266" s="103"/>
    </row>
    <row r="267">
      <c r="A267" s="103" t="s">
        <v>951</v>
      </c>
      <c r="B267" s="103"/>
      <c r="C267" s="103"/>
      <c r="D267" s="102">
        <v>1.0</v>
      </c>
      <c r="E267" s="102">
        <v>1.0</v>
      </c>
      <c r="F267" s="102">
        <v>1.0</v>
      </c>
      <c r="G267" s="102">
        <v>1.0</v>
      </c>
      <c r="H267" s="103"/>
      <c r="I267" s="103"/>
      <c r="J267" s="103"/>
      <c r="K267" s="103"/>
      <c r="L267" s="103"/>
    </row>
    <row r="268">
      <c r="A268" s="103" t="s">
        <v>952</v>
      </c>
      <c r="B268" s="103"/>
      <c r="C268" s="103"/>
      <c r="D268" s="102">
        <v>1.0</v>
      </c>
      <c r="E268" s="102">
        <v>1.0</v>
      </c>
      <c r="F268" s="102">
        <v>1.0</v>
      </c>
      <c r="G268" s="102">
        <v>1.0</v>
      </c>
      <c r="H268" s="103"/>
      <c r="I268" s="103"/>
      <c r="J268" s="103"/>
      <c r="K268" s="103"/>
      <c r="L268" s="103"/>
    </row>
    <row r="269">
      <c r="A269" s="103" t="s">
        <v>1291</v>
      </c>
      <c r="B269" s="103" t="s">
        <v>1506</v>
      </c>
      <c r="C269" s="103" t="s">
        <v>1520</v>
      </c>
      <c r="D269" s="103" t="s">
        <v>1521</v>
      </c>
      <c r="E269" s="103" t="s">
        <v>1522</v>
      </c>
      <c r="F269" s="103" t="s">
        <v>1523</v>
      </c>
      <c r="G269" s="103" t="s">
        <v>1524</v>
      </c>
      <c r="H269" s="103" t="s">
        <v>1511</v>
      </c>
      <c r="I269" s="103" t="s">
        <v>1525</v>
      </c>
      <c r="J269" s="103" t="s">
        <v>1526</v>
      </c>
      <c r="K269" s="103" t="s">
        <v>1332</v>
      </c>
      <c r="L269" s="103" t="s">
        <v>1527</v>
      </c>
    </row>
    <row r="270">
      <c r="A270" s="103" t="s">
        <v>1281</v>
      </c>
      <c r="B270" s="103"/>
      <c r="C270" s="103"/>
      <c r="D270" s="102">
        <v>1.0</v>
      </c>
      <c r="E270" s="102">
        <v>1.0</v>
      </c>
      <c r="F270" s="102">
        <v>1.0</v>
      </c>
      <c r="G270" s="102">
        <v>1.0</v>
      </c>
      <c r="H270" s="103"/>
      <c r="I270" s="103"/>
      <c r="J270" s="103"/>
      <c r="K270" s="103"/>
      <c r="L270" s="103"/>
    </row>
    <row r="271">
      <c r="A271" s="103" t="s">
        <v>1282</v>
      </c>
      <c r="B271" s="103"/>
      <c r="C271" s="103"/>
      <c r="D271" s="102">
        <v>1.0</v>
      </c>
      <c r="E271" s="102">
        <v>1.0</v>
      </c>
      <c r="F271" s="102">
        <v>1.0</v>
      </c>
      <c r="G271" s="102">
        <v>1.0</v>
      </c>
      <c r="H271" s="103"/>
      <c r="I271" s="103"/>
      <c r="J271" s="103"/>
      <c r="K271" s="103"/>
      <c r="L271" s="103"/>
    </row>
    <row r="272">
      <c r="A272" s="103" t="s">
        <v>948</v>
      </c>
      <c r="B272" s="103"/>
      <c r="C272" s="103"/>
      <c r="D272" s="102">
        <v>1.0</v>
      </c>
      <c r="E272" s="102">
        <v>1.0</v>
      </c>
      <c r="F272" s="102">
        <v>1.0</v>
      </c>
      <c r="G272" s="102">
        <v>1.0</v>
      </c>
      <c r="H272" s="103"/>
      <c r="I272" s="103"/>
      <c r="J272" s="103"/>
      <c r="K272" s="103"/>
      <c r="L272" s="103"/>
    </row>
    <row r="273">
      <c r="A273" s="103" t="s">
        <v>1283</v>
      </c>
      <c r="B273" s="103"/>
      <c r="C273" s="103"/>
      <c r="D273" s="102">
        <v>1.0</v>
      </c>
      <c r="E273" s="102">
        <v>1.0</v>
      </c>
      <c r="F273" s="102">
        <v>1.0</v>
      </c>
      <c r="G273" s="102">
        <v>1.0</v>
      </c>
      <c r="H273" s="103"/>
      <c r="I273" s="103"/>
      <c r="J273" s="103"/>
      <c r="K273" s="103"/>
      <c r="L273" s="103"/>
    </row>
    <row r="274">
      <c r="A274" s="103" t="s">
        <v>950</v>
      </c>
      <c r="B274" s="103"/>
      <c r="C274" s="103"/>
      <c r="D274" s="102">
        <v>1.0</v>
      </c>
      <c r="E274" s="102">
        <v>1.0</v>
      </c>
      <c r="F274" s="102">
        <v>1.0</v>
      </c>
      <c r="G274" s="102">
        <v>1.0</v>
      </c>
      <c r="H274" s="103"/>
      <c r="I274" s="103"/>
      <c r="J274" s="103"/>
      <c r="K274" s="103"/>
      <c r="L274" s="103"/>
    </row>
    <row r="275">
      <c r="A275" s="103" t="s">
        <v>951</v>
      </c>
      <c r="B275" s="103"/>
      <c r="C275" s="103"/>
      <c r="D275" s="102">
        <v>1.0</v>
      </c>
      <c r="E275" s="102">
        <v>1.0</v>
      </c>
      <c r="F275" s="102">
        <v>1.0</v>
      </c>
      <c r="G275" s="102">
        <v>1.0</v>
      </c>
      <c r="H275" s="103"/>
      <c r="I275" s="103"/>
      <c r="J275" s="103"/>
      <c r="K275" s="103"/>
      <c r="L275" s="103"/>
    </row>
    <row r="276">
      <c r="A276" s="103" t="s">
        <v>952</v>
      </c>
      <c r="B276" s="103"/>
      <c r="C276" s="103"/>
      <c r="D276" s="102">
        <v>1.0</v>
      </c>
      <c r="E276" s="102">
        <v>1.0</v>
      </c>
      <c r="F276" s="102">
        <v>1.0</v>
      </c>
      <c r="G276" s="102">
        <v>1.0</v>
      </c>
      <c r="H276" s="103"/>
      <c r="I276" s="103"/>
      <c r="J276" s="103"/>
      <c r="K276" s="103"/>
      <c r="L276" s="103"/>
    </row>
    <row r="277">
      <c r="A277" s="97" t="s">
        <v>1272</v>
      </c>
      <c r="B277" s="97"/>
      <c r="C277" s="97"/>
      <c r="D277" s="5" t="s">
        <v>1965</v>
      </c>
      <c r="E277" s="5" t="s">
        <v>1966</v>
      </c>
      <c r="F277" s="5" t="s">
        <v>1019</v>
      </c>
      <c r="G277" s="5" t="s">
        <v>1967</v>
      </c>
      <c r="H277" s="97"/>
      <c r="I277" s="97"/>
      <c r="J277" s="97"/>
      <c r="K277" s="97"/>
      <c r="L277" s="97"/>
    </row>
    <row r="278">
      <c r="A278" s="97" t="s">
        <v>1273</v>
      </c>
      <c r="B278" s="97" t="s">
        <v>1528</v>
      </c>
      <c r="C278" s="97" t="s">
        <v>1529</v>
      </c>
      <c r="D278" s="97" t="s">
        <v>1530</v>
      </c>
      <c r="E278" s="97" t="s">
        <v>1531</v>
      </c>
      <c r="F278" s="97" t="s">
        <v>1332</v>
      </c>
      <c r="G278" s="97" t="s">
        <v>1532</v>
      </c>
      <c r="H278" s="97" t="s">
        <v>1533</v>
      </c>
      <c r="I278" s="97" t="s">
        <v>1534</v>
      </c>
      <c r="J278" s="97" t="s">
        <v>1535</v>
      </c>
      <c r="K278" s="97" t="s">
        <v>1332</v>
      </c>
      <c r="L278" s="97" t="s">
        <v>1532</v>
      </c>
    </row>
    <row r="279">
      <c r="A279" s="97" t="s">
        <v>1281</v>
      </c>
      <c r="B279" s="97"/>
      <c r="C279" s="97"/>
      <c r="D279" s="107">
        <v>1.0</v>
      </c>
      <c r="E279" s="107">
        <v>1.0</v>
      </c>
      <c r="F279" s="107">
        <v>1.0</v>
      </c>
      <c r="G279" s="107">
        <v>0.0</v>
      </c>
      <c r="H279" s="97"/>
      <c r="I279" s="97"/>
      <c r="J279" s="97"/>
      <c r="K279" s="97"/>
      <c r="L279" s="97"/>
    </row>
    <row r="280">
      <c r="A280" s="97" t="s">
        <v>1282</v>
      </c>
      <c r="B280" s="97"/>
      <c r="C280" s="97"/>
      <c r="D280" s="107">
        <v>1.0</v>
      </c>
      <c r="E280" s="107">
        <v>1.0</v>
      </c>
      <c r="F280" s="107">
        <v>1.0</v>
      </c>
      <c r="G280" s="107">
        <v>0.0</v>
      </c>
      <c r="H280" s="97"/>
      <c r="I280" s="97"/>
      <c r="J280" s="97"/>
      <c r="K280" s="97"/>
      <c r="L280" s="97"/>
    </row>
    <row r="281">
      <c r="A281" s="97" t="s">
        <v>948</v>
      </c>
      <c r="B281" s="97"/>
      <c r="C281" s="97"/>
      <c r="D281" s="107">
        <v>1.0</v>
      </c>
      <c r="E281" s="107">
        <v>1.0</v>
      </c>
      <c r="F281" s="107">
        <v>1.0</v>
      </c>
      <c r="G281" s="107">
        <v>1.0</v>
      </c>
      <c r="H281" s="97"/>
      <c r="I281" s="97"/>
      <c r="J281" s="97"/>
      <c r="K281" s="97"/>
      <c r="L281" s="97"/>
    </row>
    <row r="282">
      <c r="A282" s="97" t="s">
        <v>1283</v>
      </c>
      <c r="B282" s="97"/>
      <c r="C282" s="97"/>
      <c r="D282" s="107">
        <v>1.0</v>
      </c>
      <c r="E282" s="107">
        <v>1.0</v>
      </c>
      <c r="F282" s="107">
        <v>1.0</v>
      </c>
      <c r="G282" s="107">
        <v>1.0</v>
      </c>
      <c r="H282" s="97"/>
      <c r="I282" s="97"/>
      <c r="J282" s="97"/>
      <c r="K282" s="97"/>
      <c r="L282" s="97"/>
    </row>
    <row r="283">
      <c r="A283" s="97" t="s">
        <v>950</v>
      </c>
      <c r="B283" s="97"/>
      <c r="C283" s="97"/>
      <c r="D283" s="107">
        <v>1.0</v>
      </c>
      <c r="E283" s="107">
        <v>1.0</v>
      </c>
      <c r="F283" s="107">
        <v>1.0</v>
      </c>
      <c r="G283" s="107">
        <v>0.0</v>
      </c>
      <c r="H283" s="97"/>
      <c r="I283" s="97"/>
      <c r="J283" s="97"/>
      <c r="K283" s="97"/>
      <c r="L283" s="97"/>
    </row>
    <row r="284">
      <c r="A284" s="97" t="s">
        <v>951</v>
      </c>
      <c r="B284" s="97"/>
      <c r="C284" s="97"/>
      <c r="D284" s="107">
        <v>1.0</v>
      </c>
      <c r="E284" s="107">
        <v>1.0</v>
      </c>
      <c r="F284" s="107">
        <v>1.0</v>
      </c>
      <c r="G284" s="107">
        <v>0.0</v>
      </c>
      <c r="H284" s="97"/>
      <c r="I284" s="97"/>
      <c r="J284" s="97"/>
      <c r="K284" s="97"/>
      <c r="L284" s="97"/>
    </row>
    <row r="285">
      <c r="A285" s="97" t="s">
        <v>952</v>
      </c>
      <c r="B285" s="97"/>
      <c r="C285" s="97"/>
      <c r="D285" s="107">
        <v>1.0</v>
      </c>
      <c r="E285" s="107">
        <v>1.0</v>
      </c>
      <c r="F285" s="107">
        <v>1.0</v>
      </c>
      <c r="G285" s="107">
        <v>1.0</v>
      </c>
      <c r="H285" s="97"/>
      <c r="I285" s="97"/>
      <c r="J285" s="97"/>
      <c r="K285" s="97"/>
      <c r="L285" s="97"/>
    </row>
    <row r="286">
      <c r="A286" s="97" t="s">
        <v>1284</v>
      </c>
      <c r="B286" s="97" t="s">
        <v>1528</v>
      </c>
      <c r="C286" s="97" t="s">
        <v>1536</v>
      </c>
      <c r="D286" s="97" t="s">
        <v>1537</v>
      </c>
      <c r="E286" s="97" t="s">
        <v>1538</v>
      </c>
      <c r="F286" s="97" t="s">
        <v>1332</v>
      </c>
      <c r="G286" s="97" t="s">
        <v>1539</v>
      </c>
      <c r="H286" s="97" t="s">
        <v>1540</v>
      </c>
      <c r="I286" s="97" t="s">
        <v>1534</v>
      </c>
      <c r="J286" s="97" t="s">
        <v>1541</v>
      </c>
      <c r="K286" s="97" t="s">
        <v>1332</v>
      </c>
      <c r="L286" s="97" t="s">
        <v>1542</v>
      </c>
    </row>
    <row r="287">
      <c r="A287" s="97" t="s">
        <v>1281</v>
      </c>
      <c r="B287" s="97"/>
      <c r="C287" s="97"/>
      <c r="D287" s="107">
        <v>1.0</v>
      </c>
      <c r="E287" s="107">
        <v>1.0</v>
      </c>
      <c r="F287" s="107">
        <v>1.0</v>
      </c>
      <c r="G287" s="107">
        <v>0.0</v>
      </c>
      <c r="H287" s="97"/>
      <c r="I287" s="97"/>
      <c r="J287" s="97"/>
      <c r="K287" s="97"/>
      <c r="L287" s="97"/>
    </row>
    <row r="288">
      <c r="A288" s="97" t="s">
        <v>1282</v>
      </c>
      <c r="B288" s="97"/>
      <c r="C288" s="97"/>
      <c r="D288" s="107">
        <v>1.0</v>
      </c>
      <c r="E288" s="107">
        <v>1.0</v>
      </c>
      <c r="F288" s="107">
        <v>1.0</v>
      </c>
      <c r="G288" s="107">
        <v>0.0</v>
      </c>
      <c r="H288" s="97"/>
      <c r="I288" s="97"/>
      <c r="J288" s="97"/>
      <c r="K288" s="97"/>
      <c r="L288" s="97"/>
    </row>
    <row r="289">
      <c r="A289" s="97" t="s">
        <v>948</v>
      </c>
      <c r="B289" s="97"/>
      <c r="C289" s="97"/>
      <c r="D289" s="107">
        <v>1.0</v>
      </c>
      <c r="E289" s="107">
        <v>1.0</v>
      </c>
      <c r="F289" s="107">
        <v>1.0</v>
      </c>
      <c r="G289" s="107">
        <v>1.0</v>
      </c>
      <c r="H289" s="97"/>
      <c r="I289" s="97"/>
      <c r="J289" s="97"/>
      <c r="K289" s="97"/>
      <c r="L289" s="97"/>
    </row>
    <row r="290">
      <c r="A290" s="97" t="s">
        <v>1283</v>
      </c>
      <c r="B290" s="97"/>
      <c r="C290" s="97"/>
      <c r="D290" s="107">
        <v>1.0</v>
      </c>
      <c r="E290" s="107">
        <v>1.0</v>
      </c>
      <c r="F290" s="107">
        <v>1.0</v>
      </c>
      <c r="G290" s="107">
        <v>1.0</v>
      </c>
      <c r="H290" s="97"/>
      <c r="I290" s="97"/>
      <c r="J290" s="97"/>
      <c r="K290" s="97"/>
      <c r="L290" s="97"/>
    </row>
    <row r="291">
      <c r="A291" s="97" t="s">
        <v>950</v>
      </c>
      <c r="B291" s="97"/>
      <c r="C291" s="97"/>
      <c r="D291" s="107">
        <v>1.0</v>
      </c>
      <c r="E291" s="107">
        <v>1.0</v>
      </c>
      <c r="F291" s="107">
        <v>1.0</v>
      </c>
      <c r="G291" s="107">
        <v>0.0</v>
      </c>
      <c r="H291" s="97"/>
      <c r="I291" s="97"/>
      <c r="J291" s="97"/>
      <c r="K291" s="97"/>
      <c r="L291" s="97"/>
    </row>
    <row r="292">
      <c r="A292" s="97" t="s">
        <v>951</v>
      </c>
      <c r="B292" s="97"/>
      <c r="C292" s="97"/>
      <c r="D292" s="107">
        <v>1.0</v>
      </c>
      <c r="E292" s="107">
        <v>1.0</v>
      </c>
      <c r="F292" s="107">
        <v>1.0</v>
      </c>
      <c r="G292" s="107">
        <v>0.0</v>
      </c>
      <c r="H292" s="97"/>
      <c r="I292" s="97"/>
      <c r="J292" s="97"/>
      <c r="K292" s="97"/>
      <c r="L292" s="97"/>
    </row>
    <row r="293">
      <c r="A293" s="97" t="s">
        <v>952</v>
      </c>
      <c r="B293" s="97"/>
      <c r="C293" s="97"/>
      <c r="D293" s="107">
        <v>1.0</v>
      </c>
      <c r="E293" s="107">
        <v>1.0</v>
      </c>
      <c r="F293" s="107">
        <v>1.0</v>
      </c>
      <c r="G293" s="107">
        <v>1.0</v>
      </c>
      <c r="H293" s="97"/>
      <c r="I293" s="97"/>
      <c r="J293" s="97"/>
      <c r="K293" s="97"/>
      <c r="L293" s="97"/>
    </row>
    <row r="294">
      <c r="A294" s="97" t="s">
        <v>1291</v>
      </c>
      <c r="B294" s="97" t="s">
        <v>1528</v>
      </c>
      <c r="C294" s="97" t="s">
        <v>1543</v>
      </c>
      <c r="D294" s="97" t="s">
        <v>1544</v>
      </c>
      <c r="E294" s="97" t="s">
        <v>1545</v>
      </c>
      <c r="F294" s="97" t="s">
        <v>1546</v>
      </c>
      <c r="G294" s="97" t="s">
        <v>1547</v>
      </c>
      <c r="H294" s="97" t="s">
        <v>1548</v>
      </c>
      <c r="I294" s="97" t="s">
        <v>1534</v>
      </c>
      <c r="J294" s="97" t="s">
        <v>1535</v>
      </c>
      <c r="K294" s="97" t="s">
        <v>1019</v>
      </c>
      <c r="L294" s="97" t="s">
        <v>1117</v>
      </c>
    </row>
    <row r="295">
      <c r="A295" s="97" t="s">
        <v>1281</v>
      </c>
      <c r="B295" s="97"/>
      <c r="C295" s="97"/>
      <c r="D295" s="107">
        <v>1.0</v>
      </c>
      <c r="E295" s="107">
        <v>1.0</v>
      </c>
      <c r="F295" s="107">
        <v>1.0</v>
      </c>
      <c r="G295" s="107">
        <v>0.0</v>
      </c>
      <c r="H295" s="97"/>
      <c r="I295" s="97"/>
      <c r="J295" s="97"/>
      <c r="K295" s="97"/>
      <c r="L295" s="97"/>
    </row>
    <row r="296">
      <c r="A296" s="97" t="s">
        <v>1282</v>
      </c>
      <c r="B296" s="97"/>
      <c r="C296" s="97"/>
      <c r="D296" s="107">
        <v>1.0</v>
      </c>
      <c r="E296" s="107">
        <v>1.0</v>
      </c>
      <c r="F296" s="107">
        <v>1.0</v>
      </c>
      <c r="G296" s="107">
        <v>0.0</v>
      </c>
      <c r="H296" s="97"/>
      <c r="I296" s="97"/>
      <c r="J296" s="97"/>
      <c r="K296" s="97"/>
      <c r="L296" s="97"/>
    </row>
    <row r="297">
      <c r="A297" s="97" t="s">
        <v>948</v>
      </c>
      <c r="B297" s="97"/>
      <c r="C297" s="97"/>
      <c r="D297" s="107">
        <v>1.0</v>
      </c>
      <c r="E297" s="107">
        <v>1.0</v>
      </c>
      <c r="F297" s="107">
        <v>1.0</v>
      </c>
      <c r="G297" s="107">
        <v>0.0</v>
      </c>
      <c r="H297" s="97"/>
      <c r="I297" s="97"/>
      <c r="J297" s="97"/>
      <c r="K297" s="97"/>
      <c r="L297" s="97"/>
    </row>
    <row r="298">
      <c r="A298" s="97" t="s">
        <v>1283</v>
      </c>
      <c r="B298" s="97"/>
      <c r="C298" s="97"/>
      <c r="D298" s="107">
        <v>1.0</v>
      </c>
      <c r="E298" s="107">
        <v>1.0</v>
      </c>
      <c r="F298" s="107">
        <v>1.0</v>
      </c>
      <c r="G298" s="107">
        <v>1.0</v>
      </c>
      <c r="H298" s="97"/>
      <c r="I298" s="97"/>
      <c r="J298" s="97"/>
      <c r="K298" s="97"/>
      <c r="L298" s="97"/>
    </row>
    <row r="299">
      <c r="A299" s="97" t="s">
        <v>950</v>
      </c>
      <c r="B299" s="97"/>
      <c r="C299" s="97"/>
      <c r="D299" s="107">
        <v>1.0</v>
      </c>
      <c r="E299" s="107">
        <v>1.0</v>
      </c>
      <c r="F299" s="107">
        <v>1.0</v>
      </c>
      <c r="G299" s="107">
        <v>0.0</v>
      </c>
      <c r="H299" s="97"/>
      <c r="I299" s="97"/>
      <c r="J299" s="97"/>
      <c r="K299" s="97"/>
      <c r="L299" s="97"/>
    </row>
    <row r="300">
      <c r="A300" s="97" t="s">
        <v>951</v>
      </c>
      <c r="B300" s="97"/>
      <c r="C300" s="97"/>
      <c r="D300" s="107">
        <v>1.0</v>
      </c>
      <c r="E300" s="107">
        <v>1.0</v>
      </c>
      <c r="F300" s="107">
        <v>1.0</v>
      </c>
      <c r="G300" s="107">
        <v>0.0</v>
      </c>
      <c r="H300" s="97"/>
      <c r="I300" s="97"/>
      <c r="J300" s="97"/>
      <c r="K300" s="97"/>
      <c r="L300" s="97"/>
    </row>
    <row r="301">
      <c r="A301" s="97" t="s">
        <v>952</v>
      </c>
      <c r="B301" s="97"/>
      <c r="C301" s="97"/>
      <c r="D301" s="107">
        <v>1.0</v>
      </c>
      <c r="E301" s="107">
        <v>1.0</v>
      </c>
      <c r="F301" s="107">
        <v>1.0</v>
      </c>
      <c r="G301" s="107">
        <v>1.0</v>
      </c>
      <c r="H301" s="97"/>
      <c r="I301" s="97"/>
      <c r="J301" s="97"/>
      <c r="K301" s="97"/>
      <c r="L301" s="97"/>
    </row>
    <row r="302">
      <c r="A302" s="103" t="s">
        <v>1272</v>
      </c>
      <c r="B302" s="103"/>
      <c r="C302" s="103"/>
      <c r="D302" s="59" t="s">
        <v>1972</v>
      </c>
      <c r="E302" s="59" t="s">
        <v>1114</v>
      </c>
      <c r="F302" s="59" t="s">
        <v>1577</v>
      </c>
      <c r="G302" s="59" t="s">
        <v>1021</v>
      </c>
      <c r="H302" s="103"/>
      <c r="I302" s="103"/>
      <c r="J302" s="103"/>
      <c r="K302" s="103"/>
      <c r="L302" s="103"/>
    </row>
    <row r="303">
      <c r="A303" s="103" t="s">
        <v>1273</v>
      </c>
      <c r="B303" s="103" t="s">
        <v>1549</v>
      </c>
      <c r="C303" s="103" t="s">
        <v>1550</v>
      </c>
      <c r="D303" s="103" t="s">
        <v>1551</v>
      </c>
      <c r="E303" s="103" t="s">
        <v>1552</v>
      </c>
      <c r="F303" s="103" t="s">
        <v>1392</v>
      </c>
      <c r="G303" s="103" t="s">
        <v>1553</v>
      </c>
      <c r="H303" s="103" t="s">
        <v>1550</v>
      </c>
      <c r="I303" s="103" t="s">
        <v>1554</v>
      </c>
      <c r="J303" s="103" t="s">
        <v>1555</v>
      </c>
      <c r="K303" s="103" t="s">
        <v>1392</v>
      </c>
      <c r="L303" s="103" t="s">
        <v>1556</v>
      </c>
      <c r="M303" s="104"/>
      <c r="N303" s="104"/>
      <c r="O303" s="104"/>
      <c r="P303" s="104"/>
      <c r="Q303" s="104"/>
      <c r="R303" s="104"/>
      <c r="S303" s="104"/>
      <c r="T303" s="104"/>
      <c r="U303" s="104"/>
      <c r="V303" s="104"/>
      <c r="W303" s="104"/>
      <c r="X303" s="104"/>
      <c r="Y303" s="104"/>
      <c r="Z303" s="104"/>
    </row>
    <row r="304">
      <c r="A304" s="103" t="s">
        <v>1281</v>
      </c>
      <c r="B304" s="103"/>
      <c r="C304" s="103"/>
      <c r="D304" s="102">
        <v>1.0</v>
      </c>
      <c r="E304" s="102">
        <v>1.0</v>
      </c>
      <c r="F304" s="102">
        <v>1.0</v>
      </c>
      <c r="G304" s="102">
        <v>1.0</v>
      </c>
      <c r="H304" s="103"/>
      <c r="I304" s="103"/>
      <c r="J304" s="103"/>
      <c r="K304" s="103"/>
      <c r="L304" s="103"/>
      <c r="M304" s="104"/>
      <c r="N304" s="104"/>
      <c r="O304" s="104"/>
      <c r="P304" s="104"/>
      <c r="Q304" s="104"/>
      <c r="R304" s="104"/>
      <c r="S304" s="104"/>
      <c r="T304" s="104"/>
      <c r="U304" s="104"/>
      <c r="V304" s="104"/>
      <c r="W304" s="104"/>
      <c r="X304" s="104"/>
      <c r="Y304" s="104"/>
      <c r="Z304" s="104"/>
    </row>
    <row r="305">
      <c r="A305" s="103" t="s">
        <v>1282</v>
      </c>
      <c r="B305" s="103"/>
      <c r="C305" s="103"/>
      <c r="D305" s="102">
        <v>1.0</v>
      </c>
      <c r="E305" s="102">
        <v>1.0</v>
      </c>
      <c r="F305" s="102">
        <v>1.0</v>
      </c>
      <c r="G305" s="102">
        <v>1.0</v>
      </c>
      <c r="H305" s="103"/>
      <c r="I305" s="103"/>
      <c r="J305" s="103"/>
      <c r="K305" s="103"/>
      <c r="L305" s="103"/>
      <c r="M305" s="104"/>
      <c r="N305" s="104"/>
      <c r="O305" s="104"/>
      <c r="P305" s="104"/>
      <c r="Q305" s="104"/>
      <c r="R305" s="104"/>
      <c r="S305" s="104"/>
      <c r="T305" s="104"/>
      <c r="U305" s="104"/>
      <c r="V305" s="104"/>
      <c r="W305" s="104"/>
      <c r="X305" s="104"/>
      <c r="Y305" s="104"/>
      <c r="Z305" s="104"/>
    </row>
    <row r="306">
      <c r="A306" s="103" t="s">
        <v>948</v>
      </c>
      <c r="B306" s="103"/>
      <c r="C306" s="103"/>
      <c r="D306" s="102">
        <v>1.0</v>
      </c>
      <c r="E306" s="102">
        <v>1.0</v>
      </c>
      <c r="F306" s="102">
        <v>1.0</v>
      </c>
      <c r="G306" s="102">
        <v>1.0</v>
      </c>
      <c r="H306" s="103"/>
      <c r="I306" s="103"/>
      <c r="J306" s="103"/>
      <c r="K306" s="103"/>
      <c r="L306" s="103"/>
      <c r="M306" s="104"/>
      <c r="N306" s="104"/>
      <c r="O306" s="104"/>
      <c r="P306" s="104"/>
      <c r="Q306" s="104"/>
      <c r="R306" s="104"/>
      <c r="S306" s="104"/>
      <c r="T306" s="104"/>
      <c r="U306" s="104"/>
      <c r="V306" s="104"/>
      <c r="W306" s="104"/>
      <c r="X306" s="104"/>
      <c r="Y306" s="104"/>
      <c r="Z306" s="104"/>
    </row>
    <row r="307">
      <c r="A307" s="103" t="s">
        <v>1283</v>
      </c>
      <c r="B307" s="103"/>
      <c r="C307" s="103"/>
      <c r="D307" s="102">
        <v>1.0</v>
      </c>
      <c r="E307" s="102">
        <v>1.0</v>
      </c>
      <c r="F307" s="102">
        <v>1.0</v>
      </c>
      <c r="G307" s="102">
        <v>1.0</v>
      </c>
      <c r="H307" s="103"/>
      <c r="I307" s="103"/>
      <c r="J307" s="103"/>
      <c r="K307" s="103"/>
      <c r="L307" s="103"/>
      <c r="M307" s="104"/>
      <c r="N307" s="104"/>
      <c r="O307" s="104"/>
      <c r="P307" s="104"/>
      <c r="Q307" s="104"/>
      <c r="R307" s="104"/>
      <c r="S307" s="104"/>
      <c r="T307" s="104"/>
      <c r="U307" s="104"/>
      <c r="V307" s="104"/>
      <c r="W307" s="104"/>
      <c r="X307" s="104"/>
      <c r="Y307" s="104"/>
      <c r="Z307" s="104"/>
    </row>
    <row r="308">
      <c r="A308" s="103" t="s">
        <v>950</v>
      </c>
      <c r="B308" s="103"/>
      <c r="C308" s="103"/>
      <c r="D308" s="102">
        <v>1.0</v>
      </c>
      <c r="E308" s="102">
        <v>1.0</v>
      </c>
      <c r="F308" s="102">
        <v>1.0</v>
      </c>
      <c r="G308" s="102">
        <v>0.0</v>
      </c>
      <c r="H308" s="103"/>
      <c r="I308" s="103"/>
      <c r="J308" s="103"/>
      <c r="K308" s="103"/>
      <c r="L308" s="103"/>
      <c r="M308" s="104"/>
      <c r="N308" s="104"/>
      <c r="O308" s="104"/>
      <c r="P308" s="104"/>
      <c r="Q308" s="104"/>
      <c r="R308" s="104"/>
      <c r="S308" s="104"/>
      <c r="T308" s="104"/>
      <c r="U308" s="104"/>
      <c r="V308" s="104"/>
      <c r="W308" s="104"/>
      <c r="X308" s="104"/>
      <c r="Y308" s="104"/>
      <c r="Z308" s="104"/>
    </row>
    <row r="309">
      <c r="A309" s="103" t="s">
        <v>951</v>
      </c>
      <c r="B309" s="103"/>
      <c r="C309" s="103"/>
      <c r="D309" s="102">
        <v>1.0</v>
      </c>
      <c r="E309" s="102">
        <v>1.0</v>
      </c>
      <c r="F309" s="102">
        <v>1.0</v>
      </c>
      <c r="G309" s="102">
        <v>1.0</v>
      </c>
      <c r="H309" s="103"/>
      <c r="I309" s="103"/>
      <c r="J309" s="103"/>
      <c r="K309" s="103"/>
      <c r="L309" s="103"/>
      <c r="M309" s="104"/>
      <c r="N309" s="104"/>
      <c r="O309" s="104"/>
      <c r="P309" s="104"/>
      <c r="Q309" s="104"/>
      <c r="R309" s="104"/>
      <c r="S309" s="104"/>
      <c r="T309" s="104"/>
      <c r="U309" s="104"/>
      <c r="V309" s="104"/>
      <c r="W309" s="104"/>
      <c r="X309" s="104"/>
      <c r="Y309" s="104"/>
      <c r="Z309" s="104"/>
    </row>
    <row r="310">
      <c r="A310" s="103" t="s">
        <v>952</v>
      </c>
      <c r="B310" s="103"/>
      <c r="C310" s="103"/>
      <c r="D310" s="102">
        <v>1.0</v>
      </c>
      <c r="E310" s="102">
        <v>1.0</v>
      </c>
      <c r="F310" s="102">
        <v>1.0</v>
      </c>
      <c r="G310" s="102">
        <v>1.0</v>
      </c>
      <c r="H310" s="103"/>
      <c r="I310" s="103"/>
      <c r="J310" s="103"/>
      <c r="K310" s="103"/>
      <c r="L310" s="103"/>
      <c r="M310" s="104"/>
      <c r="N310" s="104"/>
      <c r="O310" s="104"/>
      <c r="P310" s="104"/>
      <c r="Q310" s="104"/>
      <c r="R310" s="104"/>
      <c r="S310" s="104"/>
      <c r="T310" s="104"/>
      <c r="U310" s="104"/>
      <c r="V310" s="104"/>
      <c r="W310" s="104"/>
      <c r="X310" s="104"/>
      <c r="Y310" s="104"/>
      <c r="Z310" s="104"/>
    </row>
    <row r="311">
      <c r="A311" s="103" t="s">
        <v>1284</v>
      </c>
      <c r="B311" s="103" t="s">
        <v>1549</v>
      </c>
      <c r="C311" s="103" t="s">
        <v>1557</v>
      </c>
      <c r="D311" s="103" t="s">
        <v>1558</v>
      </c>
      <c r="E311" s="103" t="s">
        <v>1559</v>
      </c>
      <c r="F311" s="103" t="s">
        <v>1392</v>
      </c>
      <c r="G311" s="103" t="s">
        <v>1560</v>
      </c>
      <c r="H311" s="103" t="s">
        <v>1533</v>
      </c>
      <c r="I311" s="103" t="s">
        <v>1551</v>
      </c>
      <c r="J311" s="103" t="s">
        <v>1519</v>
      </c>
      <c r="K311" s="103" t="s">
        <v>1392</v>
      </c>
      <c r="L311" s="103" t="s">
        <v>1021</v>
      </c>
      <c r="M311" s="104"/>
      <c r="N311" s="104"/>
      <c r="O311" s="104"/>
      <c r="P311" s="104"/>
      <c r="Q311" s="104"/>
      <c r="R311" s="104"/>
      <c r="S311" s="104"/>
      <c r="T311" s="104"/>
      <c r="U311" s="104"/>
      <c r="V311" s="104"/>
      <c r="W311" s="104"/>
      <c r="X311" s="104"/>
      <c r="Y311" s="104"/>
      <c r="Z311" s="104"/>
    </row>
    <row r="312">
      <c r="A312" s="103" t="s">
        <v>1281</v>
      </c>
      <c r="B312" s="103"/>
      <c r="C312" s="103"/>
      <c r="D312" s="102">
        <v>1.0</v>
      </c>
      <c r="E312" s="102">
        <v>1.0</v>
      </c>
      <c r="F312" s="102">
        <v>1.0</v>
      </c>
      <c r="G312" s="102">
        <v>1.0</v>
      </c>
      <c r="H312" s="103"/>
      <c r="I312" s="103"/>
      <c r="J312" s="103"/>
      <c r="K312" s="103"/>
      <c r="L312" s="103"/>
      <c r="M312" s="104"/>
      <c r="N312" s="104"/>
      <c r="O312" s="104"/>
      <c r="P312" s="104"/>
      <c r="Q312" s="104"/>
      <c r="R312" s="104"/>
      <c r="S312" s="104"/>
      <c r="T312" s="104"/>
      <c r="U312" s="104"/>
      <c r="V312" s="104"/>
      <c r="W312" s="104"/>
      <c r="X312" s="104"/>
      <c r="Y312" s="104"/>
      <c r="Z312" s="104"/>
    </row>
    <row r="313">
      <c r="A313" s="103" t="s">
        <v>1282</v>
      </c>
      <c r="B313" s="103"/>
      <c r="C313" s="103"/>
      <c r="D313" s="102">
        <v>1.0</v>
      </c>
      <c r="E313" s="102">
        <v>1.0</v>
      </c>
      <c r="F313" s="102">
        <v>1.0</v>
      </c>
      <c r="G313" s="102">
        <v>1.0</v>
      </c>
      <c r="H313" s="103"/>
      <c r="I313" s="103"/>
      <c r="J313" s="103"/>
      <c r="K313" s="103"/>
      <c r="L313" s="103"/>
      <c r="M313" s="104"/>
      <c r="N313" s="104"/>
      <c r="O313" s="104"/>
      <c r="P313" s="104"/>
      <c r="Q313" s="104"/>
      <c r="R313" s="104"/>
      <c r="S313" s="104"/>
      <c r="T313" s="104"/>
      <c r="U313" s="104"/>
      <c r="V313" s="104"/>
      <c r="W313" s="104"/>
      <c r="X313" s="104"/>
      <c r="Y313" s="104"/>
      <c r="Z313" s="104"/>
    </row>
    <row r="314">
      <c r="A314" s="103" t="s">
        <v>948</v>
      </c>
      <c r="B314" s="103"/>
      <c r="C314" s="103"/>
      <c r="D314" s="102">
        <v>1.0</v>
      </c>
      <c r="E314" s="102">
        <v>1.0</v>
      </c>
      <c r="F314" s="102">
        <v>1.0</v>
      </c>
      <c r="G314" s="102">
        <v>1.0</v>
      </c>
      <c r="H314" s="103"/>
      <c r="I314" s="103"/>
      <c r="J314" s="103"/>
      <c r="K314" s="103"/>
      <c r="L314" s="103"/>
      <c r="M314" s="104"/>
      <c r="N314" s="104"/>
      <c r="O314" s="104"/>
      <c r="P314" s="104"/>
      <c r="Q314" s="104"/>
      <c r="R314" s="104"/>
      <c r="S314" s="104"/>
      <c r="T314" s="104"/>
      <c r="U314" s="104"/>
      <c r="V314" s="104"/>
      <c r="W314" s="104"/>
      <c r="X314" s="104"/>
      <c r="Y314" s="104"/>
      <c r="Z314" s="104"/>
    </row>
    <row r="315">
      <c r="A315" s="103" t="s">
        <v>1283</v>
      </c>
      <c r="B315" s="103"/>
      <c r="C315" s="103"/>
      <c r="D315" s="102">
        <v>1.0</v>
      </c>
      <c r="E315" s="102">
        <v>1.0</v>
      </c>
      <c r="F315" s="102">
        <v>1.0</v>
      </c>
      <c r="G315" s="102">
        <v>1.0</v>
      </c>
      <c r="H315" s="103"/>
      <c r="I315" s="103"/>
      <c r="J315" s="103"/>
      <c r="K315" s="103"/>
      <c r="L315" s="103"/>
      <c r="M315" s="104"/>
      <c r="N315" s="104"/>
      <c r="O315" s="104"/>
      <c r="P315" s="104"/>
      <c r="Q315" s="104"/>
      <c r="R315" s="104"/>
      <c r="S315" s="104"/>
      <c r="T315" s="104"/>
      <c r="U315" s="104"/>
      <c r="V315" s="104"/>
      <c r="W315" s="104"/>
      <c r="X315" s="104"/>
      <c r="Y315" s="104"/>
      <c r="Z315" s="104"/>
    </row>
    <row r="316">
      <c r="A316" s="103" t="s">
        <v>950</v>
      </c>
      <c r="B316" s="103"/>
      <c r="C316" s="103"/>
      <c r="D316" s="102">
        <v>1.0</v>
      </c>
      <c r="E316" s="102">
        <v>0.0</v>
      </c>
      <c r="F316" s="102">
        <v>1.0</v>
      </c>
      <c r="G316" s="102">
        <v>1.0</v>
      </c>
      <c r="H316" s="103"/>
      <c r="I316" s="103"/>
      <c r="J316" s="103"/>
      <c r="K316" s="103"/>
      <c r="L316" s="103"/>
      <c r="M316" s="104"/>
      <c r="N316" s="104"/>
      <c r="O316" s="104"/>
      <c r="P316" s="104"/>
      <c r="Q316" s="104"/>
      <c r="R316" s="104"/>
      <c r="S316" s="104"/>
      <c r="T316" s="104"/>
      <c r="U316" s="104"/>
      <c r="V316" s="104"/>
      <c r="W316" s="104"/>
      <c r="X316" s="104"/>
      <c r="Y316" s="104"/>
      <c r="Z316" s="104"/>
    </row>
    <row r="317">
      <c r="A317" s="103" t="s">
        <v>951</v>
      </c>
      <c r="B317" s="103"/>
      <c r="C317" s="103"/>
      <c r="D317" s="102">
        <v>1.0</v>
      </c>
      <c r="E317" s="102">
        <v>1.0</v>
      </c>
      <c r="F317" s="102">
        <v>1.0</v>
      </c>
      <c r="G317" s="102">
        <v>1.0</v>
      </c>
      <c r="H317" s="103"/>
      <c r="I317" s="103"/>
      <c r="J317" s="103"/>
      <c r="K317" s="103"/>
      <c r="L317" s="103"/>
      <c r="M317" s="104"/>
      <c r="N317" s="104"/>
      <c r="O317" s="104"/>
      <c r="P317" s="104"/>
      <c r="Q317" s="104"/>
      <c r="R317" s="104"/>
      <c r="S317" s="104"/>
      <c r="T317" s="104"/>
      <c r="U317" s="104"/>
      <c r="V317" s="104"/>
      <c r="W317" s="104"/>
      <c r="X317" s="104"/>
      <c r="Y317" s="104"/>
      <c r="Z317" s="104"/>
    </row>
    <row r="318">
      <c r="A318" s="103" t="s">
        <v>952</v>
      </c>
      <c r="B318" s="103"/>
      <c r="C318" s="103"/>
      <c r="D318" s="102">
        <v>1.0</v>
      </c>
      <c r="E318" s="102">
        <v>1.0</v>
      </c>
      <c r="F318" s="102">
        <v>1.0</v>
      </c>
      <c r="G318" s="102">
        <v>1.0</v>
      </c>
      <c r="H318" s="103"/>
      <c r="I318" s="103"/>
      <c r="J318" s="103"/>
      <c r="K318" s="103"/>
      <c r="L318" s="103"/>
      <c r="M318" s="104"/>
      <c r="N318" s="104"/>
      <c r="O318" s="104"/>
      <c r="P318" s="104"/>
      <c r="Q318" s="104"/>
      <c r="R318" s="104"/>
      <c r="S318" s="104"/>
      <c r="T318" s="104"/>
      <c r="U318" s="104"/>
      <c r="V318" s="104"/>
      <c r="W318" s="104"/>
      <c r="X318" s="104"/>
      <c r="Y318" s="104"/>
      <c r="Z318" s="104"/>
    </row>
    <row r="319">
      <c r="A319" s="103" t="s">
        <v>1291</v>
      </c>
      <c r="B319" s="103" t="s">
        <v>1549</v>
      </c>
      <c r="C319" s="103" t="s">
        <v>1561</v>
      </c>
      <c r="D319" s="103" t="s">
        <v>1562</v>
      </c>
      <c r="E319" s="103" t="s">
        <v>1563</v>
      </c>
      <c r="F319" s="103" t="s">
        <v>1564</v>
      </c>
      <c r="G319" s="103" t="s">
        <v>1565</v>
      </c>
      <c r="H319" s="103" t="s">
        <v>1551</v>
      </c>
      <c r="I319" s="103" t="s">
        <v>1551</v>
      </c>
      <c r="J319" s="103" t="s">
        <v>1566</v>
      </c>
      <c r="K319" s="103" t="s">
        <v>1392</v>
      </c>
      <c r="L319" s="103" t="s">
        <v>1002</v>
      </c>
      <c r="M319" s="104"/>
      <c r="N319" s="104"/>
      <c r="O319" s="104"/>
      <c r="P319" s="104"/>
      <c r="Q319" s="104"/>
      <c r="R319" s="104"/>
      <c r="S319" s="104"/>
      <c r="T319" s="104"/>
      <c r="U319" s="104"/>
      <c r="V319" s="104"/>
      <c r="W319" s="104"/>
      <c r="X319" s="104"/>
      <c r="Y319" s="104"/>
      <c r="Z319" s="104"/>
    </row>
    <row r="320">
      <c r="A320" s="103" t="s">
        <v>1281</v>
      </c>
      <c r="B320" s="103"/>
      <c r="C320" s="103"/>
      <c r="D320" s="102">
        <v>1.0</v>
      </c>
      <c r="E320" s="102">
        <v>1.0</v>
      </c>
      <c r="F320" s="102">
        <v>1.0</v>
      </c>
      <c r="G320" s="102">
        <v>1.0</v>
      </c>
      <c r="H320" s="103"/>
      <c r="I320" s="103"/>
      <c r="J320" s="103"/>
      <c r="K320" s="103"/>
      <c r="L320" s="103"/>
      <c r="M320" s="104"/>
      <c r="N320" s="104"/>
      <c r="O320" s="104"/>
      <c r="P320" s="104"/>
      <c r="Q320" s="104"/>
      <c r="R320" s="104"/>
      <c r="S320" s="104"/>
      <c r="T320" s="104"/>
      <c r="U320" s="104"/>
      <c r="V320" s="104"/>
      <c r="W320" s="104"/>
      <c r="X320" s="104"/>
      <c r="Y320" s="104"/>
      <c r="Z320" s="104"/>
    </row>
    <row r="321">
      <c r="A321" s="103" t="s">
        <v>1282</v>
      </c>
      <c r="B321" s="103"/>
      <c r="C321" s="103"/>
      <c r="D321" s="102">
        <v>1.0</v>
      </c>
      <c r="E321" s="102">
        <v>1.0</v>
      </c>
      <c r="F321" s="102">
        <v>1.0</v>
      </c>
      <c r="G321" s="102">
        <v>1.0</v>
      </c>
      <c r="H321" s="103"/>
      <c r="I321" s="103"/>
      <c r="J321" s="103"/>
      <c r="K321" s="103"/>
      <c r="L321" s="103"/>
      <c r="M321" s="104"/>
      <c r="N321" s="104"/>
      <c r="O321" s="104"/>
      <c r="P321" s="104"/>
      <c r="Q321" s="104"/>
      <c r="R321" s="104"/>
      <c r="S321" s="104"/>
      <c r="T321" s="104"/>
      <c r="U321" s="104"/>
      <c r="V321" s="104"/>
      <c r="W321" s="104"/>
      <c r="X321" s="104"/>
      <c r="Y321" s="104"/>
      <c r="Z321" s="104"/>
    </row>
    <row r="322">
      <c r="A322" s="103" t="s">
        <v>948</v>
      </c>
      <c r="B322" s="103"/>
      <c r="C322" s="103"/>
      <c r="D322" s="102">
        <v>1.0</v>
      </c>
      <c r="E322" s="102">
        <v>1.0</v>
      </c>
      <c r="F322" s="102">
        <v>1.0</v>
      </c>
      <c r="G322" s="102">
        <v>0.0</v>
      </c>
      <c r="H322" s="103"/>
      <c r="I322" s="103"/>
      <c r="J322" s="103"/>
      <c r="K322" s="103"/>
      <c r="L322" s="103"/>
      <c r="M322" s="104"/>
      <c r="N322" s="104"/>
      <c r="O322" s="104"/>
      <c r="P322" s="104"/>
      <c r="Q322" s="104"/>
      <c r="R322" s="104"/>
      <c r="S322" s="104"/>
      <c r="T322" s="104"/>
      <c r="U322" s="104"/>
      <c r="V322" s="104"/>
      <c r="W322" s="104"/>
      <c r="X322" s="104"/>
      <c r="Y322" s="104"/>
      <c r="Z322" s="104"/>
    </row>
    <row r="323">
      <c r="A323" s="103" t="s">
        <v>1283</v>
      </c>
      <c r="B323" s="103"/>
      <c r="C323" s="103"/>
      <c r="D323" s="102">
        <v>1.0</v>
      </c>
      <c r="E323" s="102">
        <v>1.0</v>
      </c>
      <c r="F323" s="102">
        <v>1.0</v>
      </c>
      <c r="G323" s="102">
        <v>1.0</v>
      </c>
      <c r="H323" s="103"/>
      <c r="I323" s="103"/>
      <c r="J323" s="103"/>
      <c r="K323" s="103"/>
      <c r="L323" s="103"/>
      <c r="M323" s="104"/>
      <c r="N323" s="104"/>
      <c r="O323" s="104"/>
      <c r="P323" s="104"/>
      <c r="Q323" s="104"/>
      <c r="R323" s="104"/>
      <c r="S323" s="104"/>
      <c r="T323" s="104"/>
      <c r="U323" s="104"/>
      <c r="V323" s="104"/>
      <c r="W323" s="104"/>
      <c r="X323" s="104"/>
      <c r="Y323" s="104"/>
      <c r="Z323" s="104"/>
    </row>
    <row r="324">
      <c r="A324" s="103" t="s">
        <v>950</v>
      </c>
      <c r="B324" s="103"/>
      <c r="C324" s="103"/>
      <c r="D324" s="102">
        <v>1.0</v>
      </c>
      <c r="E324" s="102">
        <v>1.0</v>
      </c>
      <c r="F324" s="102">
        <v>1.0</v>
      </c>
      <c r="G324" s="102">
        <v>1.0</v>
      </c>
      <c r="H324" s="103"/>
      <c r="I324" s="103"/>
      <c r="J324" s="103"/>
      <c r="K324" s="103"/>
      <c r="L324" s="103"/>
      <c r="M324" s="104"/>
      <c r="N324" s="104"/>
      <c r="O324" s="104"/>
      <c r="P324" s="104"/>
      <c r="Q324" s="104"/>
      <c r="R324" s="104"/>
      <c r="S324" s="104"/>
      <c r="T324" s="104"/>
      <c r="U324" s="104"/>
      <c r="V324" s="104"/>
      <c r="W324" s="104"/>
      <c r="X324" s="104"/>
      <c r="Y324" s="104"/>
      <c r="Z324" s="104"/>
    </row>
    <row r="325">
      <c r="A325" s="103" t="s">
        <v>951</v>
      </c>
      <c r="B325" s="103"/>
      <c r="C325" s="103"/>
      <c r="D325" s="102">
        <v>1.0</v>
      </c>
      <c r="E325" s="102">
        <v>1.0</v>
      </c>
      <c r="F325" s="102">
        <v>1.0</v>
      </c>
      <c r="G325" s="102">
        <v>1.0</v>
      </c>
      <c r="H325" s="103"/>
      <c r="I325" s="103"/>
      <c r="J325" s="103"/>
      <c r="K325" s="103"/>
      <c r="L325" s="103"/>
      <c r="M325" s="104"/>
      <c r="N325" s="104"/>
      <c r="O325" s="104"/>
      <c r="P325" s="104"/>
      <c r="Q325" s="104"/>
      <c r="R325" s="104"/>
      <c r="S325" s="104"/>
      <c r="T325" s="104"/>
      <c r="U325" s="104"/>
      <c r="V325" s="104"/>
      <c r="W325" s="104"/>
      <c r="X325" s="104"/>
      <c r="Y325" s="104"/>
      <c r="Z325" s="104"/>
    </row>
    <row r="326">
      <c r="A326" s="103" t="s">
        <v>952</v>
      </c>
      <c r="B326" s="103"/>
      <c r="C326" s="103"/>
      <c r="D326" s="102">
        <v>1.0</v>
      </c>
      <c r="E326" s="102">
        <v>1.0</v>
      </c>
      <c r="F326" s="102">
        <v>1.0</v>
      </c>
      <c r="G326" s="102">
        <v>1.0</v>
      </c>
      <c r="H326" s="103"/>
      <c r="I326" s="103"/>
      <c r="J326" s="103"/>
      <c r="K326" s="103"/>
      <c r="L326" s="103"/>
      <c r="M326" s="104"/>
      <c r="N326" s="104"/>
      <c r="O326" s="104"/>
      <c r="P326" s="104"/>
      <c r="Q326" s="104"/>
      <c r="R326" s="104"/>
      <c r="S326" s="104"/>
      <c r="T326" s="104"/>
      <c r="U326" s="104"/>
      <c r="V326" s="104"/>
      <c r="W326" s="104"/>
      <c r="X326" s="104"/>
      <c r="Y326" s="104"/>
      <c r="Z326" s="104"/>
    </row>
    <row r="327">
      <c r="A327" s="97" t="s">
        <v>1272</v>
      </c>
      <c r="B327" s="97"/>
      <c r="C327" s="97"/>
      <c r="D327" s="5" t="s">
        <v>1977</v>
      </c>
      <c r="E327" s="5" t="s">
        <v>1978</v>
      </c>
      <c r="F327" s="5" t="s">
        <v>1577</v>
      </c>
      <c r="G327" s="5" t="s">
        <v>1979</v>
      </c>
      <c r="H327" s="97"/>
      <c r="I327" s="97"/>
      <c r="J327" s="97"/>
      <c r="K327" s="97"/>
      <c r="L327" s="97"/>
    </row>
    <row r="328">
      <c r="A328" s="97" t="s">
        <v>1273</v>
      </c>
      <c r="B328" s="97" t="s">
        <v>1567</v>
      </c>
      <c r="C328" s="97" t="s">
        <v>1533</v>
      </c>
      <c r="D328" s="97" t="s">
        <v>1568</v>
      </c>
      <c r="E328" s="97" t="s">
        <v>1569</v>
      </c>
      <c r="F328" s="97" t="s">
        <v>1570</v>
      </c>
      <c r="G328" s="97" t="s">
        <v>1571</v>
      </c>
      <c r="H328" s="97" t="s">
        <v>1533</v>
      </c>
      <c r="I328" s="97" t="s">
        <v>1568</v>
      </c>
      <c r="J328" s="97" t="s">
        <v>1572</v>
      </c>
      <c r="K328" s="97" t="s">
        <v>1570</v>
      </c>
      <c r="L328" s="97" t="s">
        <v>1573</v>
      </c>
    </row>
    <row r="329">
      <c r="A329" s="97" t="s">
        <v>1281</v>
      </c>
      <c r="B329" s="97"/>
      <c r="C329" s="97"/>
      <c r="D329" s="107">
        <v>1.0</v>
      </c>
      <c r="E329" s="107">
        <v>1.0</v>
      </c>
      <c r="F329" s="107">
        <v>1.0</v>
      </c>
      <c r="G329" s="107">
        <v>1.0</v>
      </c>
      <c r="H329" s="97"/>
      <c r="I329" s="97"/>
      <c r="J329" s="97"/>
      <c r="K329" s="97"/>
      <c r="L329" s="97"/>
    </row>
    <row r="330">
      <c r="A330" s="97" t="s">
        <v>1282</v>
      </c>
      <c r="B330" s="97"/>
      <c r="C330" s="97"/>
      <c r="D330" s="107">
        <v>1.0</v>
      </c>
      <c r="E330" s="107">
        <v>1.0</v>
      </c>
      <c r="F330" s="107">
        <v>1.0</v>
      </c>
      <c r="G330" s="107">
        <v>1.0</v>
      </c>
      <c r="H330" s="97"/>
      <c r="I330" s="97"/>
      <c r="J330" s="97"/>
      <c r="K330" s="97"/>
      <c r="L330" s="97"/>
    </row>
    <row r="331">
      <c r="A331" s="97" t="s">
        <v>948</v>
      </c>
      <c r="B331" s="97"/>
      <c r="C331" s="97"/>
      <c r="D331" s="107">
        <v>1.0</v>
      </c>
      <c r="E331" s="107">
        <v>1.0</v>
      </c>
      <c r="F331" s="107">
        <v>1.0</v>
      </c>
      <c r="G331" s="107">
        <v>1.0</v>
      </c>
      <c r="H331" s="97"/>
      <c r="I331" s="97"/>
      <c r="J331" s="97"/>
      <c r="K331" s="97"/>
      <c r="L331" s="97"/>
    </row>
    <row r="332">
      <c r="A332" s="97" t="s">
        <v>1283</v>
      </c>
      <c r="B332" s="97"/>
      <c r="C332" s="97"/>
      <c r="D332" s="107">
        <v>1.0</v>
      </c>
      <c r="E332" s="107">
        <v>1.0</v>
      </c>
      <c r="F332" s="107">
        <v>1.0</v>
      </c>
      <c r="G332" s="107">
        <v>1.0</v>
      </c>
      <c r="H332" s="97"/>
      <c r="I332" s="97"/>
      <c r="J332" s="97"/>
      <c r="K332" s="97"/>
      <c r="L332" s="97"/>
    </row>
    <row r="333">
      <c r="A333" s="97" t="s">
        <v>950</v>
      </c>
      <c r="B333" s="97"/>
      <c r="C333" s="97"/>
      <c r="D333" s="107">
        <v>1.0</v>
      </c>
      <c r="E333" s="107">
        <v>0.0</v>
      </c>
      <c r="F333" s="107">
        <v>1.0</v>
      </c>
      <c r="G333" s="107">
        <v>1.0</v>
      </c>
      <c r="H333" s="97"/>
      <c r="I333" s="97"/>
      <c r="J333" s="97"/>
      <c r="K333" s="97"/>
      <c r="L333" s="97"/>
    </row>
    <row r="334">
      <c r="A334" s="97" t="s">
        <v>951</v>
      </c>
      <c r="B334" s="97"/>
      <c r="C334" s="97"/>
      <c r="D334" s="107">
        <v>1.0</v>
      </c>
      <c r="E334" s="107">
        <v>1.0</v>
      </c>
      <c r="F334" s="107">
        <v>1.0</v>
      </c>
      <c r="G334" s="107">
        <v>1.0</v>
      </c>
      <c r="H334" s="97"/>
      <c r="I334" s="97"/>
      <c r="J334" s="97"/>
      <c r="K334" s="97"/>
      <c r="L334" s="97"/>
    </row>
    <row r="335">
      <c r="A335" s="97" t="s">
        <v>952</v>
      </c>
      <c r="B335" s="97"/>
      <c r="C335" s="97"/>
      <c r="D335" s="107">
        <v>1.0</v>
      </c>
      <c r="E335" s="107">
        <v>1.0</v>
      </c>
      <c r="F335" s="107">
        <v>1.0</v>
      </c>
      <c r="G335" s="107">
        <v>1.0</v>
      </c>
      <c r="H335" s="97"/>
      <c r="I335" s="97"/>
      <c r="J335" s="97"/>
      <c r="K335" s="97"/>
      <c r="L335" s="97"/>
    </row>
    <row r="336">
      <c r="A336" s="97" t="s">
        <v>1284</v>
      </c>
      <c r="B336" s="97" t="s">
        <v>1567</v>
      </c>
      <c r="C336" s="97" t="s">
        <v>1574</v>
      </c>
      <c r="D336" s="97" t="s">
        <v>1575</v>
      </c>
      <c r="E336" s="97" t="s">
        <v>1576</v>
      </c>
      <c r="F336" s="97" t="s">
        <v>1577</v>
      </c>
      <c r="G336" s="97" t="s">
        <v>1578</v>
      </c>
      <c r="H336" s="97" t="s">
        <v>1533</v>
      </c>
      <c r="I336" s="97" t="s">
        <v>1568</v>
      </c>
      <c r="J336" s="97" t="s">
        <v>1572</v>
      </c>
      <c r="K336" s="97" t="s">
        <v>1577</v>
      </c>
      <c r="L336" s="97" t="s">
        <v>1021</v>
      </c>
    </row>
    <row r="337">
      <c r="A337" s="97" t="s">
        <v>1281</v>
      </c>
      <c r="B337" s="97"/>
      <c r="C337" s="97"/>
      <c r="D337" s="107">
        <v>1.0</v>
      </c>
      <c r="E337" s="107">
        <v>1.0</v>
      </c>
      <c r="F337" s="107">
        <v>1.0</v>
      </c>
      <c r="G337" s="107">
        <v>1.0</v>
      </c>
      <c r="H337" s="97"/>
      <c r="I337" s="97"/>
      <c r="J337" s="97"/>
      <c r="K337" s="97"/>
      <c r="L337" s="97"/>
    </row>
    <row r="338">
      <c r="A338" s="97" t="s">
        <v>1282</v>
      </c>
      <c r="B338" s="97"/>
      <c r="C338" s="97"/>
      <c r="D338" s="107">
        <v>1.0</v>
      </c>
      <c r="E338" s="107">
        <v>1.0</v>
      </c>
      <c r="F338" s="107">
        <v>1.0</v>
      </c>
      <c r="G338" s="107">
        <v>1.0</v>
      </c>
      <c r="H338" s="97"/>
      <c r="I338" s="97"/>
      <c r="J338" s="97"/>
      <c r="K338" s="97"/>
      <c r="L338" s="97"/>
    </row>
    <row r="339">
      <c r="A339" s="97" t="s">
        <v>948</v>
      </c>
      <c r="B339" s="97"/>
      <c r="C339" s="97"/>
      <c r="D339" s="107">
        <v>1.0</v>
      </c>
      <c r="E339" s="107">
        <v>1.0</v>
      </c>
      <c r="F339" s="107">
        <v>1.0</v>
      </c>
      <c r="G339" s="107">
        <v>1.0</v>
      </c>
      <c r="H339" s="97"/>
      <c r="I339" s="97"/>
      <c r="J339" s="97"/>
      <c r="K339" s="97"/>
      <c r="L339" s="97"/>
    </row>
    <row r="340">
      <c r="A340" s="97" t="s">
        <v>1283</v>
      </c>
      <c r="B340" s="97"/>
      <c r="C340" s="97"/>
      <c r="D340" s="107">
        <v>1.0</v>
      </c>
      <c r="E340" s="107">
        <v>1.0</v>
      </c>
      <c r="F340" s="107">
        <v>1.0</v>
      </c>
      <c r="G340" s="107">
        <v>1.0</v>
      </c>
      <c r="H340" s="97"/>
      <c r="I340" s="97"/>
      <c r="J340" s="97"/>
      <c r="K340" s="97"/>
      <c r="L340" s="97"/>
    </row>
    <row r="341">
      <c r="A341" s="97" t="s">
        <v>950</v>
      </c>
      <c r="B341" s="97"/>
      <c r="C341" s="97"/>
      <c r="D341" s="107">
        <v>1.0</v>
      </c>
      <c r="E341" s="107">
        <v>1.0</v>
      </c>
      <c r="F341" s="107">
        <v>1.0</v>
      </c>
      <c r="G341" s="107">
        <v>1.0</v>
      </c>
      <c r="H341" s="97"/>
      <c r="I341" s="97"/>
      <c r="J341" s="97"/>
      <c r="K341" s="97"/>
      <c r="L341" s="97"/>
    </row>
    <row r="342">
      <c r="A342" s="97" t="s">
        <v>951</v>
      </c>
      <c r="B342" s="97"/>
      <c r="C342" s="97"/>
      <c r="D342" s="107">
        <v>1.0</v>
      </c>
      <c r="E342" s="107">
        <v>1.0</v>
      </c>
      <c r="F342" s="107">
        <v>1.0</v>
      </c>
      <c r="G342" s="107">
        <v>1.0</v>
      </c>
      <c r="H342" s="97"/>
      <c r="I342" s="97"/>
      <c r="J342" s="97"/>
      <c r="K342" s="97"/>
      <c r="L342" s="97"/>
    </row>
    <row r="343">
      <c r="A343" s="97" t="s">
        <v>952</v>
      </c>
      <c r="B343" s="97"/>
      <c r="C343" s="97"/>
      <c r="D343" s="107">
        <v>1.0</v>
      </c>
      <c r="E343" s="107">
        <v>1.0</v>
      </c>
      <c r="F343" s="107">
        <v>1.0</v>
      </c>
      <c r="G343" s="107">
        <v>1.0</v>
      </c>
      <c r="H343" s="97"/>
      <c r="I343" s="97"/>
      <c r="J343" s="97"/>
      <c r="K343" s="97"/>
      <c r="L343" s="97"/>
    </row>
    <row r="344">
      <c r="A344" s="97" t="s">
        <v>1291</v>
      </c>
      <c r="B344" s="97" t="s">
        <v>1567</v>
      </c>
      <c r="C344" s="97" t="s">
        <v>1579</v>
      </c>
      <c r="D344" s="97" t="s">
        <v>1580</v>
      </c>
      <c r="E344" s="97" t="s">
        <v>1581</v>
      </c>
      <c r="F344" s="97" t="s">
        <v>1582</v>
      </c>
      <c r="G344" s="97" t="s">
        <v>1583</v>
      </c>
      <c r="H344" s="97" t="s">
        <v>1568</v>
      </c>
      <c r="I344" s="97" t="s">
        <v>1568</v>
      </c>
      <c r="J344" s="97" t="s">
        <v>1584</v>
      </c>
      <c r="K344" s="97" t="s">
        <v>1585</v>
      </c>
      <c r="L344" s="97" t="s">
        <v>1586</v>
      </c>
    </row>
    <row r="345">
      <c r="A345" s="97" t="s">
        <v>1281</v>
      </c>
      <c r="B345" s="97"/>
      <c r="C345" s="97"/>
      <c r="D345" s="107">
        <v>1.0</v>
      </c>
      <c r="E345" s="107">
        <v>1.0</v>
      </c>
      <c r="F345" s="107">
        <v>1.0</v>
      </c>
      <c r="G345" s="107">
        <v>1.0</v>
      </c>
      <c r="H345" s="97"/>
      <c r="I345" s="97"/>
      <c r="J345" s="97"/>
      <c r="K345" s="97"/>
      <c r="L345" s="97"/>
    </row>
    <row r="346">
      <c r="A346" s="97" t="s">
        <v>1282</v>
      </c>
      <c r="B346" s="97"/>
      <c r="C346" s="97"/>
      <c r="D346" s="107">
        <v>1.0</v>
      </c>
      <c r="E346" s="107">
        <v>1.0</v>
      </c>
      <c r="F346" s="107">
        <v>1.0</v>
      </c>
      <c r="G346" s="107">
        <v>1.0</v>
      </c>
      <c r="H346" s="97"/>
      <c r="I346" s="97"/>
      <c r="J346" s="97"/>
      <c r="K346" s="97"/>
      <c r="L346" s="97"/>
    </row>
    <row r="347">
      <c r="A347" s="97" t="s">
        <v>948</v>
      </c>
      <c r="B347" s="97"/>
      <c r="C347" s="97"/>
      <c r="D347" s="107">
        <v>1.0</v>
      </c>
      <c r="E347" s="107">
        <v>1.0</v>
      </c>
      <c r="F347" s="107">
        <v>1.0</v>
      </c>
      <c r="G347" s="107">
        <v>1.0</v>
      </c>
      <c r="H347" s="97"/>
      <c r="I347" s="97"/>
      <c r="J347" s="97"/>
      <c r="K347" s="97"/>
      <c r="L347" s="97"/>
    </row>
    <row r="348">
      <c r="A348" s="97" t="s">
        <v>1283</v>
      </c>
      <c r="B348" s="97"/>
      <c r="C348" s="97"/>
      <c r="D348" s="107">
        <v>1.0</v>
      </c>
      <c r="E348" s="107">
        <v>1.0</v>
      </c>
      <c r="F348" s="107">
        <v>1.0</v>
      </c>
      <c r="G348" s="107">
        <v>1.0</v>
      </c>
      <c r="H348" s="97"/>
      <c r="I348" s="97"/>
      <c r="J348" s="97"/>
      <c r="K348" s="97"/>
      <c r="L348" s="97"/>
    </row>
    <row r="349">
      <c r="A349" s="97" t="s">
        <v>950</v>
      </c>
      <c r="B349" s="97"/>
      <c r="C349" s="97"/>
      <c r="D349" s="107">
        <v>1.0</v>
      </c>
      <c r="E349" s="107">
        <v>1.0</v>
      </c>
      <c r="F349" s="107">
        <v>1.0</v>
      </c>
      <c r="G349" s="107">
        <v>0.0</v>
      </c>
      <c r="H349" s="97"/>
      <c r="I349" s="97"/>
      <c r="J349" s="97"/>
      <c r="K349" s="97"/>
      <c r="L349" s="97"/>
    </row>
    <row r="350">
      <c r="A350" s="97" t="s">
        <v>951</v>
      </c>
      <c r="B350" s="97"/>
      <c r="C350" s="97"/>
      <c r="D350" s="107">
        <v>1.0</v>
      </c>
      <c r="E350" s="107">
        <v>1.0</v>
      </c>
      <c r="F350" s="107">
        <v>1.0</v>
      </c>
      <c r="G350" s="107">
        <v>1.0</v>
      </c>
      <c r="H350" s="97"/>
      <c r="I350" s="97"/>
      <c r="J350" s="97"/>
      <c r="K350" s="97"/>
      <c r="L350" s="97"/>
    </row>
    <row r="351">
      <c r="A351" s="97" t="s">
        <v>952</v>
      </c>
      <c r="B351" s="97"/>
      <c r="C351" s="97"/>
      <c r="D351" s="107">
        <v>1.0</v>
      </c>
      <c r="E351" s="107">
        <v>1.0</v>
      </c>
      <c r="F351" s="107">
        <v>1.0</v>
      </c>
      <c r="G351" s="107">
        <v>1.0</v>
      </c>
      <c r="H351" s="97"/>
      <c r="I351" s="97"/>
      <c r="J351" s="97"/>
      <c r="K351" s="97"/>
      <c r="L351" s="97"/>
    </row>
    <row r="352">
      <c r="A352" s="97" t="s">
        <v>1272</v>
      </c>
      <c r="B352" s="97"/>
      <c r="C352" s="97"/>
      <c r="D352" s="59" t="s">
        <v>1984</v>
      </c>
      <c r="E352" s="59" t="s">
        <v>1985</v>
      </c>
      <c r="F352" s="59" t="s">
        <v>1986</v>
      </c>
      <c r="G352" s="59" t="s">
        <v>1987</v>
      </c>
      <c r="H352" s="97"/>
      <c r="I352" s="97"/>
      <c r="J352" s="97"/>
      <c r="K352" s="97"/>
      <c r="L352" s="97"/>
    </row>
    <row r="353">
      <c r="A353" s="103" t="s">
        <v>1273</v>
      </c>
      <c r="B353" s="103" t="s">
        <v>1587</v>
      </c>
      <c r="C353" s="103" t="s">
        <v>1588</v>
      </c>
      <c r="D353" s="103" t="s">
        <v>1589</v>
      </c>
      <c r="E353" s="103" t="s">
        <v>1590</v>
      </c>
      <c r="F353" s="103" t="s">
        <v>1591</v>
      </c>
      <c r="G353" s="103" t="s">
        <v>1592</v>
      </c>
      <c r="H353" s="103" t="s">
        <v>1593</v>
      </c>
      <c r="I353" s="103" t="s">
        <v>1594</v>
      </c>
      <c r="J353" s="103" t="s">
        <v>1595</v>
      </c>
      <c r="K353" s="103" t="s">
        <v>1591</v>
      </c>
      <c r="L353" s="103" t="s">
        <v>1002</v>
      </c>
      <c r="M353" s="104"/>
      <c r="N353" s="104"/>
      <c r="O353" s="104"/>
      <c r="P353" s="104"/>
      <c r="Q353" s="104"/>
      <c r="R353" s="104"/>
      <c r="S353" s="104"/>
      <c r="T353" s="104"/>
      <c r="U353" s="104"/>
      <c r="V353" s="104"/>
      <c r="W353" s="104"/>
      <c r="X353" s="104"/>
      <c r="Y353" s="104"/>
      <c r="Z353" s="104"/>
    </row>
    <row r="354">
      <c r="A354" s="103" t="s">
        <v>1281</v>
      </c>
      <c r="B354" s="103"/>
      <c r="C354" s="103"/>
      <c r="D354" s="102">
        <v>1.0</v>
      </c>
      <c r="E354" s="109">
        <v>1.0</v>
      </c>
      <c r="F354" s="109">
        <v>1.0</v>
      </c>
      <c r="G354" s="109">
        <v>1.0</v>
      </c>
      <c r="H354" s="103"/>
      <c r="I354" s="103"/>
      <c r="J354" s="103"/>
      <c r="K354" s="103"/>
      <c r="L354" s="103"/>
      <c r="M354" s="104"/>
      <c r="N354" s="104"/>
      <c r="O354" s="104"/>
      <c r="P354" s="104"/>
      <c r="Q354" s="104"/>
      <c r="R354" s="104"/>
      <c r="S354" s="104"/>
      <c r="T354" s="104"/>
      <c r="U354" s="104"/>
      <c r="V354" s="104"/>
      <c r="W354" s="104"/>
      <c r="X354" s="104"/>
      <c r="Y354" s="104"/>
      <c r="Z354" s="104"/>
    </row>
    <row r="355">
      <c r="A355" s="103" t="s">
        <v>1282</v>
      </c>
      <c r="B355" s="103"/>
      <c r="C355" s="103"/>
      <c r="D355" s="102">
        <v>1.0</v>
      </c>
      <c r="E355" s="109">
        <v>1.0</v>
      </c>
      <c r="F355" s="109">
        <v>1.0</v>
      </c>
      <c r="G355" s="109">
        <v>1.0</v>
      </c>
      <c r="H355" s="103"/>
      <c r="I355" s="103"/>
      <c r="J355" s="103"/>
      <c r="K355" s="103"/>
      <c r="L355" s="103"/>
      <c r="M355" s="104"/>
      <c r="N355" s="104"/>
      <c r="O355" s="104"/>
      <c r="P355" s="104"/>
      <c r="Q355" s="104"/>
      <c r="R355" s="104"/>
      <c r="S355" s="104"/>
      <c r="T355" s="104"/>
      <c r="U355" s="104"/>
      <c r="V355" s="104"/>
      <c r="W355" s="104"/>
      <c r="X355" s="104"/>
      <c r="Y355" s="104"/>
      <c r="Z355" s="104"/>
    </row>
    <row r="356">
      <c r="A356" s="103" t="s">
        <v>948</v>
      </c>
      <c r="B356" s="103"/>
      <c r="C356" s="103"/>
      <c r="D356" s="102">
        <v>1.0</v>
      </c>
      <c r="E356" s="109">
        <v>1.0</v>
      </c>
      <c r="F356" s="109">
        <v>1.0</v>
      </c>
      <c r="G356" s="109">
        <v>1.0</v>
      </c>
      <c r="H356" s="103"/>
      <c r="I356" s="103"/>
      <c r="J356" s="103"/>
      <c r="K356" s="103"/>
      <c r="L356" s="103"/>
      <c r="M356" s="104"/>
      <c r="N356" s="104"/>
      <c r="O356" s="104"/>
      <c r="P356" s="104"/>
      <c r="Q356" s="104"/>
      <c r="R356" s="104"/>
      <c r="S356" s="104"/>
      <c r="T356" s="104"/>
      <c r="U356" s="104"/>
      <c r="V356" s="104"/>
      <c r="W356" s="104"/>
      <c r="X356" s="104"/>
      <c r="Y356" s="104"/>
      <c r="Z356" s="104"/>
    </row>
    <row r="357">
      <c r="A357" s="103" t="s">
        <v>1283</v>
      </c>
      <c r="B357" s="103"/>
      <c r="C357" s="103"/>
      <c r="D357" s="102">
        <v>1.0</v>
      </c>
      <c r="E357" s="109">
        <v>1.0</v>
      </c>
      <c r="F357" s="109">
        <v>1.0</v>
      </c>
      <c r="G357" s="109">
        <v>1.0</v>
      </c>
      <c r="H357" s="103"/>
      <c r="I357" s="103"/>
      <c r="J357" s="103"/>
      <c r="K357" s="103"/>
      <c r="L357" s="103"/>
      <c r="M357" s="104"/>
      <c r="N357" s="104"/>
      <c r="O357" s="104"/>
      <c r="P357" s="104"/>
      <c r="Q357" s="104"/>
      <c r="R357" s="104"/>
      <c r="S357" s="104"/>
      <c r="T357" s="104"/>
      <c r="U357" s="104"/>
      <c r="V357" s="104"/>
      <c r="W357" s="104"/>
      <c r="X357" s="104"/>
      <c r="Y357" s="104"/>
      <c r="Z357" s="104"/>
    </row>
    <row r="358">
      <c r="A358" s="103" t="s">
        <v>950</v>
      </c>
      <c r="B358" s="103"/>
      <c r="C358" s="103"/>
      <c r="D358" s="102">
        <v>1.0</v>
      </c>
      <c r="E358" s="109">
        <v>1.0</v>
      </c>
      <c r="F358" s="109">
        <v>1.0</v>
      </c>
      <c r="G358" s="109">
        <v>1.0</v>
      </c>
      <c r="H358" s="103"/>
      <c r="I358" s="103"/>
      <c r="J358" s="103"/>
      <c r="K358" s="103"/>
      <c r="L358" s="103"/>
      <c r="M358" s="104"/>
      <c r="N358" s="104"/>
      <c r="O358" s="104"/>
      <c r="P358" s="104"/>
      <c r="Q358" s="104"/>
      <c r="R358" s="104"/>
      <c r="S358" s="104"/>
      <c r="T358" s="104"/>
      <c r="U358" s="104"/>
      <c r="V358" s="104"/>
      <c r="W358" s="104"/>
      <c r="X358" s="104"/>
      <c r="Y358" s="104"/>
      <c r="Z358" s="104"/>
    </row>
    <row r="359">
      <c r="A359" s="103" t="s">
        <v>951</v>
      </c>
      <c r="B359" s="103"/>
      <c r="C359" s="103"/>
      <c r="D359" s="102">
        <v>1.0</v>
      </c>
      <c r="E359" s="109">
        <v>1.0</v>
      </c>
      <c r="F359" s="109">
        <v>1.0</v>
      </c>
      <c r="G359" s="109">
        <v>1.0</v>
      </c>
      <c r="H359" s="103"/>
      <c r="I359" s="103"/>
      <c r="J359" s="103"/>
      <c r="K359" s="103"/>
      <c r="L359" s="103"/>
      <c r="M359" s="104"/>
      <c r="N359" s="104"/>
      <c r="O359" s="104"/>
      <c r="P359" s="104"/>
      <c r="Q359" s="104"/>
      <c r="R359" s="104"/>
      <c r="S359" s="104"/>
      <c r="T359" s="104"/>
      <c r="U359" s="104"/>
      <c r="V359" s="104"/>
      <c r="W359" s="104"/>
      <c r="X359" s="104"/>
      <c r="Y359" s="104"/>
      <c r="Z359" s="104"/>
    </row>
    <row r="360">
      <c r="A360" s="103" t="s">
        <v>952</v>
      </c>
      <c r="B360" s="103"/>
      <c r="C360" s="103"/>
      <c r="D360" s="102">
        <v>1.0</v>
      </c>
      <c r="E360" s="109">
        <v>1.0</v>
      </c>
      <c r="F360" s="109">
        <v>1.0</v>
      </c>
      <c r="G360" s="109">
        <v>1.0</v>
      </c>
      <c r="H360" s="103"/>
      <c r="I360" s="103"/>
      <c r="J360" s="103"/>
      <c r="K360" s="103"/>
      <c r="L360" s="103"/>
      <c r="M360" s="104"/>
      <c r="N360" s="104"/>
      <c r="O360" s="104"/>
      <c r="P360" s="104"/>
      <c r="Q360" s="104"/>
      <c r="R360" s="104"/>
      <c r="S360" s="104"/>
      <c r="T360" s="104"/>
      <c r="U360" s="104"/>
      <c r="V360" s="104"/>
      <c r="W360" s="104"/>
      <c r="X360" s="104"/>
      <c r="Y360" s="104"/>
      <c r="Z360" s="104"/>
    </row>
    <row r="361">
      <c r="A361" s="103" t="s">
        <v>1284</v>
      </c>
      <c r="B361" s="103" t="s">
        <v>1587</v>
      </c>
      <c r="C361" s="103" t="s">
        <v>1596</v>
      </c>
      <c r="D361" s="103" t="s">
        <v>1597</v>
      </c>
      <c r="E361" s="103" t="s">
        <v>1598</v>
      </c>
      <c r="F361" s="103" t="s">
        <v>1599</v>
      </c>
      <c r="G361" s="103" t="s">
        <v>1600</v>
      </c>
      <c r="H361" s="103" t="s">
        <v>1551</v>
      </c>
      <c r="I361" s="103" t="s">
        <v>1601</v>
      </c>
      <c r="J361" s="103" t="s">
        <v>1602</v>
      </c>
      <c r="K361" s="103" t="s">
        <v>1134</v>
      </c>
      <c r="L361" s="103" t="s">
        <v>1592</v>
      </c>
      <c r="M361" s="104"/>
      <c r="N361" s="104"/>
      <c r="O361" s="104"/>
      <c r="P361" s="104"/>
      <c r="Q361" s="104"/>
      <c r="R361" s="104"/>
      <c r="S361" s="104"/>
      <c r="T361" s="104"/>
      <c r="U361" s="104"/>
      <c r="V361" s="104"/>
      <c r="W361" s="104"/>
      <c r="X361" s="104"/>
      <c r="Y361" s="104"/>
      <c r="Z361" s="104"/>
    </row>
    <row r="362">
      <c r="A362" s="103" t="s">
        <v>1281</v>
      </c>
      <c r="B362" s="103"/>
      <c r="C362" s="103"/>
      <c r="D362" s="102">
        <v>1.0</v>
      </c>
      <c r="E362" s="109">
        <v>1.0</v>
      </c>
      <c r="F362" s="109">
        <v>1.0</v>
      </c>
      <c r="G362" s="109">
        <v>1.0</v>
      </c>
      <c r="H362" s="103"/>
      <c r="I362" s="103"/>
      <c r="J362" s="103"/>
      <c r="K362" s="103"/>
      <c r="L362" s="103"/>
      <c r="M362" s="104"/>
      <c r="N362" s="104"/>
      <c r="O362" s="104"/>
      <c r="P362" s="104"/>
      <c r="Q362" s="104"/>
      <c r="R362" s="104"/>
      <c r="S362" s="104"/>
      <c r="T362" s="104"/>
      <c r="U362" s="104"/>
      <c r="V362" s="104"/>
      <c r="W362" s="104"/>
      <c r="X362" s="104"/>
      <c r="Y362" s="104"/>
      <c r="Z362" s="104"/>
    </row>
    <row r="363">
      <c r="A363" s="103" t="s">
        <v>1282</v>
      </c>
      <c r="B363" s="103"/>
      <c r="C363" s="103"/>
      <c r="D363" s="102">
        <v>1.0</v>
      </c>
      <c r="E363" s="109">
        <v>1.0</v>
      </c>
      <c r="F363" s="109">
        <v>1.0</v>
      </c>
      <c r="G363" s="109">
        <v>1.0</v>
      </c>
      <c r="H363" s="103"/>
      <c r="I363" s="103"/>
      <c r="J363" s="103"/>
      <c r="K363" s="103"/>
      <c r="L363" s="103"/>
      <c r="M363" s="104"/>
      <c r="N363" s="104"/>
      <c r="O363" s="104"/>
      <c r="P363" s="104"/>
      <c r="Q363" s="104"/>
      <c r="R363" s="104"/>
      <c r="S363" s="104"/>
      <c r="T363" s="104"/>
      <c r="U363" s="104"/>
      <c r="V363" s="104"/>
      <c r="W363" s="104"/>
      <c r="X363" s="104"/>
      <c r="Y363" s="104"/>
      <c r="Z363" s="104"/>
    </row>
    <row r="364">
      <c r="A364" s="103" t="s">
        <v>948</v>
      </c>
      <c r="B364" s="103"/>
      <c r="C364" s="103"/>
      <c r="D364" s="102">
        <v>1.0</v>
      </c>
      <c r="E364" s="109">
        <v>1.0</v>
      </c>
      <c r="F364" s="109">
        <v>1.0</v>
      </c>
      <c r="G364" s="109">
        <v>1.0</v>
      </c>
      <c r="H364" s="103"/>
      <c r="I364" s="103"/>
      <c r="J364" s="103"/>
      <c r="K364" s="103"/>
      <c r="L364" s="103"/>
      <c r="M364" s="104"/>
      <c r="N364" s="104"/>
      <c r="O364" s="104"/>
      <c r="P364" s="104"/>
      <c r="Q364" s="104"/>
      <c r="R364" s="104"/>
      <c r="S364" s="104"/>
      <c r="T364" s="104"/>
      <c r="U364" s="104"/>
      <c r="V364" s="104"/>
      <c r="W364" s="104"/>
      <c r="X364" s="104"/>
      <c r="Y364" s="104"/>
      <c r="Z364" s="104"/>
    </row>
    <row r="365">
      <c r="A365" s="103" t="s">
        <v>1283</v>
      </c>
      <c r="B365" s="103"/>
      <c r="C365" s="103"/>
      <c r="D365" s="102">
        <v>1.0</v>
      </c>
      <c r="E365" s="109">
        <v>1.0</v>
      </c>
      <c r="F365" s="109">
        <v>1.0</v>
      </c>
      <c r="G365" s="109">
        <v>1.0</v>
      </c>
      <c r="H365" s="103"/>
      <c r="I365" s="103"/>
      <c r="J365" s="103"/>
      <c r="K365" s="103"/>
      <c r="L365" s="103"/>
      <c r="M365" s="104"/>
      <c r="N365" s="104"/>
      <c r="O365" s="104"/>
      <c r="P365" s="104"/>
      <c r="Q365" s="104"/>
      <c r="R365" s="104"/>
      <c r="S365" s="104"/>
      <c r="T365" s="104"/>
      <c r="U365" s="104"/>
      <c r="V365" s="104"/>
      <c r="W365" s="104"/>
      <c r="X365" s="104"/>
      <c r="Y365" s="104"/>
      <c r="Z365" s="104"/>
    </row>
    <row r="366">
      <c r="A366" s="103" t="s">
        <v>950</v>
      </c>
      <c r="B366" s="103"/>
      <c r="C366" s="103"/>
      <c r="D366" s="102">
        <v>1.0</v>
      </c>
      <c r="E366" s="110">
        <v>0.0</v>
      </c>
      <c r="F366" s="109">
        <v>1.0</v>
      </c>
      <c r="G366" s="109">
        <v>1.0</v>
      </c>
      <c r="H366" s="103"/>
      <c r="I366" s="103"/>
      <c r="J366" s="103"/>
      <c r="K366" s="103"/>
      <c r="L366" s="103"/>
      <c r="M366" s="104"/>
      <c r="N366" s="104"/>
      <c r="O366" s="104"/>
      <c r="P366" s="104"/>
      <c r="Q366" s="104"/>
      <c r="R366" s="104"/>
      <c r="S366" s="104"/>
      <c r="T366" s="104"/>
      <c r="U366" s="104"/>
      <c r="V366" s="104"/>
      <c r="W366" s="104"/>
      <c r="X366" s="104"/>
      <c r="Y366" s="104"/>
      <c r="Z366" s="104"/>
    </row>
    <row r="367">
      <c r="A367" s="103" t="s">
        <v>951</v>
      </c>
      <c r="B367" s="103"/>
      <c r="C367" s="103"/>
      <c r="D367" s="102">
        <v>1.0</v>
      </c>
      <c r="E367" s="109">
        <v>1.0</v>
      </c>
      <c r="F367" s="109">
        <v>1.0</v>
      </c>
      <c r="G367" s="109">
        <v>1.0</v>
      </c>
      <c r="H367" s="103"/>
      <c r="I367" s="103"/>
      <c r="J367" s="103"/>
      <c r="K367" s="103"/>
      <c r="L367" s="103"/>
      <c r="M367" s="104"/>
      <c r="N367" s="104"/>
      <c r="O367" s="104"/>
      <c r="P367" s="104"/>
      <c r="Q367" s="104"/>
      <c r="R367" s="104"/>
      <c r="S367" s="104"/>
      <c r="T367" s="104"/>
      <c r="U367" s="104"/>
      <c r="V367" s="104"/>
      <c r="W367" s="104"/>
      <c r="X367" s="104"/>
      <c r="Y367" s="104"/>
      <c r="Z367" s="104"/>
    </row>
    <row r="368">
      <c r="A368" s="103" t="s">
        <v>952</v>
      </c>
      <c r="B368" s="103"/>
      <c r="C368" s="103"/>
      <c r="D368" s="102">
        <v>1.0</v>
      </c>
      <c r="E368" s="109">
        <v>1.0</v>
      </c>
      <c r="F368" s="109">
        <v>1.0</v>
      </c>
      <c r="G368" s="109">
        <v>1.0</v>
      </c>
      <c r="H368" s="103"/>
      <c r="I368" s="103"/>
      <c r="J368" s="103"/>
      <c r="K368" s="103"/>
      <c r="L368" s="103"/>
      <c r="M368" s="104"/>
      <c r="N368" s="104"/>
      <c r="O368" s="104"/>
      <c r="P368" s="104"/>
      <c r="Q368" s="104"/>
      <c r="R368" s="104"/>
      <c r="S368" s="104"/>
      <c r="T368" s="104"/>
      <c r="U368" s="104"/>
      <c r="V368" s="104"/>
      <c r="W368" s="104"/>
      <c r="X368" s="104"/>
      <c r="Y368" s="104"/>
      <c r="Z368" s="104"/>
    </row>
    <row r="369">
      <c r="A369" s="103" t="s">
        <v>1291</v>
      </c>
      <c r="B369" s="103" t="s">
        <v>1587</v>
      </c>
      <c r="C369" s="103" t="s">
        <v>1603</v>
      </c>
      <c r="D369" s="103" t="s">
        <v>1604</v>
      </c>
      <c r="E369" s="103" t="s">
        <v>1605</v>
      </c>
      <c r="F369" s="103" t="s">
        <v>1606</v>
      </c>
      <c r="G369" s="103" t="s">
        <v>1607</v>
      </c>
      <c r="H369" s="103" t="s">
        <v>1554</v>
      </c>
      <c r="I369" s="103" t="s">
        <v>1554</v>
      </c>
      <c r="J369" s="103" t="s">
        <v>1608</v>
      </c>
      <c r="K369" s="103" t="s">
        <v>1609</v>
      </c>
      <c r="L369" s="103" t="s">
        <v>1610</v>
      </c>
      <c r="M369" s="104"/>
      <c r="N369" s="104"/>
      <c r="O369" s="104"/>
      <c r="P369" s="104"/>
      <c r="Q369" s="104"/>
      <c r="R369" s="104"/>
      <c r="S369" s="104"/>
      <c r="T369" s="104"/>
      <c r="U369" s="104"/>
      <c r="V369" s="104"/>
      <c r="W369" s="104"/>
      <c r="X369" s="104"/>
      <c r="Y369" s="104"/>
      <c r="Z369" s="104"/>
    </row>
    <row r="370">
      <c r="A370" s="103" t="s">
        <v>1281</v>
      </c>
      <c r="B370" s="103"/>
      <c r="C370" s="103"/>
      <c r="D370" s="102">
        <v>1.0</v>
      </c>
      <c r="E370" s="109">
        <v>1.0</v>
      </c>
      <c r="F370" s="109">
        <v>1.0</v>
      </c>
      <c r="G370" s="109">
        <v>1.0</v>
      </c>
      <c r="H370" s="103"/>
      <c r="I370" s="103"/>
      <c r="J370" s="103"/>
      <c r="K370" s="103"/>
      <c r="L370" s="103"/>
      <c r="M370" s="104"/>
      <c r="N370" s="104"/>
      <c r="O370" s="104"/>
      <c r="P370" s="104"/>
      <c r="Q370" s="104"/>
      <c r="R370" s="104"/>
      <c r="S370" s="104"/>
      <c r="T370" s="104"/>
      <c r="U370" s="104"/>
      <c r="V370" s="104"/>
      <c r="W370" s="104"/>
      <c r="X370" s="104"/>
      <c r="Y370" s="104"/>
      <c r="Z370" s="104"/>
    </row>
    <row r="371">
      <c r="A371" s="103" t="s">
        <v>1282</v>
      </c>
      <c r="B371" s="103"/>
      <c r="C371" s="103"/>
      <c r="D371" s="102">
        <v>1.0</v>
      </c>
      <c r="E371" s="109">
        <v>1.0</v>
      </c>
      <c r="F371" s="109">
        <v>1.0</v>
      </c>
      <c r="G371" s="109">
        <v>1.0</v>
      </c>
      <c r="H371" s="103"/>
      <c r="I371" s="103"/>
      <c r="J371" s="103"/>
      <c r="K371" s="103"/>
      <c r="L371" s="103"/>
      <c r="M371" s="104"/>
      <c r="N371" s="104"/>
      <c r="O371" s="104"/>
      <c r="P371" s="104"/>
      <c r="Q371" s="104"/>
      <c r="R371" s="104"/>
      <c r="S371" s="104"/>
      <c r="T371" s="104"/>
      <c r="U371" s="104"/>
      <c r="V371" s="104"/>
      <c r="W371" s="104"/>
      <c r="X371" s="104"/>
      <c r="Y371" s="104"/>
      <c r="Z371" s="104"/>
    </row>
    <row r="372">
      <c r="A372" s="103" t="s">
        <v>948</v>
      </c>
      <c r="B372" s="103"/>
      <c r="C372" s="103"/>
      <c r="D372" s="102">
        <v>1.0</v>
      </c>
      <c r="E372" s="109">
        <v>1.0</v>
      </c>
      <c r="F372" s="109">
        <v>1.0</v>
      </c>
      <c r="G372" s="109">
        <v>1.0</v>
      </c>
      <c r="H372" s="103"/>
      <c r="I372" s="103"/>
      <c r="J372" s="103"/>
      <c r="K372" s="103"/>
      <c r="L372" s="103"/>
      <c r="M372" s="104"/>
      <c r="N372" s="104"/>
      <c r="O372" s="104"/>
      <c r="P372" s="104"/>
      <c r="Q372" s="104"/>
      <c r="R372" s="104"/>
      <c r="S372" s="104"/>
      <c r="T372" s="104"/>
      <c r="U372" s="104"/>
      <c r="V372" s="104"/>
      <c r="W372" s="104"/>
      <c r="X372" s="104"/>
      <c r="Y372" s="104"/>
      <c r="Z372" s="104"/>
    </row>
    <row r="373">
      <c r="A373" s="103" t="s">
        <v>1283</v>
      </c>
      <c r="B373" s="103"/>
      <c r="C373" s="103"/>
      <c r="D373" s="102">
        <v>1.0</v>
      </c>
      <c r="E373" s="109">
        <v>1.0</v>
      </c>
      <c r="F373" s="109">
        <v>1.0</v>
      </c>
      <c r="G373" s="109">
        <v>1.0</v>
      </c>
      <c r="H373" s="103"/>
      <c r="I373" s="103"/>
      <c r="J373" s="103"/>
      <c r="K373" s="103"/>
      <c r="L373" s="103"/>
      <c r="M373" s="104"/>
      <c r="N373" s="104"/>
      <c r="O373" s="104"/>
      <c r="P373" s="104"/>
      <c r="Q373" s="104"/>
      <c r="R373" s="104"/>
      <c r="S373" s="104"/>
      <c r="T373" s="104"/>
      <c r="U373" s="104"/>
      <c r="V373" s="104"/>
      <c r="W373" s="104"/>
      <c r="X373" s="104"/>
      <c r="Y373" s="104"/>
      <c r="Z373" s="104"/>
    </row>
    <row r="374">
      <c r="A374" s="103" t="s">
        <v>950</v>
      </c>
      <c r="B374" s="103"/>
      <c r="C374" s="103"/>
      <c r="D374" s="102">
        <v>1.0</v>
      </c>
      <c r="E374" s="109">
        <v>1.0</v>
      </c>
      <c r="F374" s="109">
        <v>1.0</v>
      </c>
      <c r="G374" s="109">
        <v>1.0</v>
      </c>
      <c r="H374" s="103"/>
      <c r="I374" s="103"/>
      <c r="J374" s="103"/>
      <c r="K374" s="103"/>
      <c r="L374" s="103"/>
      <c r="M374" s="104"/>
      <c r="N374" s="104"/>
      <c r="O374" s="104"/>
      <c r="P374" s="104"/>
      <c r="Q374" s="104"/>
      <c r="R374" s="104"/>
      <c r="S374" s="104"/>
      <c r="T374" s="104"/>
      <c r="U374" s="104"/>
      <c r="V374" s="104"/>
      <c r="W374" s="104"/>
      <c r="X374" s="104"/>
      <c r="Y374" s="104"/>
      <c r="Z374" s="104"/>
    </row>
    <row r="375">
      <c r="A375" s="103" t="s">
        <v>951</v>
      </c>
      <c r="B375" s="103"/>
      <c r="C375" s="103"/>
      <c r="D375" s="102">
        <v>1.0</v>
      </c>
      <c r="E375" s="109">
        <v>1.0</v>
      </c>
      <c r="F375" s="109">
        <v>1.0</v>
      </c>
      <c r="G375" s="109">
        <v>1.0</v>
      </c>
      <c r="H375" s="103"/>
      <c r="I375" s="103"/>
      <c r="J375" s="103"/>
      <c r="K375" s="103"/>
      <c r="L375" s="103"/>
      <c r="M375" s="104"/>
      <c r="N375" s="104"/>
      <c r="O375" s="104"/>
      <c r="P375" s="104"/>
      <c r="Q375" s="104"/>
      <c r="R375" s="104"/>
      <c r="S375" s="104"/>
      <c r="T375" s="104"/>
      <c r="U375" s="104"/>
      <c r="V375" s="104"/>
      <c r="W375" s="104"/>
      <c r="X375" s="104"/>
      <c r="Y375" s="104"/>
      <c r="Z375" s="104"/>
    </row>
    <row r="376">
      <c r="A376" s="103" t="s">
        <v>952</v>
      </c>
      <c r="B376" s="103"/>
      <c r="C376" s="103"/>
      <c r="D376" s="102">
        <v>1.0</v>
      </c>
      <c r="E376" s="109">
        <v>1.0</v>
      </c>
      <c r="F376" s="109">
        <v>1.0</v>
      </c>
      <c r="G376" s="109">
        <v>1.0</v>
      </c>
      <c r="H376" s="103"/>
      <c r="I376" s="103"/>
      <c r="J376" s="103"/>
      <c r="K376" s="103"/>
      <c r="L376" s="103"/>
      <c r="M376" s="104"/>
      <c r="N376" s="104"/>
      <c r="O376" s="104"/>
      <c r="P376" s="104"/>
      <c r="Q376" s="104"/>
      <c r="R376" s="104"/>
      <c r="S376" s="104"/>
      <c r="T376" s="104"/>
      <c r="U376" s="104"/>
      <c r="V376" s="104"/>
      <c r="W376" s="104"/>
      <c r="X376" s="104"/>
      <c r="Y376" s="104"/>
      <c r="Z376" s="104"/>
    </row>
    <row r="377">
      <c r="A377" s="97" t="s">
        <v>1272</v>
      </c>
      <c r="B377" s="97"/>
      <c r="C377" s="97"/>
      <c r="D377" s="5" t="s">
        <v>1993</v>
      </c>
      <c r="E377" s="5" t="s">
        <v>1141</v>
      </c>
      <c r="F377" s="5" t="s">
        <v>1994</v>
      </c>
      <c r="G377" s="5" t="s">
        <v>1995</v>
      </c>
      <c r="H377" s="97"/>
      <c r="I377" s="97"/>
      <c r="J377" s="97"/>
      <c r="K377" s="97"/>
      <c r="L377" s="97"/>
    </row>
    <row r="378">
      <c r="A378" s="97" t="s">
        <v>1273</v>
      </c>
      <c r="B378" s="97" t="s">
        <v>1611</v>
      </c>
      <c r="C378" s="97" t="s">
        <v>1389</v>
      </c>
      <c r="D378" s="97" t="s">
        <v>1551</v>
      </c>
      <c r="E378" s="97" t="s">
        <v>1612</v>
      </c>
      <c r="F378" s="97" t="s">
        <v>1332</v>
      </c>
      <c r="G378" s="97" t="s">
        <v>1613</v>
      </c>
      <c r="H378" s="97" t="s">
        <v>1394</v>
      </c>
      <c r="I378" s="97" t="s">
        <v>1554</v>
      </c>
      <c r="J378" s="97" t="s">
        <v>1614</v>
      </c>
      <c r="K378" s="97" t="s">
        <v>1332</v>
      </c>
      <c r="L378" s="97" t="s">
        <v>1615</v>
      </c>
    </row>
    <row r="379">
      <c r="A379" s="97" t="s">
        <v>1281</v>
      </c>
      <c r="B379" s="97"/>
      <c r="C379" s="97"/>
      <c r="D379" s="107">
        <v>1.0</v>
      </c>
      <c r="E379" s="107">
        <v>1.0</v>
      </c>
      <c r="F379" s="107">
        <v>1.0</v>
      </c>
      <c r="G379" s="107">
        <v>1.0</v>
      </c>
      <c r="H379" s="97"/>
      <c r="I379" s="97"/>
      <c r="J379" s="97"/>
      <c r="K379" s="97"/>
      <c r="L379" s="97"/>
    </row>
    <row r="380">
      <c r="A380" s="97" t="s">
        <v>1282</v>
      </c>
      <c r="B380" s="97"/>
      <c r="C380" s="97"/>
      <c r="D380" s="107">
        <v>1.0</v>
      </c>
      <c r="E380" s="107">
        <v>1.0</v>
      </c>
      <c r="F380" s="107">
        <v>1.0</v>
      </c>
      <c r="G380" s="107">
        <v>1.0</v>
      </c>
      <c r="H380" s="97"/>
      <c r="I380" s="97"/>
      <c r="J380" s="97"/>
      <c r="K380" s="97"/>
      <c r="L380" s="97"/>
    </row>
    <row r="381">
      <c r="A381" s="97" t="s">
        <v>948</v>
      </c>
      <c r="B381" s="97"/>
      <c r="C381" s="97"/>
      <c r="D381" s="107">
        <v>0.0</v>
      </c>
      <c r="E381" s="107">
        <v>1.0</v>
      </c>
      <c r="F381" s="107">
        <v>0.0</v>
      </c>
      <c r="G381" s="107">
        <v>1.0</v>
      </c>
      <c r="H381" s="97"/>
      <c r="I381" s="97"/>
      <c r="J381" s="97"/>
      <c r="K381" s="97"/>
      <c r="L381" s="97"/>
    </row>
    <row r="382">
      <c r="A382" s="97" t="s">
        <v>1283</v>
      </c>
      <c r="B382" s="97"/>
      <c r="C382" s="97"/>
      <c r="D382" s="107">
        <v>1.0</v>
      </c>
      <c r="E382" s="107">
        <v>1.0</v>
      </c>
      <c r="F382" s="107">
        <v>1.0</v>
      </c>
      <c r="G382" s="107">
        <v>1.0</v>
      </c>
      <c r="H382" s="97"/>
      <c r="I382" s="97"/>
      <c r="J382" s="97"/>
      <c r="K382" s="97"/>
      <c r="L382" s="97"/>
    </row>
    <row r="383">
      <c r="A383" s="97" t="s">
        <v>950</v>
      </c>
      <c r="B383" s="97"/>
      <c r="C383" s="97"/>
      <c r="D383" s="107">
        <v>1.0</v>
      </c>
      <c r="E383" s="107">
        <v>1.0</v>
      </c>
      <c r="F383" s="107">
        <v>1.0</v>
      </c>
      <c r="G383" s="107">
        <v>1.0</v>
      </c>
      <c r="H383" s="97"/>
      <c r="I383" s="97"/>
      <c r="J383" s="97"/>
      <c r="K383" s="97"/>
      <c r="L383" s="97"/>
    </row>
    <row r="384">
      <c r="A384" s="97" t="s">
        <v>951</v>
      </c>
      <c r="B384" s="97"/>
      <c r="C384" s="97"/>
      <c r="D384" s="107">
        <v>1.0</v>
      </c>
      <c r="E384" s="107">
        <v>1.0</v>
      </c>
      <c r="F384" s="107">
        <v>1.0</v>
      </c>
      <c r="G384" s="107">
        <v>1.0</v>
      </c>
      <c r="H384" s="97"/>
      <c r="I384" s="97"/>
      <c r="J384" s="97"/>
      <c r="K384" s="97"/>
      <c r="L384" s="97"/>
    </row>
    <row r="385">
      <c r="A385" s="97" t="s">
        <v>952</v>
      </c>
      <c r="B385" s="97"/>
      <c r="C385" s="97"/>
      <c r="D385" s="107">
        <v>1.0</v>
      </c>
      <c r="E385" s="107">
        <v>1.0</v>
      </c>
      <c r="F385" s="107">
        <v>1.0</v>
      </c>
      <c r="G385" s="107">
        <v>1.0</v>
      </c>
      <c r="H385" s="97"/>
      <c r="I385" s="97"/>
      <c r="J385" s="97"/>
      <c r="K385" s="97"/>
      <c r="L385" s="97"/>
    </row>
    <row r="386">
      <c r="A386" s="97" t="s">
        <v>1284</v>
      </c>
      <c r="B386" s="97" t="s">
        <v>1611</v>
      </c>
      <c r="C386" s="97" t="s">
        <v>1616</v>
      </c>
      <c r="D386" s="97" t="s">
        <v>1617</v>
      </c>
      <c r="E386" s="97" t="s">
        <v>1618</v>
      </c>
      <c r="F386" s="97" t="s">
        <v>1619</v>
      </c>
      <c r="G386" s="97" t="s">
        <v>1620</v>
      </c>
      <c r="H386" s="97" t="s">
        <v>1621</v>
      </c>
      <c r="I386" s="97" t="s">
        <v>1622</v>
      </c>
      <c r="J386" s="97" t="s">
        <v>1623</v>
      </c>
      <c r="K386" s="97" t="s">
        <v>1372</v>
      </c>
      <c r="L386" s="97" t="s">
        <v>1002</v>
      </c>
    </row>
    <row r="387">
      <c r="A387" s="97" t="s">
        <v>1281</v>
      </c>
      <c r="B387" s="97"/>
      <c r="C387" s="97"/>
      <c r="D387" s="107">
        <v>1.0</v>
      </c>
      <c r="E387" s="107">
        <v>1.0</v>
      </c>
      <c r="F387" s="107">
        <v>1.0</v>
      </c>
      <c r="G387" s="107">
        <v>1.0</v>
      </c>
      <c r="H387" s="97"/>
      <c r="I387" s="97"/>
      <c r="J387" s="97"/>
      <c r="K387" s="97"/>
      <c r="L387" s="97"/>
    </row>
    <row r="388">
      <c r="A388" s="97" t="s">
        <v>1282</v>
      </c>
      <c r="B388" s="97"/>
      <c r="C388" s="97"/>
      <c r="D388" s="107">
        <v>1.0</v>
      </c>
      <c r="E388" s="107">
        <v>1.0</v>
      </c>
      <c r="F388" s="107">
        <v>1.0</v>
      </c>
      <c r="G388" s="107">
        <v>1.0</v>
      </c>
      <c r="H388" s="97"/>
      <c r="I388" s="97"/>
      <c r="J388" s="97"/>
      <c r="K388" s="97"/>
      <c r="L388" s="97"/>
    </row>
    <row r="389">
      <c r="A389" s="97" t="s">
        <v>948</v>
      </c>
      <c r="B389" s="97"/>
      <c r="C389" s="97"/>
      <c r="D389" s="107">
        <v>1.0</v>
      </c>
      <c r="E389" s="107">
        <v>1.0</v>
      </c>
      <c r="F389" s="107">
        <v>1.0</v>
      </c>
      <c r="G389" s="107">
        <v>1.0</v>
      </c>
      <c r="H389" s="97"/>
      <c r="I389" s="97"/>
      <c r="J389" s="97"/>
      <c r="K389" s="97"/>
      <c r="L389" s="97"/>
    </row>
    <row r="390">
      <c r="A390" s="97" t="s">
        <v>1283</v>
      </c>
      <c r="B390" s="97"/>
      <c r="C390" s="97"/>
      <c r="D390" s="107">
        <v>1.0</v>
      </c>
      <c r="E390" s="107">
        <v>1.0</v>
      </c>
      <c r="F390" s="107">
        <v>1.0</v>
      </c>
      <c r="G390" s="107">
        <v>1.0</v>
      </c>
      <c r="H390" s="97"/>
      <c r="I390" s="97"/>
      <c r="J390" s="97"/>
      <c r="K390" s="97"/>
      <c r="L390" s="97"/>
    </row>
    <row r="391">
      <c r="A391" s="97" t="s">
        <v>950</v>
      </c>
      <c r="B391" s="97"/>
      <c r="C391" s="97"/>
      <c r="D391" s="107">
        <v>1.0</v>
      </c>
      <c r="E391" s="107">
        <v>1.0</v>
      </c>
      <c r="F391" s="107">
        <v>1.0</v>
      </c>
      <c r="G391" s="107">
        <v>1.0</v>
      </c>
      <c r="H391" s="97"/>
      <c r="I391" s="97"/>
      <c r="J391" s="97"/>
      <c r="K391" s="97"/>
      <c r="L391" s="97"/>
    </row>
    <row r="392">
      <c r="A392" s="97" t="s">
        <v>951</v>
      </c>
      <c r="B392" s="97"/>
      <c r="C392" s="97"/>
      <c r="D392" s="107">
        <v>1.0</v>
      </c>
      <c r="E392" s="107">
        <v>1.0</v>
      </c>
      <c r="F392" s="107">
        <v>1.0</v>
      </c>
      <c r="G392" s="107">
        <v>1.0</v>
      </c>
      <c r="H392" s="97"/>
      <c r="I392" s="97"/>
      <c r="J392" s="97"/>
      <c r="K392" s="97"/>
      <c r="L392" s="97"/>
    </row>
    <row r="393">
      <c r="A393" s="97" t="s">
        <v>952</v>
      </c>
      <c r="B393" s="97"/>
      <c r="C393" s="97"/>
      <c r="D393" s="107">
        <v>1.0</v>
      </c>
      <c r="E393" s="107">
        <v>1.0</v>
      </c>
      <c r="F393" s="107">
        <v>1.0</v>
      </c>
      <c r="G393" s="107">
        <v>1.0</v>
      </c>
      <c r="H393" s="97"/>
      <c r="I393" s="97"/>
      <c r="J393" s="97"/>
      <c r="K393" s="97"/>
      <c r="L393" s="97"/>
    </row>
    <row r="394">
      <c r="A394" s="97" t="s">
        <v>1291</v>
      </c>
      <c r="B394" s="97" t="s">
        <v>1611</v>
      </c>
      <c r="C394" s="97" t="s">
        <v>1624</v>
      </c>
      <c r="D394" s="97" t="s">
        <v>1625</v>
      </c>
      <c r="E394" s="97" t="s">
        <v>1626</v>
      </c>
      <c r="F394" s="97" t="s">
        <v>1627</v>
      </c>
      <c r="G394" s="97" t="s">
        <v>1628</v>
      </c>
      <c r="H394" s="97" t="s">
        <v>1621</v>
      </c>
      <c r="I394" s="97" t="s">
        <v>1551</v>
      </c>
      <c r="J394" s="97" t="s">
        <v>1629</v>
      </c>
      <c r="K394" s="97" t="s">
        <v>1332</v>
      </c>
      <c r="L394" s="97" t="s">
        <v>1002</v>
      </c>
    </row>
    <row r="395">
      <c r="A395" s="97" t="s">
        <v>1281</v>
      </c>
      <c r="B395" s="97"/>
      <c r="C395" s="97"/>
      <c r="D395" s="107">
        <v>1.0</v>
      </c>
      <c r="E395" s="107">
        <v>1.0</v>
      </c>
      <c r="F395" s="107">
        <v>1.0</v>
      </c>
      <c r="G395" s="107">
        <v>1.0</v>
      </c>
      <c r="H395" s="97"/>
      <c r="I395" s="97"/>
      <c r="J395" s="97"/>
      <c r="K395" s="97"/>
      <c r="L395" s="97"/>
    </row>
    <row r="396">
      <c r="A396" s="97" t="s">
        <v>1282</v>
      </c>
      <c r="B396" s="97"/>
      <c r="C396" s="97"/>
      <c r="D396" s="107">
        <v>1.0</v>
      </c>
      <c r="E396" s="107">
        <v>1.0</v>
      </c>
      <c r="F396" s="107">
        <v>1.0</v>
      </c>
      <c r="G396" s="107">
        <v>1.0</v>
      </c>
      <c r="H396" s="97"/>
      <c r="I396" s="97"/>
      <c r="J396" s="97"/>
      <c r="K396" s="97"/>
      <c r="L396" s="97"/>
    </row>
    <row r="397">
      <c r="A397" s="97" t="s">
        <v>948</v>
      </c>
      <c r="B397" s="97"/>
      <c r="C397" s="97"/>
      <c r="D397" s="107">
        <v>0.0</v>
      </c>
      <c r="E397" s="107">
        <v>1.0</v>
      </c>
      <c r="F397" s="107">
        <v>0.0</v>
      </c>
      <c r="G397" s="107">
        <v>1.0</v>
      </c>
      <c r="H397" s="97"/>
      <c r="I397" s="97"/>
      <c r="J397" s="97"/>
      <c r="K397" s="97"/>
      <c r="L397" s="97"/>
    </row>
    <row r="398">
      <c r="A398" s="97" t="s">
        <v>1283</v>
      </c>
      <c r="B398" s="97"/>
      <c r="C398" s="97"/>
      <c r="D398" s="107">
        <v>1.0</v>
      </c>
      <c r="E398" s="107">
        <v>1.0</v>
      </c>
      <c r="F398" s="107">
        <v>1.0</v>
      </c>
      <c r="G398" s="107">
        <v>1.0</v>
      </c>
      <c r="H398" s="97"/>
      <c r="I398" s="97"/>
      <c r="J398" s="97"/>
      <c r="K398" s="97"/>
      <c r="L398" s="97"/>
    </row>
    <row r="399">
      <c r="A399" s="97" t="s">
        <v>950</v>
      </c>
      <c r="B399" s="97"/>
      <c r="C399" s="97"/>
      <c r="D399" s="107">
        <v>1.0</v>
      </c>
      <c r="E399" s="107">
        <v>1.0</v>
      </c>
      <c r="F399" s="107">
        <v>1.0</v>
      </c>
      <c r="G399" s="107">
        <v>1.0</v>
      </c>
      <c r="H399" s="97"/>
      <c r="I399" s="97"/>
      <c r="J399" s="97"/>
      <c r="K399" s="97"/>
      <c r="L399" s="97"/>
    </row>
    <row r="400">
      <c r="A400" s="97" t="s">
        <v>951</v>
      </c>
      <c r="B400" s="97"/>
      <c r="C400" s="97"/>
      <c r="D400" s="107">
        <v>1.0</v>
      </c>
      <c r="E400" s="107">
        <v>1.0</v>
      </c>
      <c r="F400" s="107">
        <v>1.0</v>
      </c>
      <c r="G400" s="107">
        <v>1.0</v>
      </c>
      <c r="H400" s="97"/>
      <c r="I400" s="97"/>
      <c r="J400" s="97"/>
      <c r="K400" s="97"/>
      <c r="L400" s="97"/>
    </row>
    <row r="401">
      <c r="A401" s="97" t="s">
        <v>952</v>
      </c>
      <c r="B401" s="97"/>
      <c r="C401" s="97"/>
      <c r="D401" s="107">
        <v>1.0</v>
      </c>
      <c r="E401" s="107">
        <v>1.0</v>
      </c>
      <c r="F401" s="107">
        <v>1.0</v>
      </c>
      <c r="G401" s="107">
        <v>1.0</v>
      </c>
      <c r="H401" s="97"/>
      <c r="I401" s="97"/>
      <c r="J401" s="97"/>
      <c r="K401" s="97"/>
      <c r="L401" s="97"/>
    </row>
    <row r="402">
      <c r="A402" s="97" t="s">
        <v>1272</v>
      </c>
      <c r="B402" s="97"/>
      <c r="C402" s="97"/>
      <c r="D402" s="59" t="s">
        <v>2002</v>
      </c>
      <c r="E402" s="59" t="s">
        <v>2003</v>
      </c>
      <c r="F402" s="59" t="s">
        <v>2004</v>
      </c>
      <c r="G402" s="59" t="s">
        <v>2005</v>
      </c>
      <c r="H402" s="97"/>
      <c r="I402" s="97"/>
      <c r="J402" s="97"/>
      <c r="K402" s="97"/>
      <c r="L402" s="97"/>
    </row>
    <row r="403">
      <c r="A403" s="103" t="s">
        <v>1273</v>
      </c>
      <c r="B403" s="103" t="s">
        <v>1630</v>
      </c>
      <c r="C403" s="103" t="s">
        <v>1631</v>
      </c>
      <c r="D403" s="103" t="s">
        <v>1632</v>
      </c>
      <c r="E403" s="103" t="s">
        <v>1633</v>
      </c>
      <c r="F403" s="103" t="s">
        <v>1634</v>
      </c>
      <c r="G403" s="103" t="s">
        <v>1635</v>
      </c>
      <c r="H403" s="103" t="s">
        <v>1631</v>
      </c>
      <c r="I403" s="103" t="s">
        <v>1631</v>
      </c>
      <c r="J403" s="103" t="s">
        <v>1636</v>
      </c>
      <c r="K403" s="103" t="s">
        <v>1634</v>
      </c>
      <c r="L403" s="103" t="s">
        <v>1637</v>
      </c>
      <c r="M403" s="104"/>
      <c r="N403" s="104"/>
      <c r="O403" s="104"/>
      <c r="P403" s="104"/>
      <c r="Q403" s="104"/>
      <c r="R403" s="104"/>
      <c r="S403" s="104"/>
      <c r="T403" s="104"/>
      <c r="U403" s="104"/>
      <c r="V403" s="104"/>
      <c r="W403" s="104"/>
      <c r="X403" s="104"/>
      <c r="Y403" s="104"/>
      <c r="Z403" s="104"/>
    </row>
    <row r="404">
      <c r="A404" s="103" t="s">
        <v>1281</v>
      </c>
      <c r="B404" s="103"/>
      <c r="C404" s="103"/>
      <c r="D404" s="102">
        <v>1.0</v>
      </c>
      <c r="E404" s="102">
        <v>1.0</v>
      </c>
      <c r="F404" s="102">
        <v>0.0</v>
      </c>
      <c r="G404" s="102">
        <v>1.0</v>
      </c>
      <c r="H404" s="103"/>
      <c r="I404" s="103"/>
      <c r="J404" s="103"/>
      <c r="K404" s="103"/>
      <c r="L404" s="103"/>
      <c r="M404" s="104"/>
      <c r="N404" s="104"/>
      <c r="O404" s="104"/>
      <c r="P404" s="104"/>
      <c r="Q404" s="104"/>
      <c r="R404" s="104"/>
      <c r="S404" s="104"/>
      <c r="T404" s="104"/>
      <c r="U404" s="104"/>
      <c r="V404" s="104"/>
      <c r="W404" s="104"/>
      <c r="X404" s="104"/>
      <c r="Y404" s="104"/>
      <c r="Z404" s="104"/>
    </row>
    <row r="405">
      <c r="A405" s="103" t="s">
        <v>1282</v>
      </c>
      <c r="B405" s="103"/>
      <c r="C405" s="103"/>
      <c r="D405" s="102">
        <v>1.0</v>
      </c>
      <c r="E405" s="102">
        <v>1.0</v>
      </c>
      <c r="F405" s="102">
        <v>0.0</v>
      </c>
      <c r="G405" s="102">
        <v>1.0</v>
      </c>
      <c r="H405" s="103"/>
      <c r="I405" s="103"/>
      <c r="J405" s="103"/>
      <c r="K405" s="103"/>
      <c r="L405" s="103"/>
      <c r="M405" s="104"/>
      <c r="N405" s="104"/>
      <c r="O405" s="104"/>
      <c r="P405" s="104"/>
      <c r="Q405" s="104"/>
      <c r="R405" s="104"/>
      <c r="S405" s="104"/>
      <c r="T405" s="104"/>
      <c r="U405" s="104"/>
      <c r="V405" s="104"/>
      <c r="W405" s="104"/>
      <c r="X405" s="104"/>
      <c r="Y405" s="104"/>
      <c r="Z405" s="104"/>
    </row>
    <row r="406">
      <c r="A406" s="103" t="s">
        <v>948</v>
      </c>
      <c r="B406" s="103"/>
      <c r="C406" s="103"/>
      <c r="D406" s="102">
        <v>1.0</v>
      </c>
      <c r="E406" s="102">
        <v>1.0</v>
      </c>
      <c r="F406" s="102">
        <v>0.0</v>
      </c>
      <c r="G406" s="102">
        <v>1.0</v>
      </c>
      <c r="H406" s="103"/>
      <c r="I406" s="103"/>
      <c r="J406" s="103"/>
      <c r="K406" s="103"/>
      <c r="L406" s="103"/>
      <c r="M406" s="104"/>
      <c r="N406" s="104"/>
      <c r="O406" s="104"/>
      <c r="P406" s="104"/>
      <c r="Q406" s="104"/>
      <c r="R406" s="104"/>
      <c r="S406" s="104"/>
      <c r="T406" s="104"/>
      <c r="U406" s="104"/>
      <c r="V406" s="104"/>
      <c r="W406" s="104"/>
      <c r="X406" s="104"/>
      <c r="Y406" s="104"/>
      <c r="Z406" s="104"/>
    </row>
    <row r="407">
      <c r="A407" s="103" t="s">
        <v>1283</v>
      </c>
      <c r="B407" s="103"/>
      <c r="C407" s="103"/>
      <c r="D407" s="102">
        <v>1.0</v>
      </c>
      <c r="E407" s="102">
        <v>1.0</v>
      </c>
      <c r="F407" s="102">
        <v>1.0</v>
      </c>
      <c r="G407" s="102">
        <v>1.0</v>
      </c>
      <c r="H407" s="103"/>
      <c r="I407" s="103"/>
      <c r="J407" s="103"/>
      <c r="K407" s="103"/>
      <c r="L407" s="103"/>
      <c r="M407" s="104"/>
      <c r="N407" s="104"/>
      <c r="O407" s="104"/>
      <c r="P407" s="104"/>
      <c r="Q407" s="104"/>
      <c r="R407" s="104"/>
      <c r="S407" s="104"/>
      <c r="T407" s="104"/>
      <c r="U407" s="104"/>
      <c r="V407" s="104"/>
      <c r="W407" s="104"/>
      <c r="X407" s="104"/>
      <c r="Y407" s="104"/>
      <c r="Z407" s="104"/>
    </row>
    <row r="408">
      <c r="A408" s="103" t="s">
        <v>950</v>
      </c>
      <c r="B408" s="103"/>
      <c r="C408" s="103"/>
      <c r="D408" s="102">
        <v>1.0</v>
      </c>
      <c r="E408" s="102">
        <v>1.0</v>
      </c>
      <c r="F408" s="102">
        <v>0.0</v>
      </c>
      <c r="G408" s="102">
        <v>0.0</v>
      </c>
      <c r="H408" s="103"/>
      <c r="I408" s="103"/>
      <c r="J408" s="103"/>
      <c r="K408" s="103"/>
      <c r="L408" s="103"/>
      <c r="M408" s="104"/>
      <c r="N408" s="104"/>
      <c r="O408" s="104"/>
      <c r="P408" s="104"/>
      <c r="Q408" s="104"/>
      <c r="R408" s="104"/>
      <c r="S408" s="104"/>
      <c r="T408" s="104"/>
      <c r="U408" s="104"/>
      <c r="V408" s="104"/>
      <c r="W408" s="104"/>
      <c r="X408" s="104"/>
      <c r="Y408" s="104"/>
      <c r="Z408" s="104"/>
    </row>
    <row r="409">
      <c r="A409" s="103" t="s">
        <v>951</v>
      </c>
      <c r="B409" s="103"/>
      <c r="C409" s="103"/>
      <c r="D409" s="102">
        <v>1.0</v>
      </c>
      <c r="E409" s="102">
        <v>1.0</v>
      </c>
      <c r="F409" s="102">
        <v>0.0</v>
      </c>
      <c r="G409" s="102">
        <v>1.0</v>
      </c>
      <c r="H409" s="103"/>
      <c r="I409" s="103"/>
      <c r="J409" s="103"/>
      <c r="K409" s="103"/>
      <c r="L409" s="103"/>
      <c r="M409" s="104"/>
      <c r="N409" s="104"/>
      <c r="O409" s="104"/>
      <c r="P409" s="104"/>
      <c r="Q409" s="104"/>
      <c r="R409" s="104"/>
      <c r="S409" s="104"/>
      <c r="T409" s="104"/>
      <c r="U409" s="104"/>
      <c r="V409" s="104"/>
      <c r="W409" s="104"/>
      <c r="X409" s="104"/>
      <c r="Y409" s="104"/>
      <c r="Z409" s="104"/>
    </row>
    <row r="410">
      <c r="A410" s="103" t="s">
        <v>952</v>
      </c>
      <c r="B410" s="103"/>
      <c r="C410" s="103"/>
      <c r="D410" s="102">
        <v>1.0</v>
      </c>
      <c r="E410" s="102">
        <v>1.0</v>
      </c>
      <c r="F410" s="102">
        <v>1.0</v>
      </c>
      <c r="G410" s="102">
        <v>1.0</v>
      </c>
      <c r="H410" s="103"/>
      <c r="I410" s="103"/>
      <c r="J410" s="103"/>
      <c r="K410" s="103"/>
      <c r="L410" s="103"/>
      <c r="M410" s="104"/>
      <c r="N410" s="104"/>
      <c r="O410" s="104"/>
      <c r="P410" s="104"/>
      <c r="Q410" s="104"/>
      <c r="R410" s="104"/>
      <c r="S410" s="104"/>
      <c r="T410" s="104"/>
      <c r="U410" s="104"/>
      <c r="V410" s="104"/>
      <c r="W410" s="104"/>
      <c r="X410" s="104"/>
      <c r="Y410" s="104"/>
      <c r="Z410" s="104"/>
    </row>
    <row r="411">
      <c r="A411" s="103" t="s">
        <v>1284</v>
      </c>
      <c r="B411" s="103" t="s">
        <v>1630</v>
      </c>
      <c r="C411" s="103" t="s">
        <v>1638</v>
      </c>
      <c r="D411" s="103" t="s">
        <v>1639</v>
      </c>
      <c r="E411" s="103" t="s">
        <v>1640</v>
      </c>
      <c r="F411" s="103" t="s">
        <v>1641</v>
      </c>
      <c r="G411" s="103" t="s">
        <v>1642</v>
      </c>
      <c r="H411" s="103" t="s">
        <v>1159</v>
      </c>
      <c r="I411" s="103" t="s">
        <v>1631</v>
      </c>
      <c r="J411" s="103" t="s">
        <v>1643</v>
      </c>
      <c r="K411" s="103" t="s">
        <v>1634</v>
      </c>
      <c r="L411" s="103" t="s">
        <v>1644</v>
      </c>
      <c r="M411" s="104"/>
      <c r="N411" s="104"/>
      <c r="O411" s="104"/>
      <c r="P411" s="104"/>
      <c r="Q411" s="104"/>
      <c r="R411" s="104"/>
      <c r="S411" s="104"/>
      <c r="T411" s="104"/>
      <c r="U411" s="104"/>
      <c r="V411" s="104"/>
      <c r="W411" s="104"/>
      <c r="X411" s="104"/>
      <c r="Y411" s="104"/>
      <c r="Z411" s="104"/>
    </row>
    <row r="412">
      <c r="A412" s="103" t="s">
        <v>1281</v>
      </c>
      <c r="B412" s="103"/>
      <c r="C412" s="103"/>
      <c r="D412" s="102">
        <v>1.0</v>
      </c>
      <c r="E412" s="102">
        <v>1.0</v>
      </c>
      <c r="F412" s="102">
        <v>0.0</v>
      </c>
      <c r="G412" s="102">
        <v>1.0</v>
      </c>
      <c r="H412" s="103"/>
      <c r="I412" s="103"/>
      <c r="J412" s="103"/>
      <c r="K412" s="103"/>
      <c r="L412" s="103"/>
      <c r="M412" s="104"/>
      <c r="N412" s="104"/>
      <c r="O412" s="104"/>
      <c r="P412" s="104"/>
      <c r="Q412" s="104"/>
      <c r="R412" s="104"/>
      <c r="S412" s="104"/>
      <c r="T412" s="104"/>
      <c r="U412" s="104"/>
      <c r="V412" s="104"/>
      <c r="W412" s="104"/>
      <c r="X412" s="104"/>
      <c r="Y412" s="104"/>
      <c r="Z412" s="104"/>
    </row>
    <row r="413">
      <c r="A413" s="103" t="s">
        <v>1282</v>
      </c>
      <c r="B413" s="103"/>
      <c r="C413" s="103"/>
      <c r="D413" s="102">
        <v>1.0</v>
      </c>
      <c r="E413" s="102">
        <v>1.0</v>
      </c>
      <c r="F413" s="102">
        <v>0.0</v>
      </c>
      <c r="G413" s="102">
        <v>1.0</v>
      </c>
      <c r="H413" s="103"/>
      <c r="I413" s="103"/>
      <c r="J413" s="103"/>
      <c r="K413" s="103"/>
      <c r="L413" s="103"/>
      <c r="M413" s="104"/>
      <c r="N413" s="104"/>
      <c r="O413" s="104"/>
      <c r="P413" s="104"/>
      <c r="Q413" s="104"/>
      <c r="R413" s="104"/>
      <c r="S413" s="104"/>
      <c r="T413" s="104"/>
      <c r="U413" s="104"/>
      <c r="V413" s="104"/>
      <c r="W413" s="104"/>
      <c r="X413" s="104"/>
      <c r="Y413" s="104"/>
      <c r="Z413" s="104"/>
    </row>
    <row r="414">
      <c r="A414" s="103" t="s">
        <v>948</v>
      </c>
      <c r="B414" s="103"/>
      <c r="C414" s="103"/>
      <c r="D414" s="102">
        <v>1.0</v>
      </c>
      <c r="E414" s="102">
        <v>1.0</v>
      </c>
      <c r="F414" s="102">
        <v>0.0</v>
      </c>
      <c r="G414" s="102">
        <v>1.0</v>
      </c>
      <c r="H414" s="103"/>
      <c r="I414" s="103"/>
      <c r="J414" s="103"/>
      <c r="K414" s="103"/>
      <c r="L414" s="103"/>
      <c r="M414" s="104"/>
      <c r="N414" s="104"/>
      <c r="O414" s="104"/>
      <c r="P414" s="104"/>
      <c r="Q414" s="104"/>
      <c r="R414" s="104"/>
      <c r="S414" s="104"/>
      <c r="T414" s="104"/>
      <c r="U414" s="104"/>
      <c r="V414" s="104"/>
      <c r="W414" s="104"/>
      <c r="X414" s="104"/>
      <c r="Y414" s="104"/>
      <c r="Z414" s="104"/>
    </row>
    <row r="415">
      <c r="A415" s="103" t="s">
        <v>1283</v>
      </c>
      <c r="B415" s="103"/>
      <c r="C415" s="103"/>
      <c r="D415" s="102">
        <v>1.0</v>
      </c>
      <c r="E415" s="102">
        <v>1.0</v>
      </c>
      <c r="F415" s="102">
        <v>1.0</v>
      </c>
      <c r="G415" s="102">
        <v>1.0</v>
      </c>
      <c r="H415" s="103"/>
      <c r="I415" s="103"/>
      <c r="J415" s="103"/>
      <c r="K415" s="103"/>
      <c r="L415" s="103"/>
      <c r="M415" s="104"/>
      <c r="N415" s="104"/>
      <c r="O415" s="104"/>
      <c r="P415" s="104"/>
      <c r="Q415" s="104"/>
      <c r="R415" s="104"/>
      <c r="S415" s="104"/>
      <c r="T415" s="104"/>
      <c r="U415" s="104"/>
      <c r="V415" s="104"/>
      <c r="W415" s="104"/>
      <c r="X415" s="104"/>
      <c r="Y415" s="104"/>
      <c r="Z415" s="104"/>
    </row>
    <row r="416">
      <c r="A416" s="103" t="s">
        <v>950</v>
      </c>
      <c r="B416" s="103"/>
      <c r="C416" s="103"/>
      <c r="D416" s="102">
        <v>1.0</v>
      </c>
      <c r="E416" s="102">
        <v>1.0</v>
      </c>
      <c r="F416" s="102">
        <v>0.0</v>
      </c>
      <c r="G416" s="102">
        <v>1.0</v>
      </c>
      <c r="H416" s="103"/>
      <c r="I416" s="103"/>
      <c r="J416" s="103"/>
      <c r="K416" s="103"/>
      <c r="L416" s="103"/>
      <c r="M416" s="104"/>
      <c r="N416" s="104"/>
      <c r="O416" s="104"/>
      <c r="P416" s="104"/>
      <c r="Q416" s="104"/>
      <c r="R416" s="104"/>
      <c r="S416" s="104"/>
      <c r="T416" s="104"/>
      <c r="U416" s="104"/>
      <c r="V416" s="104"/>
      <c r="W416" s="104"/>
      <c r="X416" s="104"/>
      <c r="Y416" s="104"/>
      <c r="Z416" s="104"/>
    </row>
    <row r="417">
      <c r="A417" s="103" t="s">
        <v>951</v>
      </c>
      <c r="B417" s="103"/>
      <c r="C417" s="103"/>
      <c r="D417" s="102">
        <v>1.0</v>
      </c>
      <c r="E417" s="102">
        <v>1.0</v>
      </c>
      <c r="F417" s="102">
        <v>0.0</v>
      </c>
      <c r="G417" s="102">
        <v>1.0</v>
      </c>
      <c r="H417" s="103"/>
      <c r="I417" s="103"/>
      <c r="J417" s="103"/>
      <c r="K417" s="103"/>
      <c r="L417" s="103"/>
      <c r="M417" s="104"/>
      <c r="N417" s="104"/>
      <c r="O417" s="104"/>
      <c r="P417" s="104"/>
      <c r="Q417" s="104"/>
      <c r="R417" s="104"/>
      <c r="S417" s="104"/>
      <c r="T417" s="104"/>
      <c r="U417" s="104"/>
      <c r="V417" s="104"/>
      <c r="W417" s="104"/>
      <c r="X417" s="104"/>
      <c r="Y417" s="104"/>
      <c r="Z417" s="104"/>
    </row>
    <row r="418">
      <c r="A418" s="103" t="s">
        <v>952</v>
      </c>
      <c r="B418" s="103"/>
      <c r="C418" s="103"/>
      <c r="D418" s="102">
        <v>1.0</v>
      </c>
      <c r="E418" s="102">
        <v>1.0</v>
      </c>
      <c r="F418" s="102">
        <v>1.0</v>
      </c>
      <c r="G418" s="102">
        <v>1.0</v>
      </c>
      <c r="H418" s="103"/>
      <c r="I418" s="103"/>
      <c r="J418" s="103"/>
      <c r="K418" s="103"/>
      <c r="L418" s="103"/>
      <c r="M418" s="104"/>
      <c r="N418" s="104"/>
      <c r="O418" s="104"/>
      <c r="P418" s="104"/>
      <c r="Q418" s="104"/>
      <c r="R418" s="104"/>
      <c r="S418" s="104"/>
      <c r="T418" s="104"/>
      <c r="U418" s="104"/>
      <c r="V418" s="104"/>
      <c r="W418" s="104"/>
      <c r="X418" s="104"/>
      <c r="Y418" s="104"/>
      <c r="Z418" s="104"/>
    </row>
    <row r="419">
      <c r="A419" s="103" t="s">
        <v>1291</v>
      </c>
      <c r="B419" s="103" t="s">
        <v>1630</v>
      </c>
      <c r="C419" s="103" t="s">
        <v>1645</v>
      </c>
      <c r="D419" s="103" t="s">
        <v>1646</v>
      </c>
      <c r="E419" s="103" t="s">
        <v>1647</v>
      </c>
      <c r="F419" s="103" t="s">
        <v>1648</v>
      </c>
      <c r="G419" s="103" t="s">
        <v>1649</v>
      </c>
      <c r="H419" s="103" t="s">
        <v>1650</v>
      </c>
      <c r="I419" s="103" t="s">
        <v>1631</v>
      </c>
      <c r="J419" s="103" t="s">
        <v>1651</v>
      </c>
      <c r="K419" s="103" t="s">
        <v>1634</v>
      </c>
      <c r="L419" s="103" t="s">
        <v>1426</v>
      </c>
      <c r="M419" s="104"/>
      <c r="N419" s="104"/>
      <c r="O419" s="104"/>
      <c r="P419" s="104"/>
      <c r="Q419" s="104"/>
      <c r="R419" s="104"/>
      <c r="S419" s="104"/>
      <c r="T419" s="104"/>
      <c r="U419" s="104"/>
      <c r="V419" s="104"/>
      <c r="W419" s="104"/>
      <c r="X419" s="104"/>
      <c r="Y419" s="104"/>
      <c r="Z419" s="104"/>
    </row>
    <row r="420">
      <c r="A420" s="103" t="s">
        <v>1281</v>
      </c>
      <c r="B420" s="103"/>
      <c r="C420" s="103"/>
      <c r="D420" s="102">
        <v>1.0</v>
      </c>
      <c r="E420" s="102">
        <v>1.0</v>
      </c>
      <c r="F420" s="102">
        <v>0.0</v>
      </c>
      <c r="G420" s="102">
        <v>1.0</v>
      </c>
      <c r="H420" s="103"/>
      <c r="I420" s="103"/>
      <c r="J420" s="103"/>
      <c r="K420" s="103"/>
      <c r="L420" s="103"/>
      <c r="M420" s="104"/>
      <c r="N420" s="104"/>
      <c r="O420" s="104"/>
      <c r="P420" s="104"/>
      <c r="Q420" s="104"/>
      <c r="R420" s="104"/>
      <c r="S420" s="104"/>
      <c r="T420" s="104"/>
      <c r="U420" s="104"/>
      <c r="V420" s="104"/>
      <c r="W420" s="104"/>
      <c r="X420" s="104"/>
      <c r="Y420" s="104"/>
      <c r="Z420" s="104"/>
    </row>
    <row r="421">
      <c r="A421" s="103" t="s">
        <v>1282</v>
      </c>
      <c r="B421" s="103"/>
      <c r="C421" s="103"/>
      <c r="D421" s="102">
        <v>1.0</v>
      </c>
      <c r="E421" s="102">
        <v>1.0</v>
      </c>
      <c r="F421" s="102">
        <v>0.0</v>
      </c>
      <c r="G421" s="102">
        <v>1.0</v>
      </c>
      <c r="H421" s="103"/>
      <c r="I421" s="103"/>
      <c r="J421" s="103"/>
      <c r="K421" s="103"/>
      <c r="L421" s="103"/>
      <c r="M421" s="104"/>
      <c r="N421" s="104"/>
      <c r="O421" s="104"/>
      <c r="P421" s="104"/>
      <c r="Q421" s="104"/>
      <c r="R421" s="104"/>
      <c r="S421" s="104"/>
      <c r="T421" s="104"/>
      <c r="U421" s="104"/>
      <c r="V421" s="104"/>
      <c r="W421" s="104"/>
      <c r="X421" s="104"/>
      <c r="Y421" s="104"/>
      <c r="Z421" s="104"/>
    </row>
    <row r="422">
      <c r="A422" s="103" t="s">
        <v>948</v>
      </c>
      <c r="B422" s="103"/>
      <c r="C422" s="103"/>
      <c r="D422" s="102">
        <v>1.0</v>
      </c>
      <c r="E422" s="102">
        <v>1.0</v>
      </c>
      <c r="F422" s="102">
        <v>0.0</v>
      </c>
      <c r="G422" s="102">
        <v>1.0</v>
      </c>
      <c r="H422" s="103"/>
      <c r="I422" s="103"/>
      <c r="J422" s="103"/>
      <c r="K422" s="103"/>
      <c r="L422" s="103"/>
      <c r="M422" s="104"/>
      <c r="N422" s="104"/>
      <c r="O422" s="104"/>
      <c r="P422" s="104"/>
      <c r="Q422" s="104"/>
      <c r="R422" s="104"/>
      <c r="S422" s="104"/>
      <c r="T422" s="104"/>
      <c r="U422" s="104"/>
      <c r="V422" s="104"/>
      <c r="W422" s="104"/>
      <c r="X422" s="104"/>
      <c r="Y422" s="104"/>
      <c r="Z422" s="104"/>
    </row>
    <row r="423">
      <c r="A423" s="103" t="s">
        <v>1283</v>
      </c>
      <c r="B423" s="103"/>
      <c r="C423" s="103"/>
      <c r="D423" s="102">
        <v>1.0</v>
      </c>
      <c r="E423" s="102">
        <v>1.0</v>
      </c>
      <c r="F423" s="102">
        <v>1.0</v>
      </c>
      <c r="G423" s="102">
        <v>1.0</v>
      </c>
      <c r="H423" s="103"/>
      <c r="I423" s="103"/>
      <c r="J423" s="103"/>
      <c r="K423" s="103"/>
      <c r="L423" s="103"/>
      <c r="M423" s="104"/>
      <c r="N423" s="104"/>
      <c r="O423" s="104"/>
      <c r="P423" s="104"/>
      <c r="Q423" s="104"/>
      <c r="R423" s="104"/>
      <c r="S423" s="104"/>
      <c r="T423" s="104"/>
      <c r="U423" s="104"/>
      <c r="V423" s="104"/>
      <c r="W423" s="104"/>
      <c r="X423" s="104"/>
      <c r="Y423" s="104"/>
      <c r="Z423" s="104"/>
    </row>
    <row r="424">
      <c r="A424" s="103" t="s">
        <v>950</v>
      </c>
      <c r="B424" s="103"/>
      <c r="C424" s="103"/>
      <c r="D424" s="102">
        <v>1.0</v>
      </c>
      <c r="E424" s="102">
        <v>1.0</v>
      </c>
      <c r="F424" s="102">
        <v>0.0</v>
      </c>
      <c r="G424" s="102">
        <v>1.0</v>
      </c>
      <c r="H424" s="103"/>
      <c r="I424" s="103"/>
      <c r="J424" s="103"/>
      <c r="K424" s="103"/>
      <c r="L424" s="103"/>
      <c r="M424" s="104"/>
      <c r="N424" s="104"/>
      <c r="O424" s="104"/>
      <c r="P424" s="104"/>
      <c r="Q424" s="104"/>
      <c r="R424" s="104"/>
      <c r="S424" s="104"/>
      <c r="T424" s="104"/>
      <c r="U424" s="104"/>
      <c r="V424" s="104"/>
      <c r="W424" s="104"/>
      <c r="X424" s="104"/>
      <c r="Y424" s="104"/>
      <c r="Z424" s="104"/>
    </row>
    <row r="425">
      <c r="A425" s="103" t="s">
        <v>951</v>
      </c>
      <c r="B425" s="103"/>
      <c r="C425" s="103"/>
      <c r="D425" s="102">
        <v>1.0</v>
      </c>
      <c r="E425" s="102">
        <v>1.0</v>
      </c>
      <c r="F425" s="102">
        <v>0.0</v>
      </c>
      <c r="G425" s="102">
        <v>1.0</v>
      </c>
      <c r="H425" s="103"/>
      <c r="I425" s="103"/>
      <c r="J425" s="103"/>
      <c r="K425" s="103"/>
      <c r="L425" s="103"/>
      <c r="M425" s="104"/>
      <c r="N425" s="104"/>
      <c r="O425" s="104"/>
      <c r="P425" s="104"/>
      <c r="Q425" s="104"/>
      <c r="R425" s="104"/>
      <c r="S425" s="104"/>
      <c r="T425" s="104"/>
      <c r="U425" s="104"/>
      <c r="V425" s="104"/>
      <c r="W425" s="104"/>
      <c r="X425" s="104"/>
      <c r="Y425" s="104"/>
      <c r="Z425" s="104"/>
    </row>
    <row r="426">
      <c r="A426" s="103" t="s">
        <v>952</v>
      </c>
      <c r="B426" s="103"/>
      <c r="C426" s="103"/>
      <c r="D426" s="102">
        <v>1.0</v>
      </c>
      <c r="E426" s="102">
        <v>1.0</v>
      </c>
      <c r="F426" s="102">
        <v>1.0</v>
      </c>
      <c r="G426" s="102">
        <v>1.0</v>
      </c>
      <c r="H426" s="103"/>
      <c r="I426" s="103"/>
      <c r="J426" s="103"/>
      <c r="K426" s="103"/>
      <c r="L426" s="103"/>
      <c r="M426" s="104"/>
      <c r="N426" s="104"/>
      <c r="O426" s="104"/>
      <c r="P426" s="104"/>
      <c r="Q426" s="104"/>
      <c r="R426" s="104"/>
      <c r="S426" s="104"/>
      <c r="T426" s="104"/>
      <c r="U426" s="104"/>
      <c r="V426" s="104"/>
      <c r="W426" s="104"/>
      <c r="X426" s="104"/>
      <c r="Y426" s="104"/>
      <c r="Z426" s="104"/>
    </row>
    <row r="427">
      <c r="A427" s="97" t="s">
        <v>1272</v>
      </c>
      <c r="B427" s="97"/>
      <c r="C427" s="97"/>
      <c r="D427" s="5" t="s">
        <v>2002</v>
      </c>
      <c r="E427" s="5" t="s">
        <v>2012</v>
      </c>
      <c r="F427" s="5" t="s">
        <v>1169</v>
      </c>
      <c r="G427" s="5" t="s">
        <v>2013</v>
      </c>
      <c r="H427" s="97"/>
      <c r="I427" s="97"/>
      <c r="J427" s="97"/>
      <c r="K427" s="97"/>
      <c r="L427" s="97"/>
    </row>
    <row r="428">
      <c r="A428" s="97" t="s">
        <v>1273</v>
      </c>
      <c r="B428" s="97" t="s">
        <v>1652</v>
      </c>
      <c r="C428" s="97" t="s">
        <v>1653</v>
      </c>
      <c r="D428" s="97" t="s">
        <v>1654</v>
      </c>
      <c r="E428" s="97" t="s">
        <v>1655</v>
      </c>
      <c r="F428" s="97" t="s">
        <v>1656</v>
      </c>
      <c r="G428" s="97" t="s">
        <v>1657</v>
      </c>
      <c r="H428" s="97" t="s">
        <v>1653</v>
      </c>
      <c r="I428" s="97" t="s">
        <v>1658</v>
      </c>
      <c r="J428" s="97" t="s">
        <v>1659</v>
      </c>
      <c r="K428" s="97" t="s">
        <v>1169</v>
      </c>
      <c r="L428" s="97" t="s">
        <v>1660</v>
      </c>
    </row>
    <row r="429">
      <c r="A429" s="97" t="s">
        <v>1281</v>
      </c>
      <c r="B429" s="97"/>
      <c r="C429" s="97"/>
      <c r="D429" s="107">
        <v>1.0</v>
      </c>
      <c r="E429" s="107">
        <v>1.0</v>
      </c>
      <c r="F429" s="107">
        <v>1.0</v>
      </c>
      <c r="G429" s="107">
        <v>1.0</v>
      </c>
      <c r="H429" s="97"/>
      <c r="I429" s="97"/>
      <c r="J429" s="97"/>
      <c r="K429" s="97"/>
      <c r="L429" s="97"/>
    </row>
    <row r="430">
      <c r="A430" s="97" t="s">
        <v>1282</v>
      </c>
      <c r="B430" s="97"/>
      <c r="C430" s="97"/>
      <c r="D430" s="107">
        <v>1.0</v>
      </c>
      <c r="E430" s="107">
        <v>1.0</v>
      </c>
      <c r="F430" s="107">
        <v>1.0</v>
      </c>
      <c r="G430" s="107">
        <v>1.0</v>
      </c>
      <c r="H430" s="97"/>
      <c r="I430" s="97"/>
      <c r="J430" s="97"/>
      <c r="K430" s="97"/>
      <c r="L430" s="97"/>
    </row>
    <row r="431">
      <c r="A431" s="97" t="s">
        <v>948</v>
      </c>
      <c r="B431" s="97"/>
      <c r="C431" s="97"/>
      <c r="D431" s="107">
        <v>1.0</v>
      </c>
      <c r="E431" s="107">
        <v>1.0</v>
      </c>
      <c r="F431" s="107">
        <v>1.0</v>
      </c>
      <c r="G431" s="107">
        <v>1.0</v>
      </c>
      <c r="H431" s="97"/>
      <c r="I431" s="97"/>
      <c r="J431" s="97"/>
      <c r="K431" s="97"/>
      <c r="L431" s="97"/>
    </row>
    <row r="432">
      <c r="A432" s="97" t="s">
        <v>1283</v>
      </c>
      <c r="B432" s="97"/>
      <c r="C432" s="97"/>
      <c r="D432" s="107">
        <v>1.0</v>
      </c>
      <c r="E432" s="107">
        <v>1.0</v>
      </c>
      <c r="F432" s="107">
        <v>1.0</v>
      </c>
      <c r="G432" s="107">
        <v>1.0</v>
      </c>
      <c r="H432" s="97"/>
      <c r="I432" s="97"/>
      <c r="J432" s="97"/>
      <c r="K432" s="97"/>
      <c r="L432" s="97"/>
    </row>
    <row r="433">
      <c r="A433" s="97" t="s">
        <v>950</v>
      </c>
      <c r="B433" s="97"/>
      <c r="C433" s="97"/>
      <c r="D433" s="107">
        <v>1.0</v>
      </c>
      <c r="E433" s="107">
        <v>0.0</v>
      </c>
      <c r="F433" s="107">
        <v>1.0</v>
      </c>
      <c r="G433" s="107">
        <v>1.0</v>
      </c>
      <c r="H433" s="97"/>
      <c r="I433" s="97"/>
      <c r="J433" s="97"/>
      <c r="K433" s="97"/>
      <c r="L433" s="97"/>
    </row>
    <row r="434">
      <c r="A434" s="97" t="s">
        <v>951</v>
      </c>
      <c r="B434" s="97"/>
      <c r="C434" s="97"/>
      <c r="D434" s="107">
        <v>1.0</v>
      </c>
      <c r="E434" s="107">
        <v>1.0</v>
      </c>
      <c r="F434" s="107">
        <v>1.0</v>
      </c>
      <c r="G434" s="107">
        <v>1.0</v>
      </c>
      <c r="H434" s="97"/>
      <c r="I434" s="97"/>
      <c r="J434" s="97"/>
      <c r="K434" s="97"/>
      <c r="L434" s="97"/>
    </row>
    <row r="435">
      <c r="A435" s="97" t="s">
        <v>952</v>
      </c>
      <c r="B435" s="97"/>
      <c r="C435" s="97"/>
      <c r="D435" s="107">
        <v>1.0</v>
      </c>
      <c r="E435" s="107">
        <v>1.0</v>
      </c>
      <c r="F435" s="107">
        <v>1.0</v>
      </c>
      <c r="G435" s="107">
        <v>1.0</v>
      </c>
      <c r="H435" s="97"/>
      <c r="I435" s="97"/>
      <c r="J435" s="97"/>
      <c r="K435" s="97"/>
      <c r="L435" s="97"/>
    </row>
    <row r="436">
      <c r="A436" s="97" t="s">
        <v>1284</v>
      </c>
      <c r="B436" s="97" t="s">
        <v>1652</v>
      </c>
      <c r="C436" s="97" t="s">
        <v>1661</v>
      </c>
      <c r="D436" s="97" t="s">
        <v>1662</v>
      </c>
      <c r="E436" s="97" t="s">
        <v>1663</v>
      </c>
      <c r="F436" s="97" t="s">
        <v>1332</v>
      </c>
      <c r="G436" s="97" t="s">
        <v>1664</v>
      </c>
      <c r="H436" s="97" t="s">
        <v>1665</v>
      </c>
      <c r="I436" s="97" t="s">
        <v>1666</v>
      </c>
      <c r="J436" s="97" t="s">
        <v>1667</v>
      </c>
      <c r="K436" s="97" t="s">
        <v>1332</v>
      </c>
      <c r="L436" s="97" t="s">
        <v>1668</v>
      </c>
    </row>
    <row r="437">
      <c r="A437" s="97" t="s">
        <v>1281</v>
      </c>
      <c r="B437" s="97"/>
      <c r="C437" s="97"/>
      <c r="D437" s="107">
        <v>1.0</v>
      </c>
      <c r="E437" s="107">
        <v>1.0</v>
      </c>
      <c r="F437" s="107">
        <v>1.0</v>
      </c>
      <c r="G437" s="107">
        <v>0.0</v>
      </c>
      <c r="H437" s="97"/>
      <c r="I437" s="97"/>
      <c r="J437" s="97"/>
      <c r="K437" s="97"/>
      <c r="L437" s="97"/>
    </row>
    <row r="438">
      <c r="A438" s="97" t="s">
        <v>1282</v>
      </c>
      <c r="B438" s="97"/>
      <c r="C438" s="97"/>
      <c r="D438" s="107">
        <v>1.0</v>
      </c>
      <c r="E438" s="107">
        <v>1.0</v>
      </c>
      <c r="F438" s="107">
        <v>1.0</v>
      </c>
      <c r="G438" s="107">
        <v>0.0</v>
      </c>
      <c r="H438" s="97"/>
      <c r="I438" s="97"/>
      <c r="J438" s="97"/>
      <c r="K438" s="97"/>
      <c r="L438" s="97"/>
    </row>
    <row r="439">
      <c r="A439" s="97" t="s">
        <v>948</v>
      </c>
      <c r="B439" s="97"/>
      <c r="C439" s="97"/>
      <c r="D439" s="107">
        <v>1.0</v>
      </c>
      <c r="E439" s="107">
        <v>1.0</v>
      </c>
      <c r="F439" s="107">
        <v>0.0</v>
      </c>
      <c r="G439" s="107">
        <v>1.0</v>
      </c>
      <c r="H439" s="97"/>
      <c r="I439" s="97"/>
      <c r="J439" s="97"/>
      <c r="K439" s="97"/>
      <c r="L439" s="97"/>
    </row>
    <row r="440">
      <c r="A440" s="97" t="s">
        <v>1283</v>
      </c>
      <c r="B440" s="97"/>
      <c r="C440" s="97"/>
      <c r="D440" s="107">
        <v>1.0</v>
      </c>
      <c r="E440" s="107">
        <v>1.0</v>
      </c>
      <c r="F440" s="107">
        <v>1.0</v>
      </c>
      <c r="G440" s="107">
        <v>1.0</v>
      </c>
      <c r="H440" s="97"/>
      <c r="I440" s="97"/>
      <c r="J440" s="97"/>
      <c r="K440" s="97"/>
      <c r="L440" s="97"/>
    </row>
    <row r="441">
      <c r="A441" s="97" t="s">
        <v>950</v>
      </c>
      <c r="B441" s="97"/>
      <c r="C441" s="97"/>
      <c r="D441" s="107">
        <v>1.0</v>
      </c>
      <c r="E441" s="107">
        <v>1.0</v>
      </c>
      <c r="F441" s="107">
        <v>1.0</v>
      </c>
      <c r="G441" s="107">
        <v>0.0</v>
      </c>
      <c r="H441" s="97"/>
      <c r="I441" s="97"/>
      <c r="J441" s="97"/>
      <c r="K441" s="97"/>
      <c r="L441" s="97"/>
    </row>
    <row r="442">
      <c r="A442" s="97" t="s">
        <v>951</v>
      </c>
      <c r="B442" s="97"/>
      <c r="C442" s="97"/>
      <c r="D442" s="107">
        <v>1.0</v>
      </c>
      <c r="E442" s="107">
        <v>1.0</v>
      </c>
      <c r="F442" s="107">
        <v>1.0</v>
      </c>
      <c r="G442" s="107">
        <v>1.0</v>
      </c>
      <c r="H442" s="97"/>
      <c r="I442" s="97"/>
      <c r="J442" s="97"/>
      <c r="K442" s="97"/>
      <c r="L442" s="97"/>
    </row>
    <row r="443">
      <c r="A443" s="97" t="s">
        <v>952</v>
      </c>
      <c r="B443" s="97"/>
      <c r="C443" s="97"/>
      <c r="D443" s="107">
        <v>1.0</v>
      </c>
      <c r="E443" s="107">
        <v>1.0</v>
      </c>
      <c r="F443" s="107">
        <v>1.0</v>
      </c>
      <c r="G443" s="107">
        <v>1.0</v>
      </c>
      <c r="H443" s="97"/>
      <c r="I443" s="97"/>
      <c r="J443" s="97"/>
      <c r="K443" s="97"/>
      <c r="L443" s="97"/>
    </row>
    <row r="444">
      <c r="A444" s="97" t="s">
        <v>1291</v>
      </c>
      <c r="B444" s="97" t="s">
        <v>1652</v>
      </c>
      <c r="C444" s="97" t="s">
        <v>1669</v>
      </c>
      <c r="D444" s="97" t="s">
        <v>1670</v>
      </c>
      <c r="E444" s="97" t="s">
        <v>1671</v>
      </c>
      <c r="F444" s="97" t="s">
        <v>1169</v>
      </c>
      <c r="G444" s="97" t="s">
        <v>1672</v>
      </c>
      <c r="H444" s="97" t="s">
        <v>1673</v>
      </c>
      <c r="I444" s="97" t="s">
        <v>1674</v>
      </c>
      <c r="J444" s="97" t="s">
        <v>1659</v>
      </c>
      <c r="K444" s="97" t="s">
        <v>1169</v>
      </c>
      <c r="L444" s="97" t="s">
        <v>1675</v>
      </c>
    </row>
    <row r="445">
      <c r="A445" s="97" t="s">
        <v>1281</v>
      </c>
      <c r="B445" s="97"/>
      <c r="C445" s="97"/>
      <c r="D445" s="107">
        <v>1.0</v>
      </c>
      <c r="E445" s="107">
        <v>1.0</v>
      </c>
      <c r="F445" s="107">
        <v>1.0</v>
      </c>
      <c r="G445" s="107">
        <v>1.0</v>
      </c>
      <c r="H445" s="97"/>
      <c r="I445" s="97"/>
      <c r="J445" s="97"/>
      <c r="K445" s="97"/>
      <c r="L445" s="97"/>
    </row>
    <row r="446">
      <c r="A446" s="97" t="s">
        <v>1282</v>
      </c>
      <c r="B446" s="97"/>
      <c r="C446" s="97"/>
      <c r="D446" s="107">
        <v>1.0</v>
      </c>
      <c r="E446" s="107">
        <v>1.0</v>
      </c>
      <c r="F446" s="107">
        <v>1.0</v>
      </c>
      <c r="G446" s="107">
        <v>1.0</v>
      </c>
      <c r="H446" s="97"/>
      <c r="I446" s="97"/>
      <c r="J446" s="97"/>
      <c r="K446" s="97"/>
      <c r="L446" s="97"/>
    </row>
    <row r="447">
      <c r="A447" s="97" t="s">
        <v>948</v>
      </c>
      <c r="B447" s="97"/>
      <c r="C447" s="97"/>
      <c r="D447" s="107">
        <v>1.0</v>
      </c>
      <c r="E447" s="107">
        <v>1.0</v>
      </c>
      <c r="F447" s="107">
        <v>1.0</v>
      </c>
      <c r="G447" s="107">
        <v>1.0</v>
      </c>
      <c r="H447" s="97"/>
      <c r="I447" s="97"/>
      <c r="J447" s="97"/>
      <c r="K447" s="97"/>
      <c r="L447" s="97"/>
    </row>
    <row r="448">
      <c r="A448" s="97" t="s">
        <v>1283</v>
      </c>
      <c r="B448" s="97"/>
      <c r="C448" s="97"/>
      <c r="D448" s="107">
        <v>1.0</v>
      </c>
      <c r="E448" s="107">
        <v>1.0</v>
      </c>
      <c r="F448" s="107">
        <v>1.0</v>
      </c>
      <c r="G448" s="107">
        <v>1.0</v>
      </c>
      <c r="H448" s="97"/>
      <c r="I448" s="97"/>
      <c r="J448" s="97"/>
      <c r="K448" s="97"/>
      <c r="L448" s="97"/>
    </row>
    <row r="449">
      <c r="A449" s="97" t="s">
        <v>950</v>
      </c>
      <c r="B449" s="97"/>
      <c r="C449" s="97"/>
      <c r="D449" s="107">
        <v>1.0</v>
      </c>
      <c r="E449" s="107">
        <v>0.0</v>
      </c>
      <c r="F449" s="107">
        <v>1.0</v>
      </c>
      <c r="G449" s="107">
        <v>1.0</v>
      </c>
      <c r="H449" s="97"/>
      <c r="I449" s="97"/>
      <c r="J449" s="97"/>
      <c r="K449" s="97"/>
      <c r="L449" s="97"/>
    </row>
    <row r="450">
      <c r="A450" s="97" t="s">
        <v>951</v>
      </c>
      <c r="B450" s="97"/>
      <c r="C450" s="97"/>
      <c r="D450" s="107">
        <v>1.0</v>
      </c>
      <c r="E450" s="107">
        <v>1.0</v>
      </c>
      <c r="F450" s="107">
        <v>1.0</v>
      </c>
      <c r="G450" s="107">
        <v>1.0</v>
      </c>
      <c r="H450" s="97"/>
      <c r="I450" s="97"/>
      <c r="J450" s="97"/>
      <c r="K450" s="97"/>
      <c r="L450" s="97"/>
    </row>
    <row r="451">
      <c r="A451" s="97" t="s">
        <v>952</v>
      </c>
      <c r="B451" s="97"/>
      <c r="C451" s="97"/>
      <c r="D451" s="107">
        <v>1.0</v>
      </c>
      <c r="E451" s="107">
        <v>1.0</v>
      </c>
      <c r="F451" s="107">
        <v>1.0</v>
      </c>
      <c r="G451" s="107">
        <v>1.0</v>
      </c>
      <c r="H451" s="97"/>
      <c r="I451" s="97"/>
      <c r="J451" s="97"/>
      <c r="K451" s="97"/>
      <c r="L451" s="97"/>
    </row>
    <row r="452">
      <c r="A452" s="97" t="s">
        <v>1272</v>
      </c>
      <c r="B452" s="97"/>
      <c r="C452" s="97"/>
      <c r="D452" s="59" t="s">
        <v>1694</v>
      </c>
      <c r="E452" s="59" t="s">
        <v>2018</v>
      </c>
      <c r="F452" s="59" t="s">
        <v>1019</v>
      </c>
      <c r="G452" s="59" t="s">
        <v>2019</v>
      </c>
      <c r="H452" s="97"/>
      <c r="I452" s="97"/>
      <c r="J452" s="97"/>
      <c r="K452" s="97"/>
      <c r="L452" s="97"/>
    </row>
    <row r="453">
      <c r="A453" s="97" t="s">
        <v>1273</v>
      </c>
      <c r="B453" s="97" t="s">
        <v>1676</v>
      </c>
      <c r="C453" s="97" t="s">
        <v>1653</v>
      </c>
      <c r="D453" s="97" t="s">
        <v>1677</v>
      </c>
      <c r="E453" s="97" t="s">
        <v>1678</v>
      </c>
      <c r="F453" s="97" t="s">
        <v>1679</v>
      </c>
      <c r="G453" s="97" t="s">
        <v>1680</v>
      </c>
      <c r="H453" s="97" t="s">
        <v>1653</v>
      </c>
      <c r="I453" s="97" t="s">
        <v>1681</v>
      </c>
      <c r="J453" s="97" t="s">
        <v>1395</v>
      </c>
      <c r="K453" s="97" t="s">
        <v>1679</v>
      </c>
      <c r="L453" s="97" t="s">
        <v>1682</v>
      </c>
    </row>
    <row r="454">
      <c r="A454" s="97" t="s">
        <v>1281</v>
      </c>
      <c r="B454" s="97"/>
      <c r="C454" s="97"/>
      <c r="D454" s="107">
        <v>1.0</v>
      </c>
      <c r="E454" s="107">
        <v>1.0</v>
      </c>
      <c r="F454" s="107">
        <v>1.0</v>
      </c>
      <c r="G454" s="107">
        <v>1.0</v>
      </c>
      <c r="H454" s="97"/>
      <c r="I454" s="97"/>
      <c r="J454" s="97"/>
      <c r="K454" s="97"/>
      <c r="L454" s="97"/>
    </row>
    <row r="455">
      <c r="A455" s="97" t="s">
        <v>1282</v>
      </c>
      <c r="B455" s="97"/>
      <c r="C455" s="97"/>
      <c r="D455" s="107">
        <v>1.0</v>
      </c>
      <c r="E455" s="107">
        <v>1.0</v>
      </c>
      <c r="F455" s="107">
        <v>1.0</v>
      </c>
      <c r="G455" s="107">
        <v>1.0</v>
      </c>
      <c r="H455" s="97"/>
      <c r="I455" s="97"/>
      <c r="J455" s="97"/>
      <c r="K455" s="97"/>
      <c r="L455" s="97"/>
    </row>
    <row r="456">
      <c r="A456" s="97" t="s">
        <v>948</v>
      </c>
      <c r="B456" s="97"/>
      <c r="C456" s="97"/>
      <c r="D456" s="107">
        <v>1.0</v>
      </c>
      <c r="E456" s="107">
        <v>1.0</v>
      </c>
      <c r="F456" s="107">
        <v>1.0</v>
      </c>
      <c r="G456" s="107">
        <v>1.0</v>
      </c>
      <c r="H456" s="97"/>
      <c r="I456" s="97"/>
      <c r="J456" s="97"/>
      <c r="K456" s="97"/>
      <c r="L456" s="97"/>
    </row>
    <row r="457">
      <c r="A457" s="97" t="s">
        <v>1283</v>
      </c>
      <c r="B457" s="97"/>
      <c r="C457" s="97"/>
      <c r="D457" s="107">
        <v>1.0</v>
      </c>
      <c r="E457" s="107">
        <v>1.0</v>
      </c>
      <c r="F457" s="107">
        <v>1.0</v>
      </c>
      <c r="G457" s="107">
        <v>1.0</v>
      </c>
      <c r="H457" s="97"/>
      <c r="I457" s="97"/>
      <c r="J457" s="97"/>
      <c r="K457" s="97"/>
      <c r="L457" s="97"/>
    </row>
    <row r="458">
      <c r="A458" s="97" t="s">
        <v>950</v>
      </c>
      <c r="B458" s="97"/>
      <c r="C458" s="97"/>
      <c r="D458" s="107">
        <v>0.0</v>
      </c>
      <c r="E458" s="107">
        <v>1.0</v>
      </c>
      <c r="F458" s="107">
        <v>0.0</v>
      </c>
      <c r="G458" s="107">
        <v>0.0</v>
      </c>
      <c r="H458" s="97"/>
      <c r="I458" s="97"/>
      <c r="J458" s="97"/>
      <c r="K458" s="97"/>
      <c r="L458" s="97"/>
    </row>
    <row r="459">
      <c r="A459" s="97" t="s">
        <v>951</v>
      </c>
      <c r="B459" s="97"/>
      <c r="C459" s="97"/>
      <c r="D459" s="107">
        <v>1.0</v>
      </c>
      <c r="E459" s="107">
        <v>1.0</v>
      </c>
      <c r="F459" s="107">
        <v>1.0</v>
      </c>
      <c r="G459" s="107">
        <v>1.0</v>
      </c>
      <c r="H459" s="97"/>
      <c r="I459" s="97"/>
      <c r="J459" s="97"/>
      <c r="K459" s="97"/>
      <c r="L459" s="97"/>
    </row>
    <row r="460">
      <c r="A460" s="97" t="s">
        <v>952</v>
      </c>
      <c r="B460" s="97"/>
      <c r="C460" s="97"/>
      <c r="D460" s="107">
        <v>1.0</v>
      </c>
      <c r="E460" s="107">
        <v>1.0</v>
      </c>
      <c r="F460" s="107">
        <v>1.0</v>
      </c>
      <c r="G460" s="107">
        <v>1.0</v>
      </c>
      <c r="H460" s="97"/>
      <c r="I460" s="97"/>
      <c r="J460" s="97"/>
      <c r="K460" s="97"/>
      <c r="L460" s="97"/>
    </row>
    <row r="461">
      <c r="A461" s="97" t="s">
        <v>1284</v>
      </c>
      <c r="B461" s="97" t="s">
        <v>1676</v>
      </c>
      <c r="C461" s="97" t="s">
        <v>1683</v>
      </c>
      <c r="D461" s="97" t="s">
        <v>1684</v>
      </c>
      <c r="E461" s="97" t="s">
        <v>1685</v>
      </c>
      <c r="F461" s="97" t="s">
        <v>1332</v>
      </c>
      <c r="G461" s="97" t="s">
        <v>1686</v>
      </c>
      <c r="H461" s="97" t="s">
        <v>1687</v>
      </c>
      <c r="I461" s="97" t="s">
        <v>1688</v>
      </c>
      <c r="J461" s="97" t="s">
        <v>1395</v>
      </c>
      <c r="K461" s="97" t="s">
        <v>1332</v>
      </c>
      <c r="L461" s="97" t="s">
        <v>1021</v>
      </c>
    </row>
    <row r="462">
      <c r="A462" s="97" t="s">
        <v>1281</v>
      </c>
      <c r="B462" s="97"/>
      <c r="C462" s="97"/>
      <c r="D462" s="107">
        <v>1.0</v>
      </c>
      <c r="E462" s="107">
        <v>1.0</v>
      </c>
      <c r="F462" s="107">
        <v>1.0</v>
      </c>
      <c r="G462" s="107">
        <v>1.0</v>
      </c>
      <c r="H462" s="97"/>
      <c r="I462" s="97"/>
      <c r="J462" s="97"/>
      <c r="K462" s="97"/>
      <c r="L462" s="97"/>
    </row>
    <row r="463">
      <c r="A463" s="97" t="s">
        <v>1282</v>
      </c>
      <c r="B463" s="97"/>
      <c r="C463" s="97"/>
      <c r="D463" s="107">
        <v>1.0</v>
      </c>
      <c r="E463" s="107">
        <v>1.0</v>
      </c>
      <c r="F463" s="107">
        <v>1.0</v>
      </c>
      <c r="G463" s="107">
        <v>1.0</v>
      </c>
      <c r="H463" s="97"/>
      <c r="I463" s="97"/>
      <c r="J463" s="97"/>
      <c r="K463" s="97"/>
      <c r="L463" s="97"/>
    </row>
    <row r="464">
      <c r="A464" s="97" t="s">
        <v>948</v>
      </c>
      <c r="B464" s="97"/>
      <c r="C464" s="97"/>
      <c r="D464" s="107">
        <v>1.0</v>
      </c>
      <c r="E464" s="107">
        <v>1.0</v>
      </c>
      <c r="F464" s="107">
        <v>1.0</v>
      </c>
      <c r="G464" s="107">
        <v>1.0</v>
      </c>
      <c r="H464" s="97"/>
      <c r="I464" s="97"/>
      <c r="J464" s="97"/>
      <c r="K464" s="97"/>
      <c r="L464" s="97"/>
    </row>
    <row r="465">
      <c r="A465" s="97" t="s">
        <v>1283</v>
      </c>
      <c r="B465" s="97"/>
      <c r="C465" s="97"/>
      <c r="D465" s="107">
        <v>1.0</v>
      </c>
      <c r="E465" s="107">
        <v>1.0</v>
      </c>
      <c r="F465" s="107">
        <v>1.0</v>
      </c>
      <c r="G465" s="107">
        <v>1.0</v>
      </c>
      <c r="H465" s="97"/>
      <c r="I465" s="97"/>
      <c r="J465" s="97"/>
      <c r="K465" s="97"/>
      <c r="L465" s="97"/>
    </row>
    <row r="466">
      <c r="A466" s="97" t="s">
        <v>950</v>
      </c>
      <c r="B466" s="97"/>
      <c r="C466" s="97"/>
      <c r="D466" s="107">
        <v>1.0</v>
      </c>
      <c r="E466" s="107">
        <v>1.0</v>
      </c>
      <c r="F466" s="107">
        <v>1.0</v>
      </c>
      <c r="G466" s="107">
        <v>0.0</v>
      </c>
      <c r="H466" s="97"/>
      <c r="I466" s="97"/>
      <c r="J466" s="97"/>
      <c r="K466" s="97"/>
      <c r="L466" s="97"/>
    </row>
    <row r="467">
      <c r="A467" s="97" t="s">
        <v>951</v>
      </c>
      <c r="B467" s="97"/>
      <c r="C467" s="97"/>
      <c r="D467" s="107">
        <v>1.0</v>
      </c>
      <c r="E467" s="107">
        <v>1.0</v>
      </c>
      <c r="F467" s="107">
        <v>1.0</v>
      </c>
      <c r="G467" s="107">
        <v>1.0</v>
      </c>
      <c r="H467" s="97"/>
      <c r="I467" s="97"/>
      <c r="J467" s="97"/>
      <c r="K467" s="97"/>
      <c r="L467" s="97"/>
    </row>
    <row r="468">
      <c r="A468" s="97" t="s">
        <v>952</v>
      </c>
      <c r="B468" s="97"/>
      <c r="C468" s="97"/>
      <c r="D468" s="107">
        <v>1.0</v>
      </c>
      <c r="E468" s="107">
        <v>1.0</v>
      </c>
      <c r="F468" s="107">
        <v>1.0</v>
      </c>
      <c r="G468" s="107">
        <v>1.0</v>
      </c>
      <c r="H468" s="97"/>
      <c r="I468" s="97"/>
      <c r="J468" s="97"/>
      <c r="K468" s="97"/>
      <c r="L468" s="97"/>
    </row>
    <row r="469">
      <c r="A469" s="97" t="s">
        <v>1291</v>
      </c>
      <c r="B469" s="97" t="s">
        <v>1676</v>
      </c>
      <c r="C469" s="97" t="s">
        <v>1689</v>
      </c>
      <c r="D469" s="97" t="s">
        <v>1690</v>
      </c>
      <c r="E469" s="97" t="s">
        <v>1691</v>
      </c>
      <c r="F469" s="97" t="s">
        <v>1692</v>
      </c>
      <c r="G469" s="97" t="s">
        <v>1693</v>
      </c>
      <c r="H469" s="97" t="s">
        <v>1694</v>
      </c>
      <c r="I469" s="97" t="s">
        <v>1695</v>
      </c>
      <c r="J469" s="97" t="s">
        <v>1395</v>
      </c>
      <c r="K469" s="97" t="s">
        <v>1679</v>
      </c>
      <c r="L469" s="97" t="s">
        <v>1021</v>
      </c>
    </row>
    <row r="470">
      <c r="A470" s="97" t="s">
        <v>1281</v>
      </c>
      <c r="B470" s="97"/>
      <c r="C470" s="97"/>
      <c r="D470" s="107">
        <v>1.0</v>
      </c>
      <c r="E470" s="107">
        <v>1.0</v>
      </c>
      <c r="F470" s="107">
        <v>1.0</v>
      </c>
      <c r="G470" s="107">
        <v>1.0</v>
      </c>
      <c r="H470" s="97"/>
      <c r="I470" s="97"/>
      <c r="J470" s="97"/>
      <c r="K470" s="97"/>
      <c r="L470" s="97"/>
    </row>
    <row r="471">
      <c r="A471" s="97" t="s">
        <v>1282</v>
      </c>
      <c r="B471" s="97"/>
      <c r="C471" s="97"/>
      <c r="D471" s="107">
        <v>1.0</v>
      </c>
      <c r="E471" s="107">
        <v>1.0</v>
      </c>
      <c r="F471" s="107">
        <v>1.0</v>
      </c>
      <c r="G471" s="107">
        <v>1.0</v>
      </c>
      <c r="H471" s="97"/>
      <c r="I471" s="97"/>
      <c r="J471" s="97"/>
      <c r="K471" s="97"/>
      <c r="L471" s="97"/>
    </row>
    <row r="472">
      <c r="A472" s="97" t="s">
        <v>948</v>
      </c>
      <c r="B472" s="97"/>
      <c r="C472" s="97"/>
      <c r="D472" s="107">
        <v>1.0</v>
      </c>
      <c r="E472" s="107">
        <v>1.0</v>
      </c>
      <c r="F472" s="107">
        <v>1.0</v>
      </c>
      <c r="G472" s="107">
        <v>1.0</v>
      </c>
      <c r="H472" s="97"/>
      <c r="I472" s="97"/>
      <c r="J472" s="97"/>
      <c r="K472" s="97"/>
      <c r="L472" s="97"/>
    </row>
    <row r="473">
      <c r="A473" s="97" t="s">
        <v>1283</v>
      </c>
      <c r="B473" s="97"/>
      <c r="C473" s="97"/>
      <c r="D473" s="107">
        <v>1.0</v>
      </c>
      <c r="E473" s="107">
        <v>1.0</v>
      </c>
      <c r="F473" s="107">
        <v>1.0</v>
      </c>
      <c r="G473" s="107">
        <v>1.0</v>
      </c>
      <c r="H473" s="97"/>
      <c r="I473" s="97"/>
      <c r="J473" s="97"/>
      <c r="K473" s="97"/>
      <c r="L473" s="97"/>
    </row>
    <row r="474">
      <c r="A474" s="97" t="s">
        <v>950</v>
      </c>
      <c r="B474" s="97"/>
      <c r="C474" s="97"/>
      <c r="D474" s="107">
        <v>1.0</v>
      </c>
      <c r="E474" s="107">
        <v>1.0</v>
      </c>
      <c r="F474" s="107">
        <v>0.0</v>
      </c>
      <c r="G474" s="107">
        <v>0.0</v>
      </c>
      <c r="H474" s="97"/>
      <c r="I474" s="97"/>
      <c r="J474" s="97"/>
      <c r="K474" s="97"/>
      <c r="L474" s="97"/>
    </row>
    <row r="475">
      <c r="A475" s="97" t="s">
        <v>951</v>
      </c>
      <c r="B475" s="97"/>
      <c r="C475" s="97"/>
      <c r="D475" s="107">
        <v>1.0</v>
      </c>
      <c r="E475" s="107">
        <v>1.0</v>
      </c>
      <c r="F475" s="107">
        <v>1.0</v>
      </c>
      <c r="G475" s="107">
        <v>1.0</v>
      </c>
      <c r="H475" s="97"/>
      <c r="I475" s="97"/>
      <c r="J475" s="97"/>
      <c r="K475" s="97"/>
      <c r="L475" s="97"/>
    </row>
    <row r="476">
      <c r="A476" s="97" t="s">
        <v>952</v>
      </c>
      <c r="B476" s="97"/>
      <c r="C476" s="97"/>
      <c r="D476" s="107">
        <v>1.0</v>
      </c>
      <c r="E476" s="107">
        <v>1.0</v>
      </c>
      <c r="F476" s="107">
        <v>1.0</v>
      </c>
      <c r="G476" s="107">
        <v>1.0</v>
      </c>
      <c r="H476" s="97"/>
      <c r="I476" s="97"/>
      <c r="J476" s="97"/>
      <c r="K476" s="97"/>
      <c r="L476" s="97"/>
    </row>
    <row r="477">
      <c r="A477" s="97" t="s">
        <v>1272</v>
      </c>
      <c r="B477" s="97"/>
      <c r="C477" s="97"/>
      <c r="D477" s="5" t="s">
        <v>2024</v>
      </c>
      <c r="E477" s="5" t="s">
        <v>2025</v>
      </c>
      <c r="F477" s="5" t="s">
        <v>1019</v>
      </c>
      <c r="G477" s="5" t="s">
        <v>2026</v>
      </c>
      <c r="H477" s="97"/>
      <c r="I477" s="97"/>
      <c r="J477" s="97"/>
      <c r="K477" s="97"/>
      <c r="L477" s="97"/>
    </row>
    <row r="478">
      <c r="A478" s="97" t="s">
        <v>1273</v>
      </c>
      <c r="B478" s="97" t="s">
        <v>1697</v>
      </c>
      <c r="C478" s="97" t="s">
        <v>1698</v>
      </c>
      <c r="D478" s="97" t="s">
        <v>1699</v>
      </c>
      <c r="E478" s="97" t="s">
        <v>1700</v>
      </c>
      <c r="F478" s="97" t="s">
        <v>1392</v>
      </c>
      <c r="G478" s="97" t="s">
        <v>1701</v>
      </c>
      <c r="H478" s="97" t="s">
        <v>1187</v>
      </c>
      <c r="I478" s="97" t="s">
        <v>1702</v>
      </c>
      <c r="J478" s="97" t="s">
        <v>1703</v>
      </c>
      <c r="K478" s="97" t="s">
        <v>1392</v>
      </c>
      <c r="L478" s="97" t="s">
        <v>1704</v>
      </c>
    </row>
    <row r="479">
      <c r="A479" s="97" t="s">
        <v>1281</v>
      </c>
      <c r="B479" s="97"/>
      <c r="C479" s="97"/>
      <c r="D479" s="107">
        <v>1.0</v>
      </c>
      <c r="E479" s="107">
        <v>0.0</v>
      </c>
      <c r="F479" s="107">
        <v>0.0</v>
      </c>
      <c r="G479" s="107">
        <v>1.0</v>
      </c>
      <c r="H479" s="97"/>
      <c r="I479" s="97"/>
      <c r="J479" s="97"/>
      <c r="K479" s="97"/>
      <c r="L479" s="97"/>
    </row>
    <row r="480">
      <c r="A480" s="97" t="s">
        <v>1282</v>
      </c>
      <c r="B480" s="97"/>
      <c r="C480" s="97"/>
      <c r="D480" s="107">
        <v>1.0</v>
      </c>
      <c r="E480" s="107">
        <v>1.0</v>
      </c>
      <c r="F480" s="107">
        <v>0.0</v>
      </c>
      <c r="G480" s="107">
        <v>0.0</v>
      </c>
      <c r="H480" s="97"/>
      <c r="I480" s="97"/>
      <c r="J480" s="97"/>
      <c r="K480" s="97"/>
      <c r="L480" s="97"/>
    </row>
    <row r="481">
      <c r="A481" s="97" t="s">
        <v>948</v>
      </c>
      <c r="B481" s="97"/>
      <c r="C481" s="97"/>
      <c r="D481" s="107">
        <v>1.0</v>
      </c>
      <c r="E481" s="107">
        <v>0.0</v>
      </c>
      <c r="F481" s="107">
        <v>1.0</v>
      </c>
      <c r="G481" s="107">
        <v>0.0</v>
      </c>
      <c r="H481" s="97"/>
      <c r="I481" s="97"/>
      <c r="J481" s="97"/>
      <c r="K481" s="97"/>
      <c r="L481" s="97"/>
    </row>
    <row r="482">
      <c r="A482" s="97" t="s">
        <v>1283</v>
      </c>
      <c r="B482" s="97"/>
      <c r="C482" s="97"/>
      <c r="D482" s="107">
        <v>1.0</v>
      </c>
      <c r="E482" s="107">
        <v>1.0</v>
      </c>
      <c r="F482" s="107">
        <v>1.0</v>
      </c>
      <c r="G482" s="107">
        <v>1.0</v>
      </c>
      <c r="H482" s="97"/>
      <c r="I482" s="97"/>
      <c r="J482" s="97"/>
      <c r="K482" s="97"/>
      <c r="L482" s="97"/>
    </row>
    <row r="483">
      <c r="A483" s="97" t="s">
        <v>950</v>
      </c>
      <c r="B483" s="97"/>
      <c r="C483" s="97"/>
      <c r="D483" s="107">
        <v>1.0</v>
      </c>
      <c r="E483" s="107">
        <v>0.0</v>
      </c>
      <c r="F483" s="107">
        <v>1.0</v>
      </c>
      <c r="G483" s="107">
        <v>0.0</v>
      </c>
      <c r="H483" s="97"/>
      <c r="I483" s="97"/>
      <c r="J483" s="97"/>
      <c r="K483" s="97"/>
      <c r="L483" s="97"/>
    </row>
    <row r="484">
      <c r="A484" s="97" t="s">
        <v>951</v>
      </c>
      <c r="B484" s="97"/>
      <c r="C484" s="97"/>
      <c r="D484" s="107">
        <v>1.0</v>
      </c>
      <c r="E484" s="107">
        <v>0.0</v>
      </c>
      <c r="F484" s="107">
        <v>0.0</v>
      </c>
      <c r="G484" s="107">
        <v>1.0</v>
      </c>
      <c r="H484" s="97"/>
      <c r="I484" s="97"/>
      <c r="J484" s="97"/>
      <c r="K484" s="97"/>
      <c r="L484" s="97"/>
    </row>
    <row r="485">
      <c r="A485" s="97" t="s">
        <v>952</v>
      </c>
      <c r="B485" s="97"/>
      <c r="C485" s="97"/>
      <c r="D485" s="107">
        <v>1.0</v>
      </c>
      <c r="E485" s="107">
        <v>1.0</v>
      </c>
      <c r="F485" s="107">
        <v>1.0</v>
      </c>
      <c r="G485" s="107">
        <v>1.0</v>
      </c>
      <c r="H485" s="97"/>
      <c r="I485" s="97"/>
      <c r="J485" s="97"/>
      <c r="K485" s="97"/>
      <c r="L485" s="97"/>
    </row>
    <row r="486">
      <c r="A486" s="97" t="s">
        <v>1284</v>
      </c>
      <c r="B486" s="97" t="s">
        <v>1697</v>
      </c>
      <c r="C486" s="97" t="s">
        <v>1705</v>
      </c>
      <c r="D486" s="97" t="s">
        <v>1706</v>
      </c>
      <c r="E486" s="97" t="s">
        <v>1707</v>
      </c>
      <c r="F486" s="97" t="s">
        <v>1708</v>
      </c>
      <c r="G486" s="97" t="s">
        <v>1709</v>
      </c>
      <c r="H486" s="97" t="s">
        <v>1187</v>
      </c>
      <c r="I486" s="97" t="s">
        <v>1551</v>
      </c>
      <c r="J486" s="97" t="s">
        <v>1710</v>
      </c>
      <c r="K486" s="97" t="s">
        <v>1019</v>
      </c>
      <c r="L486" s="97" t="s">
        <v>1711</v>
      </c>
    </row>
    <row r="487">
      <c r="A487" s="97" t="s">
        <v>1281</v>
      </c>
      <c r="B487" s="97"/>
      <c r="C487" s="97"/>
      <c r="D487" s="107">
        <v>1.0</v>
      </c>
      <c r="E487" s="107">
        <v>1.0</v>
      </c>
      <c r="F487" s="107">
        <v>1.0</v>
      </c>
      <c r="G487" s="107">
        <v>1.0</v>
      </c>
      <c r="H487" s="97"/>
      <c r="I487" s="97"/>
      <c r="J487" s="97"/>
      <c r="K487" s="97"/>
      <c r="L487" s="97"/>
    </row>
    <row r="488">
      <c r="A488" s="97" t="s">
        <v>1282</v>
      </c>
      <c r="B488" s="97"/>
      <c r="C488" s="97"/>
      <c r="D488" s="107">
        <v>1.0</v>
      </c>
      <c r="E488" s="107">
        <v>1.0</v>
      </c>
      <c r="F488" s="107">
        <v>1.0</v>
      </c>
      <c r="G488" s="107">
        <v>1.0</v>
      </c>
      <c r="H488" s="97"/>
      <c r="I488" s="97"/>
      <c r="J488" s="97"/>
      <c r="K488" s="97"/>
      <c r="L488" s="97"/>
    </row>
    <row r="489">
      <c r="A489" s="97" t="s">
        <v>948</v>
      </c>
      <c r="B489" s="97"/>
      <c r="C489" s="97"/>
      <c r="D489" s="107">
        <v>1.0</v>
      </c>
      <c r="E489" s="107">
        <v>0.0</v>
      </c>
      <c r="F489" s="107">
        <v>1.0</v>
      </c>
      <c r="G489" s="107">
        <v>1.0</v>
      </c>
      <c r="H489" s="97"/>
      <c r="I489" s="97"/>
      <c r="J489" s="97"/>
      <c r="K489" s="97"/>
      <c r="L489" s="97"/>
    </row>
    <row r="490">
      <c r="A490" s="97" t="s">
        <v>1283</v>
      </c>
      <c r="B490" s="97"/>
      <c r="C490" s="97"/>
      <c r="D490" s="107">
        <v>1.0</v>
      </c>
      <c r="E490" s="107">
        <v>1.0</v>
      </c>
      <c r="F490" s="107">
        <v>1.0</v>
      </c>
      <c r="G490" s="107">
        <v>1.0</v>
      </c>
      <c r="H490" s="97"/>
      <c r="I490" s="97"/>
      <c r="J490" s="97"/>
      <c r="K490" s="97"/>
      <c r="L490" s="97"/>
    </row>
    <row r="491">
      <c r="A491" s="97" t="s">
        <v>950</v>
      </c>
      <c r="B491" s="97"/>
      <c r="C491" s="97"/>
      <c r="D491" s="107">
        <v>1.0</v>
      </c>
      <c r="E491" s="107">
        <v>0.0</v>
      </c>
      <c r="F491" s="107">
        <v>1.0</v>
      </c>
      <c r="G491" s="107">
        <v>1.0</v>
      </c>
      <c r="H491" s="97"/>
      <c r="I491" s="97"/>
      <c r="J491" s="97"/>
      <c r="K491" s="97"/>
      <c r="L491" s="97"/>
    </row>
    <row r="492">
      <c r="A492" s="97" t="s">
        <v>951</v>
      </c>
      <c r="B492" s="97"/>
      <c r="C492" s="97"/>
      <c r="D492" s="107">
        <v>1.0</v>
      </c>
      <c r="E492" s="107">
        <v>0.0</v>
      </c>
      <c r="F492" s="107">
        <v>1.0</v>
      </c>
      <c r="G492" s="107">
        <v>1.0</v>
      </c>
      <c r="H492" s="97"/>
      <c r="I492" s="97"/>
      <c r="J492" s="97"/>
      <c r="K492" s="97"/>
      <c r="L492" s="97"/>
    </row>
    <row r="493">
      <c r="A493" s="97" t="s">
        <v>952</v>
      </c>
      <c r="B493" s="97"/>
      <c r="C493" s="97"/>
      <c r="D493" s="107">
        <v>1.0</v>
      </c>
      <c r="E493" s="107">
        <v>1.0</v>
      </c>
      <c r="F493" s="107">
        <v>1.0</v>
      </c>
      <c r="G493" s="107">
        <v>1.0</v>
      </c>
      <c r="H493" s="97"/>
      <c r="I493" s="97"/>
      <c r="J493" s="97"/>
      <c r="K493" s="97"/>
      <c r="L493" s="97"/>
    </row>
    <row r="494">
      <c r="A494" s="97" t="s">
        <v>1291</v>
      </c>
      <c r="B494" s="97" t="s">
        <v>1697</v>
      </c>
      <c r="C494" s="97" t="s">
        <v>1712</v>
      </c>
      <c r="D494" s="97" t="s">
        <v>1713</v>
      </c>
      <c r="E494" s="97" t="s">
        <v>1714</v>
      </c>
      <c r="F494" s="97" t="s">
        <v>1715</v>
      </c>
      <c r="G494" s="97" t="s">
        <v>1716</v>
      </c>
      <c r="H494" s="97" t="s">
        <v>1717</v>
      </c>
      <c r="I494" s="97" t="s">
        <v>1718</v>
      </c>
      <c r="J494" s="97" t="s">
        <v>1719</v>
      </c>
      <c r="K494" s="97" t="s">
        <v>1720</v>
      </c>
      <c r="L494" s="97" t="s">
        <v>1721</v>
      </c>
    </row>
    <row r="495">
      <c r="A495" s="97" t="s">
        <v>1281</v>
      </c>
      <c r="B495" s="97"/>
      <c r="C495" s="97"/>
      <c r="D495" s="107">
        <v>1.0</v>
      </c>
      <c r="E495" s="107">
        <v>1.0</v>
      </c>
      <c r="F495" s="107">
        <v>0.0</v>
      </c>
      <c r="G495" s="107">
        <v>1.0</v>
      </c>
      <c r="H495" s="97"/>
      <c r="I495" s="97"/>
      <c r="J495" s="97"/>
      <c r="K495" s="97"/>
      <c r="L495" s="97"/>
    </row>
    <row r="496">
      <c r="A496" s="97" t="s">
        <v>1282</v>
      </c>
      <c r="B496" s="97"/>
      <c r="C496" s="97"/>
      <c r="D496" s="107">
        <v>1.0</v>
      </c>
      <c r="E496" s="107">
        <v>1.0</v>
      </c>
      <c r="F496" s="107">
        <v>0.0</v>
      </c>
      <c r="G496" s="107">
        <v>1.0</v>
      </c>
      <c r="H496" s="97"/>
      <c r="I496" s="97"/>
      <c r="J496" s="97"/>
      <c r="K496" s="97"/>
      <c r="L496" s="97"/>
    </row>
    <row r="497">
      <c r="A497" s="97" t="s">
        <v>948</v>
      </c>
      <c r="B497" s="97"/>
      <c r="C497" s="97"/>
      <c r="D497" s="107">
        <v>1.0</v>
      </c>
      <c r="E497" s="107">
        <v>1.0</v>
      </c>
      <c r="F497" s="107">
        <v>1.0</v>
      </c>
      <c r="G497" s="107">
        <v>1.0</v>
      </c>
      <c r="H497" s="97"/>
      <c r="I497" s="97"/>
      <c r="J497" s="97"/>
      <c r="K497" s="97"/>
      <c r="L497" s="97"/>
    </row>
    <row r="498">
      <c r="A498" s="97" t="s">
        <v>1283</v>
      </c>
      <c r="B498" s="97"/>
      <c r="C498" s="97"/>
      <c r="D498" s="107">
        <v>1.0</v>
      </c>
      <c r="E498" s="107">
        <v>1.0</v>
      </c>
      <c r="F498" s="107">
        <v>1.0</v>
      </c>
      <c r="G498" s="107">
        <v>1.0</v>
      </c>
      <c r="H498" s="97"/>
      <c r="I498" s="97"/>
      <c r="J498" s="97"/>
      <c r="K498" s="97"/>
      <c r="L498" s="97"/>
    </row>
    <row r="499">
      <c r="A499" s="97" t="s">
        <v>950</v>
      </c>
      <c r="B499" s="97"/>
      <c r="C499" s="97"/>
      <c r="D499" s="107">
        <v>1.0</v>
      </c>
      <c r="E499" s="107">
        <v>1.0</v>
      </c>
      <c r="F499" s="107">
        <v>0.0</v>
      </c>
      <c r="G499" s="107">
        <v>1.0</v>
      </c>
      <c r="H499" s="97"/>
      <c r="I499" s="97"/>
      <c r="J499" s="97"/>
      <c r="K499" s="97"/>
      <c r="L499" s="97"/>
    </row>
    <row r="500">
      <c r="A500" s="97" t="s">
        <v>951</v>
      </c>
      <c r="B500" s="97"/>
      <c r="C500" s="97"/>
      <c r="D500" s="107">
        <v>1.0</v>
      </c>
      <c r="E500" s="107">
        <v>1.0</v>
      </c>
      <c r="F500" s="107">
        <v>0.0</v>
      </c>
      <c r="G500" s="107">
        <v>1.0</v>
      </c>
      <c r="H500" s="97"/>
      <c r="I500" s="97"/>
      <c r="J500" s="97"/>
      <c r="K500" s="97"/>
      <c r="L500" s="97"/>
    </row>
    <row r="501">
      <c r="A501" s="97" t="s">
        <v>952</v>
      </c>
      <c r="B501" s="97"/>
      <c r="C501" s="97"/>
      <c r="D501" s="107">
        <v>1.0</v>
      </c>
      <c r="E501" s="107">
        <v>1.0</v>
      </c>
      <c r="F501" s="107">
        <v>1.0</v>
      </c>
      <c r="G501" s="107">
        <v>1.0</v>
      </c>
      <c r="H501" s="97"/>
      <c r="I501" s="97"/>
      <c r="J501" s="97"/>
      <c r="K501" s="97"/>
      <c r="L501" s="97"/>
    </row>
    <row r="502">
      <c r="A502" s="97" t="s">
        <v>1272</v>
      </c>
      <c r="B502" s="97"/>
      <c r="C502" s="97"/>
      <c r="D502" s="59" t="s">
        <v>2032</v>
      </c>
      <c r="E502" s="59" t="s">
        <v>2033</v>
      </c>
      <c r="F502" s="59" t="s">
        <v>2034</v>
      </c>
      <c r="G502" s="59" t="s">
        <v>1032</v>
      </c>
      <c r="H502" s="97"/>
      <c r="I502" s="97"/>
      <c r="J502" s="97"/>
      <c r="K502" s="97"/>
      <c r="L502" s="97"/>
    </row>
    <row r="503">
      <c r="A503" s="97" t="s">
        <v>1273</v>
      </c>
      <c r="B503" s="97" t="s">
        <v>1722</v>
      </c>
      <c r="C503" s="97" t="s">
        <v>1723</v>
      </c>
      <c r="D503" s="97" t="s">
        <v>1724</v>
      </c>
      <c r="E503" s="97" t="s">
        <v>1725</v>
      </c>
      <c r="F503" s="97" t="s">
        <v>1372</v>
      </c>
      <c r="G503" s="97" t="s">
        <v>1032</v>
      </c>
      <c r="H503" s="97" t="s">
        <v>1726</v>
      </c>
      <c r="I503" s="97" t="s">
        <v>1727</v>
      </c>
      <c r="J503" s="97" t="s">
        <v>1728</v>
      </c>
      <c r="K503" s="97" t="s">
        <v>1372</v>
      </c>
      <c r="L503" s="97" t="s">
        <v>1032</v>
      </c>
    </row>
    <row r="504">
      <c r="A504" s="97" t="s">
        <v>1281</v>
      </c>
      <c r="B504" s="97"/>
      <c r="C504" s="97"/>
      <c r="D504" s="107">
        <v>1.0</v>
      </c>
      <c r="E504" s="107">
        <v>1.0</v>
      </c>
      <c r="F504" s="107">
        <v>0.0</v>
      </c>
      <c r="G504" s="107">
        <v>1.0</v>
      </c>
      <c r="H504" s="97"/>
      <c r="I504" s="97"/>
      <c r="J504" s="97"/>
      <c r="K504" s="97"/>
      <c r="L504" s="97"/>
    </row>
    <row r="505">
      <c r="A505" s="97" t="s">
        <v>1282</v>
      </c>
      <c r="B505" s="97"/>
      <c r="C505" s="97"/>
      <c r="D505" s="107">
        <v>1.0</v>
      </c>
      <c r="E505" s="107">
        <v>1.0</v>
      </c>
      <c r="F505" s="107">
        <v>0.0</v>
      </c>
      <c r="G505" s="107">
        <v>1.0</v>
      </c>
      <c r="H505" s="97"/>
      <c r="I505" s="97"/>
      <c r="J505" s="97"/>
      <c r="K505" s="97"/>
      <c r="L505" s="97"/>
    </row>
    <row r="506">
      <c r="A506" s="97" t="s">
        <v>948</v>
      </c>
      <c r="B506" s="97"/>
      <c r="C506" s="97"/>
      <c r="D506" s="107">
        <v>1.0</v>
      </c>
      <c r="E506" s="107">
        <v>1.0</v>
      </c>
      <c r="F506" s="107">
        <v>0.0</v>
      </c>
      <c r="G506" s="107">
        <v>1.0</v>
      </c>
      <c r="H506" s="97"/>
      <c r="I506" s="97"/>
      <c r="J506" s="97"/>
      <c r="K506" s="97"/>
      <c r="L506" s="97"/>
    </row>
    <row r="507">
      <c r="A507" s="97" t="s">
        <v>1283</v>
      </c>
      <c r="B507" s="97"/>
      <c r="C507" s="97"/>
      <c r="D507" s="107">
        <v>1.0</v>
      </c>
      <c r="E507" s="107">
        <v>1.0</v>
      </c>
      <c r="F507" s="107">
        <v>1.0</v>
      </c>
      <c r="G507" s="107">
        <v>1.0</v>
      </c>
      <c r="H507" s="97"/>
      <c r="I507" s="97"/>
      <c r="J507" s="97"/>
      <c r="K507" s="97"/>
      <c r="L507" s="97"/>
    </row>
    <row r="508">
      <c r="A508" s="97" t="s">
        <v>950</v>
      </c>
      <c r="B508" s="97"/>
      <c r="C508" s="97"/>
      <c r="D508" s="107">
        <v>1.0</v>
      </c>
      <c r="E508" s="107">
        <v>1.0</v>
      </c>
      <c r="F508" s="107">
        <v>0.0</v>
      </c>
      <c r="G508" s="107">
        <v>1.0</v>
      </c>
      <c r="H508" s="97"/>
      <c r="I508" s="97"/>
      <c r="J508" s="97"/>
      <c r="K508" s="97"/>
      <c r="L508" s="97"/>
    </row>
    <row r="509">
      <c r="A509" s="97" t="s">
        <v>951</v>
      </c>
      <c r="B509" s="97"/>
      <c r="C509" s="97"/>
      <c r="D509" s="107">
        <v>1.0</v>
      </c>
      <c r="E509" s="107">
        <v>1.0</v>
      </c>
      <c r="F509" s="107">
        <v>0.0</v>
      </c>
      <c r="G509" s="107">
        <v>1.0</v>
      </c>
      <c r="H509" s="97"/>
      <c r="I509" s="97"/>
      <c r="J509" s="97"/>
      <c r="K509" s="97"/>
      <c r="L509" s="97"/>
    </row>
    <row r="510">
      <c r="A510" s="97" t="s">
        <v>952</v>
      </c>
      <c r="B510" s="97"/>
      <c r="C510" s="97"/>
      <c r="D510" s="107">
        <v>1.0</v>
      </c>
      <c r="E510" s="107">
        <v>1.0</v>
      </c>
      <c r="F510" s="107">
        <v>1.0</v>
      </c>
      <c r="G510" s="107">
        <v>1.0</v>
      </c>
      <c r="H510" s="97"/>
      <c r="I510" s="97"/>
      <c r="J510" s="97"/>
      <c r="K510" s="97"/>
      <c r="L510" s="97"/>
    </row>
    <row r="511">
      <c r="A511" s="97" t="s">
        <v>1284</v>
      </c>
      <c r="B511" s="97" t="s">
        <v>1722</v>
      </c>
      <c r="C511" s="97" t="s">
        <v>1729</v>
      </c>
      <c r="D511" s="97" t="s">
        <v>1730</v>
      </c>
      <c r="E511" s="97" t="s">
        <v>1731</v>
      </c>
      <c r="F511" s="97" t="s">
        <v>1732</v>
      </c>
      <c r="G511" s="97" t="s">
        <v>1358</v>
      </c>
      <c r="H511" s="97" t="s">
        <v>1733</v>
      </c>
      <c r="I511" s="97" t="s">
        <v>1734</v>
      </c>
      <c r="J511" s="97" t="s">
        <v>1735</v>
      </c>
      <c r="K511" s="97" t="s">
        <v>1736</v>
      </c>
      <c r="L511" s="97" t="s">
        <v>1032</v>
      </c>
    </row>
    <row r="512">
      <c r="A512" s="97" t="s">
        <v>1281</v>
      </c>
      <c r="B512" s="97"/>
      <c r="C512" s="97"/>
      <c r="D512" s="107">
        <v>1.0</v>
      </c>
      <c r="E512" s="107">
        <v>0.0</v>
      </c>
      <c r="F512" s="107">
        <v>1.0</v>
      </c>
      <c r="G512" s="107">
        <v>1.0</v>
      </c>
      <c r="H512" s="97"/>
      <c r="I512" s="97"/>
      <c r="J512" s="97"/>
      <c r="K512" s="97"/>
      <c r="L512" s="97"/>
    </row>
    <row r="513">
      <c r="A513" s="97" t="s">
        <v>1282</v>
      </c>
      <c r="B513" s="97"/>
      <c r="C513" s="97"/>
      <c r="D513" s="107">
        <v>1.0</v>
      </c>
      <c r="E513" s="107">
        <v>0.0</v>
      </c>
      <c r="F513" s="107">
        <v>1.0</v>
      </c>
      <c r="G513" s="107">
        <v>1.0</v>
      </c>
      <c r="H513" s="97"/>
      <c r="I513" s="97"/>
      <c r="J513" s="97"/>
      <c r="K513" s="97"/>
      <c r="L513" s="97"/>
    </row>
    <row r="514">
      <c r="A514" s="97" t="s">
        <v>948</v>
      </c>
      <c r="B514" s="97"/>
      <c r="C514" s="97"/>
      <c r="D514" s="107">
        <v>1.0</v>
      </c>
      <c r="E514" s="107">
        <v>0.0</v>
      </c>
      <c r="F514" s="107">
        <v>0.0</v>
      </c>
      <c r="G514" s="107">
        <v>1.0</v>
      </c>
      <c r="H514" s="97"/>
      <c r="I514" s="97"/>
      <c r="J514" s="97"/>
      <c r="K514" s="97"/>
      <c r="L514" s="97"/>
    </row>
    <row r="515">
      <c r="A515" s="97" t="s">
        <v>1283</v>
      </c>
      <c r="B515" s="97"/>
      <c r="C515" s="97"/>
      <c r="D515" s="107">
        <v>1.0</v>
      </c>
      <c r="E515" s="107">
        <v>1.0</v>
      </c>
      <c r="F515" s="107">
        <v>1.0</v>
      </c>
      <c r="G515" s="107">
        <v>1.0</v>
      </c>
      <c r="H515" s="97"/>
      <c r="I515" s="97"/>
      <c r="J515" s="97"/>
      <c r="K515" s="97"/>
      <c r="L515" s="97"/>
    </row>
    <row r="516">
      <c r="A516" s="97" t="s">
        <v>950</v>
      </c>
      <c r="B516" s="97"/>
      <c r="C516" s="97"/>
      <c r="D516" s="107">
        <v>1.0</v>
      </c>
      <c r="E516" s="107">
        <v>0.0</v>
      </c>
      <c r="F516" s="107">
        <v>1.0</v>
      </c>
      <c r="G516" s="107">
        <v>1.0</v>
      </c>
      <c r="H516" s="97"/>
      <c r="I516" s="97"/>
      <c r="J516" s="97"/>
      <c r="K516" s="97"/>
      <c r="L516" s="97"/>
    </row>
    <row r="517">
      <c r="A517" s="97" t="s">
        <v>951</v>
      </c>
      <c r="B517" s="97"/>
      <c r="C517" s="97"/>
      <c r="D517" s="107">
        <v>1.0</v>
      </c>
      <c r="E517" s="107">
        <v>0.0</v>
      </c>
      <c r="F517" s="107">
        <v>1.0</v>
      </c>
      <c r="G517" s="107">
        <v>1.0</v>
      </c>
      <c r="H517" s="97"/>
      <c r="I517" s="97"/>
      <c r="J517" s="97"/>
      <c r="K517" s="97"/>
      <c r="L517" s="97"/>
    </row>
    <row r="518">
      <c r="A518" s="97" t="s">
        <v>952</v>
      </c>
      <c r="B518" s="97"/>
      <c r="C518" s="97"/>
      <c r="D518" s="107">
        <v>1.0</v>
      </c>
      <c r="E518" s="107">
        <v>1.0</v>
      </c>
      <c r="F518" s="107">
        <v>1.0</v>
      </c>
      <c r="G518" s="107">
        <v>1.0</v>
      </c>
      <c r="H518" s="97"/>
      <c r="I518" s="97"/>
      <c r="J518" s="97"/>
      <c r="K518" s="97"/>
      <c r="L518" s="97"/>
    </row>
    <row r="519">
      <c r="A519" s="97" t="s">
        <v>1291</v>
      </c>
      <c r="B519" s="97" t="s">
        <v>1722</v>
      </c>
      <c r="C519" s="97" t="s">
        <v>1737</v>
      </c>
      <c r="D519" s="97" t="s">
        <v>1738</v>
      </c>
      <c r="E519" s="97" t="s">
        <v>1739</v>
      </c>
      <c r="F519" s="97" t="s">
        <v>1740</v>
      </c>
      <c r="G519" s="97" t="s">
        <v>1503</v>
      </c>
      <c r="H519" s="97" t="s">
        <v>1733</v>
      </c>
      <c r="I519" s="97" t="s">
        <v>1733</v>
      </c>
      <c r="J519" s="97" t="s">
        <v>1741</v>
      </c>
      <c r="K519" s="97" t="s">
        <v>1742</v>
      </c>
      <c r="L519" s="97" t="s">
        <v>1032</v>
      </c>
    </row>
    <row r="520">
      <c r="A520" s="97" t="s">
        <v>1281</v>
      </c>
      <c r="B520" s="97"/>
      <c r="C520" s="97"/>
      <c r="D520" s="107">
        <v>1.0</v>
      </c>
      <c r="E520" s="107">
        <v>1.0</v>
      </c>
      <c r="F520" s="107">
        <v>1.0</v>
      </c>
      <c r="G520" s="107">
        <v>1.0</v>
      </c>
      <c r="H520" s="97"/>
      <c r="I520" s="97"/>
      <c r="J520" s="97"/>
      <c r="K520" s="97"/>
      <c r="L520" s="97"/>
    </row>
    <row r="521">
      <c r="A521" s="97" t="s">
        <v>1282</v>
      </c>
      <c r="B521" s="97"/>
      <c r="C521" s="97"/>
      <c r="D521" s="107">
        <v>1.0</v>
      </c>
      <c r="E521" s="107">
        <v>1.0</v>
      </c>
      <c r="F521" s="107">
        <v>1.0</v>
      </c>
      <c r="G521" s="107">
        <v>1.0</v>
      </c>
      <c r="H521" s="97"/>
      <c r="I521" s="97"/>
      <c r="J521" s="97"/>
      <c r="K521" s="97"/>
      <c r="L521" s="97"/>
    </row>
    <row r="522">
      <c r="A522" s="97" t="s">
        <v>948</v>
      </c>
      <c r="B522" s="97"/>
      <c r="C522" s="97"/>
      <c r="D522" s="107">
        <v>1.0</v>
      </c>
      <c r="E522" s="107">
        <v>1.0</v>
      </c>
      <c r="F522" s="107">
        <v>1.0</v>
      </c>
      <c r="G522" s="107">
        <v>1.0</v>
      </c>
      <c r="H522" s="97"/>
      <c r="I522" s="97"/>
      <c r="J522" s="97"/>
      <c r="K522" s="97"/>
      <c r="L522" s="97"/>
    </row>
    <row r="523">
      <c r="A523" s="97" t="s">
        <v>1283</v>
      </c>
      <c r="B523" s="97"/>
      <c r="C523" s="97"/>
      <c r="D523" s="107">
        <v>1.0</v>
      </c>
      <c r="E523" s="107">
        <v>1.0</v>
      </c>
      <c r="F523" s="107">
        <v>1.0</v>
      </c>
      <c r="G523" s="107">
        <v>1.0</v>
      </c>
      <c r="H523" s="97"/>
      <c r="I523" s="97"/>
      <c r="J523" s="97"/>
      <c r="K523" s="97"/>
      <c r="L523" s="97"/>
    </row>
    <row r="524">
      <c r="A524" s="97" t="s">
        <v>950</v>
      </c>
      <c r="B524" s="97"/>
      <c r="C524" s="97"/>
      <c r="D524" s="107">
        <v>1.0</v>
      </c>
      <c r="E524" s="107">
        <v>1.0</v>
      </c>
      <c r="F524" s="107">
        <v>1.0</v>
      </c>
      <c r="G524" s="107">
        <v>1.0</v>
      </c>
      <c r="H524" s="97"/>
      <c r="I524" s="97"/>
      <c r="J524" s="97"/>
      <c r="K524" s="97"/>
      <c r="L524" s="97"/>
    </row>
    <row r="525">
      <c r="A525" s="97" t="s">
        <v>951</v>
      </c>
      <c r="B525" s="97"/>
      <c r="C525" s="97"/>
      <c r="D525" s="107">
        <v>1.0</v>
      </c>
      <c r="E525" s="107">
        <v>1.0</v>
      </c>
      <c r="F525" s="107">
        <v>1.0</v>
      </c>
      <c r="G525" s="107">
        <v>1.0</v>
      </c>
      <c r="H525" s="97"/>
      <c r="I525" s="97"/>
      <c r="J525" s="97"/>
      <c r="K525" s="97"/>
      <c r="L525" s="97"/>
    </row>
    <row r="526">
      <c r="A526" s="97" t="s">
        <v>952</v>
      </c>
      <c r="B526" s="97"/>
      <c r="C526" s="97"/>
      <c r="D526" s="107">
        <v>1.0</v>
      </c>
      <c r="E526" s="107">
        <v>1.0</v>
      </c>
      <c r="F526" s="107">
        <v>1.0</v>
      </c>
      <c r="G526" s="107">
        <v>1.0</v>
      </c>
      <c r="H526" s="97"/>
      <c r="I526" s="97"/>
      <c r="J526" s="97"/>
      <c r="K526" s="97"/>
      <c r="L526" s="97"/>
    </row>
    <row r="527">
      <c r="A527" s="97" t="s">
        <v>1272</v>
      </c>
      <c r="B527" s="97"/>
      <c r="C527" s="97"/>
      <c r="D527" s="5" t="s">
        <v>1203</v>
      </c>
      <c r="E527" s="5" t="s">
        <v>2040</v>
      </c>
      <c r="F527" s="5" t="s">
        <v>2041</v>
      </c>
      <c r="G527" s="5" t="s">
        <v>2042</v>
      </c>
      <c r="H527" s="97"/>
      <c r="I527" s="97"/>
      <c r="J527" s="97"/>
      <c r="K527" s="97"/>
      <c r="L527" s="97"/>
    </row>
    <row r="528">
      <c r="A528" s="97" t="s">
        <v>1273</v>
      </c>
      <c r="B528" s="97" t="s">
        <v>1743</v>
      </c>
      <c r="C528" s="97" t="s">
        <v>1744</v>
      </c>
      <c r="D528" s="97" t="s">
        <v>1745</v>
      </c>
      <c r="E528" s="97" t="s">
        <v>1746</v>
      </c>
      <c r="F528" s="97" t="s">
        <v>1372</v>
      </c>
      <c r="G528" s="97" t="s">
        <v>1208</v>
      </c>
      <c r="H528" s="97" t="s">
        <v>1744</v>
      </c>
      <c r="I528" s="97" t="s">
        <v>1203</v>
      </c>
      <c r="J528" s="97" t="s">
        <v>1747</v>
      </c>
      <c r="K528" s="97" t="s">
        <v>1372</v>
      </c>
      <c r="L528" s="97" t="s">
        <v>1208</v>
      </c>
    </row>
    <row r="529">
      <c r="A529" s="97" t="s">
        <v>1281</v>
      </c>
      <c r="B529" s="97"/>
      <c r="C529" s="97"/>
      <c r="D529" s="107">
        <v>1.0</v>
      </c>
      <c r="E529" s="107">
        <v>1.0</v>
      </c>
      <c r="F529" s="107">
        <v>0.0</v>
      </c>
      <c r="G529" s="107">
        <v>1.0</v>
      </c>
      <c r="H529" s="97"/>
      <c r="I529" s="97"/>
      <c r="J529" s="97"/>
      <c r="K529" s="97"/>
      <c r="L529" s="97"/>
    </row>
    <row r="530">
      <c r="A530" s="97" t="s">
        <v>1282</v>
      </c>
      <c r="B530" s="97"/>
      <c r="C530" s="97"/>
      <c r="D530" s="107">
        <v>1.0</v>
      </c>
      <c r="E530" s="107">
        <v>1.0</v>
      </c>
      <c r="F530" s="107">
        <v>0.0</v>
      </c>
      <c r="G530" s="107">
        <v>1.0</v>
      </c>
      <c r="H530" s="97"/>
      <c r="I530" s="97"/>
      <c r="J530" s="97"/>
      <c r="K530" s="97"/>
      <c r="L530" s="97"/>
    </row>
    <row r="531">
      <c r="A531" s="97" t="s">
        <v>948</v>
      </c>
      <c r="B531" s="97"/>
      <c r="C531" s="97"/>
      <c r="D531" s="107">
        <v>1.0</v>
      </c>
      <c r="E531" s="107">
        <v>0.0</v>
      </c>
      <c r="F531" s="107">
        <v>0.0</v>
      </c>
      <c r="G531" s="107">
        <v>1.0</v>
      </c>
      <c r="H531" s="97"/>
      <c r="I531" s="97"/>
      <c r="J531" s="97"/>
      <c r="K531" s="97"/>
      <c r="L531" s="97"/>
    </row>
    <row r="532">
      <c r="A532" s="97" t="s">
        <v>1283</v>
      </c>
      <c r="B532" s="97"/>
      <c r="C532" s="97"/>
      <c r="D532" s="107">
        <v>1.0</v>
      </c>
      <c r="E532" s="107">
        <v>1.0</v>
      </c>
      <c r="F532" s="107">
        <v>1.0</v>
      </c>
      <c r="G532" s="107">
        <v>1.0</v>
      </c>
      <c r="H532" s="97"/>
      <c r="I532" s="97"/>
      <c r="J532" s="97"/>
      <c r="K532" s="97"/>
      <c r="L532" s="97"/>
    </row>
    <row r="533">
      <c r="A533" s="97" t="s">
        <v>950</v>
      </c>
      <c r="B533" s="97"/>
      <c r="C533" s="97"/>
      <c r="D533" s="107">
        <v>1.0</v>
      </c>
      <c r="E533" s="107">
        <v>0.0</v>
      </c>
      <c r="F533" s="107">
        <v>0.0</v>
      </c>
      <c r="G533" s="107">
        <v>1.0</v>
      </c>
      <c r="H533" s="97"/>
      <c r="I533" s="97"/>
      <c r="J533" s="97"/>
      <c r="K533" s="97"/>
      <c r="L533" s="97"/>
    </row>
    <row r="534">
      <c r="A534" s="97" t="s">
        <v>951</v>
      </c>
      <c r="B534" s="97"/>
      <c r="C534" s="97"/>
      <c r="D534" s="107">
        <v>1.0</v>
      </c>
      <c r="E534" s="107">
        <v>1.0</v>
      </c>
      <c r="F534" s="107">
        <v>0.0</v>
      </c>
      <c r="G534" s="107">
        <v>1.0</v>
      </c>
      <c r="H534" s="97"/>
      <c r="I534" s="97"/>
      <c r="J534" s="97"/>
      <c r="K534" s="97"/>
      <c r="L534" s="97"/>
    </row>
    <row r="535">
      <c r="A535" s="97" t="s">
        <v>952</v>
      </c>
      <c r="B535" s="97"/>
      <c r="C535" s="97"/>
      <c r="D535" s="107">
        <v>1.0</v>
      </c>
      <c r="E535" s="107">
        <v>1.0</v>
      </c>
      <c r="F535" s="107">
        <v>1.0</v>
      </c>
      <c r="G535" s="107">
        <v>1.0</v>
      </c>
      <c r="H535" s="97"/>
      <c r="I535" s="97"/>
      <c r="J535" s="97"/>
      <c r="K535" s="97"/>
      <c r="L535" s="97"/>
    </row>
    <row r="536">
      <c r="A536" s="97" t="s">
        <v>1284</v>
      </c>
      <c r="B536" s="97" t="s">
        <v>1743</v>
      </c>
      <c r="C536" s="97" t="s">
        <v>1748</v>
      </c>
      <c r="D536" s="97" t="s">
        <v>1749</v>
      </c>
      <c r="E536" s="97" t="s">
        <v>1750</v>
      </c>
      <c r="F536" s="97" t="s">
        <v>1751</v>
      </c>
      <c r="G536" s="97" t="s">
        <v>1752</v>
      </c>
      <c r="H536" s="97" t="s">
        <v>1753</v>
      </c>
      <c r="I536" s="97" t="s">
        <v>1203</v>
      </c>
      <c r="J536" s="97" t="s">
        <v>1754</v>
      </c>
      <c r="K536" s="97" t="s">
        <v>1392</v>
      </c>
      <c r="L536" s="97" t="s">
        <v>1208</v>
      </c>
    </row>
    <row r="537">
      <c r="A537" s="97" t="s">
        <v>1281</v>
      </c>
      <c r="B537" s="97"/>
      <c r="C537" s="97"/>
      <c r="D537" s="107">
        <v>1.0</v>
      </c>
      <c r="E537" s="107">
        <v>1.0</v>
      </c>
      <c r="F537" s="107">
        <v>1.0</v>
      </c>
      <c r="G537" s="107">
        <v>1.0</v>
      </c>
      <c r="H537" s="97"/>
      <c r="I537" s="97"/>
      <c r="J537" s="97"/>
      <c r="K537" s="97"/>
      <c r="L537" s="97"/>
    </row>
    <row r="538">
      <c r="A538" s="97" t="s">
        <v>1282</v>
      </c>
      <c r="B538" s="97"/>
      <c r="C538" s="97"/>
      <c r="D538" s="107">
        <v>1.0</v>
      </c>
      <c r="E538" s="107">
        <v>1.0</v>
      </c>
      <c r="F538" s="107">
        <v>1.0</v>
      </c>
      <c r="G538" s="107">
        <v>1.0</v>
      </c>
      <c r="H538" s="97"/>
      <c r="I538" s="97"/>
      <c r="J538" s="97"/>
      <c r="K538" s="97"/>
      <c r="L538" s="97"/>
    </row>
    <row r="539">
      <c r="A539" s="97" t="s">
        <v>948</v>
      </c>
      <c r="B539" s="97"/>
      <c r="C539" s="97"/>
      <c r="D539" s="107">
        <v>1.0</v>
      </c>
      <c r="E539" s="107">
        <v>1.0</v>
      </c>
      <c r="F539" s="107">
        <v>0.0</v>
      </c>
      <c r="G539" s="107">
        <v>1.0</v>
      </c>
      <c r="H539" s="97"/>
      <c r="I539" s="97"/>
      <c r="J539" s="97"/>
      <c r="K539" s="97"/>
      <c r="L539" s="97"/>
    </row>
    <row r="540">
      <c r="A540" s="97" t="s">
        <v>1283</v>
      </c>
      <c r="B540" s="97"/>
      <c r="C540" s="97"/>
      <c r="D540" s="107">
        <v>1.0</v>
      </c>
      <c r="E540" s="107">
        <v>1.0</v>
      </c>
      <c r="F540" s="107">
        <v>1.0</v>
      </c>
      <c r="G540" s="107">
        <v>1.0</v>
      </c>
      <c r="H540" s="97"/>
      <c r="I540" s="97"/>
      <c r="J540" s="97"/>
      <c r="K540" s="97"/>
      <c r="L540" s="97"/>
    </row>
    <row r="541">
      <c r="A541" s="97" t="s">
        <v>950</v>
      </c>
      <c r="B541" s="97"/>
      <c r="C541" s="97"/>
      <c r="D541" s="107">
        <v>1.0</v>
      </c>
      <c r="E541" s="107">
        <v>1.0</v>
      </c>
      <c r="F541" s="107">
        <v>0.0</v>
      </c>
      <c r="G541" s="107">
        <v>1.0</v>
      </c>
      <c r="H541" s="97"/>
      <c r="I541" s="97"/>
      <c r="J541" s="97"/>
      <c r="K541" s="97"/>
      <c r="L541" s="97"/>
    </row>
    <row r="542">
      <c r="A542" s="97" t="s">
        <v>951</v>
      </c>
      <c r="B542" s="97"/>
      <c r="C542" s="97"/>
      <c r="D542" s="107">
        <v>1.0</v>
      </c>
      <c r="E542" s="107">
        <v>1.0</v>
      </c>
      <c r="F542" s="107">
        <v>1.0</v>
      </c>
      <c r="G542" s="107">
        <v>1.0</v>
      </c>
      <c r="H542" s="97"/>
      <c r="I542" s="97"/>
      <c r="J542" s="97"/>
      <c r="K542" s="97"/>
      <c r="L542" s="97"/>
    </row>
    <row r="543">
      <c r="A543" s="97" t="s">
        <v>952</v>
      </c>
      <c r="B543" s="97"/>
      <c r="C543" s="97"/>
      <c r="D543" s="107">
        <v>1.0</v>
      </c>
      <c r="E543" s="107">
        <v>1.0</v>
      </c>
      <c r="F543" s="107">
        <v>1.0</v>
      </c>
      <c r="G543" s="107">
        <v>1.0</v>
      </c>
      <c r="H543" s="97"/>
      <c r="I543" s="97"/>
      <c r="J543" s="97"/>
      <c r="K543" s="97"/>
      <c r="L543" s="97"/>
    </row>
    <row r="544">
      <c r="A544" s="97" t="s">
        <v>1291</v>
      </c>
      <c r="B544" s="97" t="s">
        <v>1743</v>
      </c>
      <c r="C544" s="97" t="s">
        <v>1755</v>
      </c>
      <c r="D544" s="97" t="s">
        <v>1756</v>
      </c>
      <c r="E544" s="97" t="s">
        <v>1757</v>
      </c>
      <c r="F544" s="97" t="s">
        <v>1758</v>
      </c>
      <c r="G544" s="97" t="s">
        <v>1759</v>
      </c>
      <c r="H544" s="97" t="s">
        <v>1760</v>
      </c>
      <c r="I544" s="97" t="s">
        <v>1753</v>
      </c>
      <c r="J544" s="97" t="s">
        <v>1761</v>
      </c>
      <c r="K544" s="97" t="s">
        <v>1762</v>
      </c>
      <c r="L544" s="97" t="s">
        <v>1208</v>
      </c>
    </row>
    <row r="545">
      <c r="A545" s="97" t="s">
        <v>1281</v>
      </c>
      <c r="B545" s="97"/>
      <c r="C545" s="97"/>
      <c r="D545" s="107">
        <v>1.0</v>
      </c>
      <c r="E545" s="107">
        <v>1.0</v>
      </c>
      <c r="F545" s="107">
        <v>1.0</v>
      </c>
      <c r="G545" s="107">
        <v>1.0</v>
      </c>
      <c r="H545" s="97"/>
      <c r="I545" s="97"/>
      <c r="J545" s="97"/>
      <c r="K545" s="97"/>
      <c r="L545" s="97"/>
    </row>
    <row r="546">
      <c r="A546" s="97" t="s">
        <v>1282</v>
      </c>
      <c r="B546" s="97"/>
      <c r="C546" s="97"/>
      <c r="D546" s="107">
        <v>1.0</v>
      </c>
      <c r="E546" s="107">
        <v>1.0</v>
      </c>
      <c r="F546" s="107">
        <v>1.0</v>
      </c>
      <c r="G546" s="107">
        <v>1.0</v>
      </c>
      <c r="H546" s="97"/>
      <c r="I546" s="97"/>
      <c r="J546" s="97"/>
      <c r="K546" s="97"/>
      <c r="L546" s="97"/>
    </row>
    <row r="547">
      <c r="A547" s="97" t="s">
        <v>948</v>
      </c>
      <c r="B547" s="97"/>
      <c r="C547" s="97"/>
      <c r="D547" s="107">
        <v>1.0</v>
      </c>
      <c r="E547" s="107">
        <v>1.0</v>
      </c>
      <c r="F547" s="107">
        <v>1.0</v>
      </c>
      <c r="G547" s="107">
        <v>1.0</v>
      </c>
      <c r="H547" s="97"/>
      <c r="I547" s="97"/>
      <c r="J547" s="97"/>
      <c r="K547" s="97"/>
      <c r="L547" s="97"/>
    </row>
    <row r="548">
      <c r="A548" s="97" t="s">
        <v>1283</v>
      </c>
      <c r="B548" s="97"/>
      <c r="C548" s="97"/>
      <c r="D548" s="107">
        <v>1.0</v>
      </c>
      <c r="E548" s="107">
        <v>1.0</v>
      </c>
      <c r="F548" s="107">
        <v>1.0</v>
      </c>
      <c r="G548" s="107">
        <v>1.0</v>
      </c>
      <c r="H548" s="97"/>
      <c r="I548" s="97"/>
      <c r="J548" s="97"/>
      <c r="K548" s="97"/>
      <c r="L548" s="97"/>
    </row>
    <row r="549">
      <c r="A549" s="97" t="s">
        <v>950</v>
      </c>
      <c r="B549" s="97"/>
      <c r="C549" s="97"/>
      <c r="D549" s="107">
        <v>1.0</v>
      </c>
      <c r="E549" s="107">
        <v>1.0</v>
      </c>
      <c r="F549" s="107">
        <v>0.0</v>
      </c>
      <c r="G549" s="107">
        <v>1.0</v>
      </c>
      <c r="H549" s="97"/>
      <c r="I549" s="97"/>
      <c r="J549" s="97"/>
      <c r="K549" s="97"/>
      <c r="L549" s="97"/>
    </row>
    <row r="550">
      <c r="A550" s="97" t="s">
        <v>951</v>
      </c>
      <c r="B550" s="97"/>
      <c r="C550" s="97"/>
      <c r="D550" s="107">
        <v>1.0</v>
      </c>
      <c r="E550" s="107">
        <v>1.0</v>
      </c>
      <c r="F550" s="107">
        <v>1.0</v>
      </c>
      <c r="G550" s="107">
        <v>1.0</v>
      </c>
      <c r="H550" s="97"/>
      <c r="I550" s="97"/>
      <c r="J550" s="97"/>
      <c r="K550" s="97"/>
      <c r="L550" s="97"/>
    </row>
    <row r="551">
      <c r="A551" s="97" t="s">
        <v>952</v>
      </c>
      <c r="B551" s="97"/>
      <c r="C551" s="97"/>
      <c r="D551" s="107">
        <v>1.0</v>
      </c>
      <c r="E551" s="107">
        <v>1.0</v>
      </c>
      <c r="F551" s="107">
        <v>1.0</v>
      </c>
      <c r="G551" s="107">
        <v>1.0</v>
      </c>
      <c r="H551" s="97"/>
      <c r="I551" s="97"/>
      <c r="J551" s="97"/>
      <c r="K551" s="97"/>
      <c r="L551" s="97"/>
    </row>
    <row r="552">
      <c r="A552" s="97" t="s">
        <v>1272</v>
      </c>
      <c r="B552" s="97"/>
      <c r="C552" s="97"/>
      <c r="D552" s="59" t="s">
        <v>2049</v>
      </c>
      <c r="E552" s="59" t="s">
        <v>2050</v>
      </c>
      <c r="F552" s="59" t="s">
        <v>2051</v>
      </c>
      <c r="G552" s="59" t="s">
        <v>2052</v>
      </c>
      <c r="H552" s="97"/>
      <c r="I552" s="97"/>
      <c r="J552" s="97"/>
      <c r="K552" s="97"/>
      <c r="L552" s="97"/>
    </row>
    <row r="553">
      <c r="A553" s="97" t="s">
        <v>1273</v>
      </c>
      <c r="B553" s="97" t="s">
        <v>1763</v>
      </c>
      <c r="C553" s="97" t="s">
        <v>1764</v>
      </c>
      <c r="D553" s="97" t="s">
        <v>1765</v>
      </c>
      <c r="E553" s="97" t="s">
        <v>1766</v>
      </c>
      <c r="F553" s="97" t="s">
        <v>1767</v>
      </c>
      <c r="G553" s="97" t="s">
        <v>1010</v>
      </c>
      <c r="H553" s="97" t="s">
        <v>1768</v>
      </c>
      <c r="I553" s="97" t="s">
        <v>1769</v>
      </c>
      <c r="J553" s="97" t="s">
        <v>1770</v>
      </c>
      <c r="K553" s="97" t="s">
        <v>1767</v>
      </c>
      <c r="L553" s="97" t="s">
        <v>1010</v>
      </c>
    </row>
    <row r="554">
      <c r="A554" s="97" t="s">
        <v>1281</v>
      </c>
      <c r="B554" s="97"/>
      <c r="C554" s="97"/>
      <c r="D554" s="107">
        <v>1.0</v>
      </c>
      <c r="E554" s="107">
        <v>0.0</v>
      </c>
      <c r="F554" s="107">
        <v>0.0</v>
      </c>
      <c r="G554" s="107">
        <v>0.0</v>
      </c>
      <c r="H554" s="97"/>
      <c r="I554" s="97"/>
      <c r="J554" s="97"/>
      <c r="K554" s="97"/>
      <c r="L554" s="97"/>
    </row>
    <row r="555">
      <c r="A555" s="97" t="s">
        <v>1282</v>
      </c>
      <c r="B555" s="97"/>
      <c r="C555" s="97"/>
      <c r="D555" s="107">
        <v>1.0</v>
      </c>
      <c r="E555" s="107">
        <v>0.0</v>
      </c>
      <c r="F555" s="107">
        <v>0.0</v>
      </c>
      <c r="G555" s="107">
        <v>0.0</v>
      </c>
      <c r="H555" s="97"/>
      <c r="I555" s="97"/>
      <c r="J555" s="97"/>
      <c r="K555" s="97"/>
      <c r="L555" s="97"/>
    </row>
    <row r="556">
      <c r="A556" s="97" t="s">
        <v>948</v>
      </c>
      <c r="B556" s="97"/>
      <c r="C556" s="97"/>
      <c r="D556" s="107">
        <v>1.0</v>
      </c>
      <c r="E556" s="107">
        <v>0.0</v>
      </c>
      <c r="F556" s="107">
        <v>0.0</v>
      </c>
      <c r="G556" s="107">
        <v>0.0</v>
      </c>
      <c r="H556" s="97"/>
      <c r="I556" s="97"/>
      <c r="J556" s="97"/>
      <c r="K556" s="97"/>
      <c r="L556" s="97"/>
    </row>
    <row r="557">
      <c r="A557" s="97" t="s">
        <v>1283</v>
      </c>
      <c r="B557" s="97"/>
      <c r="C557" s="97"/>
      <c r="D557" s="107">
        <v>1.0</v>
      </c>
      <c r="E557" s="107">
        <v>1.0</v>
      </c>
      <c r="F557" s="107">
        <v>1.0</v>
      </c>
      <c r="G557" s="107">
        <v>1.0</v>
      </c>
      <c r="H557" s="97"/>
      <c r="I557" s="97"/>
      <c r="J557" s="97"/>
      <c r="K557" s="97"/>
      <c r="L557" s="97"/>
    </row>
    <row r="558">
      <c r="A558" s="97" t="s">
        <v>950</v>
      </c>
      <c r="B558" s="97"/>
      <c r="C558" s="97"/>
      <c r="D558" s="107">
        <v>1.0</v>
      </c>
      <c r="E558" s="107">
        <v>0.0</v>
      </c>
      <c r="F558" s="107">
        <v>0.0</v>
      </c>
      <c r="G558" s="107">
        <v>0.0</v>
      </c>
      <c r="H558" s="97"/>
      <c r="I558" s="97"/>
      <c r="J558" s="97"/>
      <c r="K558" s="97"/>
      <c r="L558" s="97"/>
    </row>
    <row r="559">
      <c r="A559" s="97" t="s">
        <v>951</v>
      </c>
      <c r="B559" s="97"/>
      <c r="C559" s="97"/>
      <c r="D559" s="107">
        <v>1.0</v>
      </c>
      <c r="E559" s="107">
        <v>0.0</v>
      </c>
      <c r="F559" s="107">
        <v>0.0</v>
      </c>
      <c r="G559" s="107">
        <v>0.0</v>
      </c>
      <c r="H559" s="97"/>
      <c r="I559" s="97"/>
      <c r="J559" s="97"/>
      <c r="K559" s="97"/>
      <c r="L559" s="97"/>
    </row>
    <row r="560">
      <c r="A560" s="97" t="s">
        <v>952</v>
      </c>
      <c r="B560" s="97"/>
      <c r="C560" s="97"/>
      <c r="D560" s="107">
        <v>1.0</v>
      </c>
      <c r="E560" s="107">
        <v>1.0</v>
      </c>
      <c r="F560" s="107">
        <v>1.0</v>
      </c>
      <c r="G560" s="107">
        <v>1.0</v>
      </c>
      <c r="H560" s="97"/>
      <c r="I560" s="97"/>
      <c r="J560" s="97"/>
      <c r="K560" s="97"/>
      <c r="L560" s="97"/>
    </row>
    <row r="561">
      <c r="A561" s="97" t="s">
        <v>1284</v>
      </c>
      <c r="B561" s="97" t="s">
        <v>1763</v>
      </c>
      <c r="C561" s="97" t="s">
        <v>1771</v>
      </c>
      <c r="D561" s="97" t="s">
        <v>1772</v>
      </c>
      <c r="E561" s="97" t="s">
        <v>1773</v>
      </c>
      <c r="F561" s="97" t="s">
        <v>1774</v>
      </c>
      <c r="G561" s="97" t="s">
        <v>1775</v>
      </c>
      <c r="H561" s="97" t="s">
        <v>1764</v>
      </c>
      <c r="I561" s="97" t="s">
        <v>1776</v>
      </c>
      <c r="J561" s="97" t="s">
        <v>1777</v>
      </c>
      <c r="K561" s="97" t="s">
        <v>1778</v>
      </c>
      <c r="L561" s="97" t="s">
        <v>1779</v>
      </c>
    </row>
    <row r="562">
      <c r="A562" s="97" t="s">
        <v>1281</v>
      </c>
      <c r="B562" s="97"/>
      <c r="C562" s="97"/>
      <c r="D562" s="107">
        <v>1.0</v>
      </c>
      <c r="E562" s="107">
        <v>1.0</v>
      </c>
      <c r="F562" s="107">
        <v>1.0</v>
      </c>
      <c r="G562" s="107">
        <v>1.0</v>
      </c>
      <c r="H562" s="97"/>
      <c r="I562" s="97"/>
      <c r="J562" s="97"/>
      <c r="K562" s="97"/>
      <c r="L562" s="97"/>
    </row>
    <row r="563">
      <c r="A563" s="97" t="s">
        <v>1282</v>
      </c>
      <c r="B563" s="97"/>
      <c r="C563" s="97"/>
      <c r="D563" s="107">
        <v>1.0</v>
      </c>
      <c r="E563" s="107">
        <v>1.0</v>
      </c>
      <c r="F563" s="107">
        <v>1.0</v>
      </c>
      <c r="G563" s="107">
        <v>0.0</v>
      </c>
      <c r="H563" s="97"/>
      <c r="I563" s="97"/>
      <c r="J563" s="97"/>
      <c r="K563" s="97"/>
      <c r="L563" s="97"/>
    </row>
    <row r="564">
      <c r="A564" s="97" t="s">
        <v>948</v>
      </c>
      <c r="B564" s="97"/>
      <c r="C564" s="97"/>
      <c r="D564" s="107">
        <v>1.0</v>
      </c>
      <c r="E564" s="107">
        <v>1.0</v>
      </c>
      <c r="F564" s="107">
        <v>0.0</v>
      </c>
      <c r="G564" s="107">
        <v>1.0</v>
      </c>
      <c r="H564" s="97"/>
      <c r="I564" s="97"/>
      <c r="J564" s="97"/>
      <c r="K564" s="97"/>
      <c r="L564" s="97"/>
    </row>
    <row r="565">
      <c r="A565" s="97" t="s">
        <v>1283</v>
      </c>
      <c r="B565" s="97"/>
      <c r="C565" s="97"/>
      <c r="D565" s="107">
        <v>1.0</v>
      </c>
      <c r="E565" s="107">
        <v>1.0</v>
      </c>
      <c r="F565" s="107">
        <v>1.0</v>
      </c>
      <c r="G565" s="107">
        <v>1.0</v>
      </c>
      <c r="H565" s="97"/>
      <c r="I565" s="97"/>
      <c r="J565" s="97"/>
      <c r="K565" s="97"/>
      <c r="L565" s="97"/>
    </row>
    <row r="566">
      <c r="A566" s="97" t="s">
        <v>950</v>
      </c>
      <c r="B566" s="97"/>
      <c r="C566" s="97"/>
      <c r="D566" s="107">
        <v>1.0</v>
      </c>
      <c r="E566" s="107">
        <v>1.0</v>
      </c>
      <c r="F566" s="107">
        <v>1.0</v>
      </c>
      <c r="G566" s="107">
        <v>0.0</v>
      </c>
      <c r="H566" s="97"/>
      <c r="I566" s="97"/>
      <c r="J566" s="97"/>
      <c r="K566" s="97"/>
      <c r="L566" s="97"/>
    </row>
    <row r="567">
      <c r="A567" s="97" t="s">
        <v>951</v>
      </c>
      <c r="B567" s="97"/>
      <c r="C567" s="97"/>
      <c r="D567" s="107">
        <v>1.0</v>
      </c>
      <c r="E567" s="107">
        <v>1.0</v>
      </c>
      <c r="F567" s="107">
        <v>1.0</v>
      </c>
      <c r="G567" s="107">
        <v>1.0</v>
      </c>
      <c r="H567" s="97"/>
      <c r="I567" s="97"/>
      <c r="J567" s="97"/>
      <c r="K567" s="97"/>
      <c r="L567" s="97"/>
    </row>
    <row r="568">
      <c r="A568" s="97" t="s">
        <v>952</v>
      </c>
      <c r="B568" s="97"/>
      <c r="C568" s="97"/>
      <c r="D568" s="107">
        <v>1.0</v>
      </c>
      <c r="E568" s="107">
        <v>1.0</v>
      </c>
      <c r="F568" s="107">
        <v>1.0</v>
      </c>
      <c r="G568" s="107">
        <v>1.0</v>
      </c>
      <c r="H568" s="97"/>
      <c r="I568" s="97"/>
      <c r="J568" s="97"/>
      <c r="K568" s="97"/>
      <c r="L568" s="97"/>
    </row>
    <row r="569">
      <c r="A569" s="103" t="s">
        <v>1291</v>
      </c>
      <c r="B569" s="103" t="s">
        <v>1763</v>
      </c>
      <c r="C569" s="103" t="s">
        <v>1764</v>
      </c>
      <c r="D569" s="102" t="s">
        <v>1780</v>
      </c>
      <c r="E569" s="102" t="s">
        <v>1781</v>
      </c>
      <c r="F569" s="102" t="s">
        <v>1782</v>
      </c>
      <c r="G569" s="102" t="s">
        <v>1783</v>
      </c>
      <c r="H569" s="103" t="s">
        <v>1768</v>
      </c>
      <c r="I569" s="103" t="s">
        <v>1769</v>
      </c>
      <c r="J569" s="103" t="s">
        <v>1770</v>
      </c>
      <c r="K569" s="103" t="s">
        <v>1767</v>
      </c>
      <c r="L569" s="103" t="s">
        <v>1010</v>
      </c>
      <c r="M569" s="104"/>
      <c r="N569" s="104"/>
      <c r="O569" s="104"/>
      <c r="P569" s="104"/>
      <c r="Q569" s="104"/>
      <c r="R569" s="104"/>
      <c r="S569" s="104"/>
      <c r="T569" s="104"/>
      <c r="U569" s="104"/>
      <c r="V569" s="104"/>
      <c r="W569" s="104"/>
      <c r="X569" s="104"/>
      <c r="Y569" s="104"/>
      <c r="Z569" s="104"/>
    </row>
    <row r="570">
      <c r="A570" s="103" t="s">
        <v>1281</v>
      </c>
      <c r="B570" s="103"/>
      <c r="C570" s="103"/>
      <c r="D570" s="102">
        <v>1.0</v>
      </c>
      <c r="E570" s="102">
        <v>1.0</v>
      </c>
      <c r="F570" s="102">
        <v>1.0</v>
      </c>
      <c r="G570" s="102">
        <v>1.0</v>
      </c>
      <c r="H570" s="103"/>
      <c r="I570" s="103"/>
      <c r="J570" s="103"/>
      <c r="K570" s="103"/>
      <c r="L570" s="103"/>
      <c r="M570" s="104"/>
      <c r="N570" s="104"/>
      <c r="O570" s="104"/>
      <c r="P570" s="104"/>
      <c r="Q570" s="104"/>
      <c r="R570" s="104"/>
      <c r="S570" s="104"/>
      <c r="T570" s="104"/>
      <c r="U570" s="104"/>
      <c r="V570" s="104"/>
      <c r="W570" s="104"/>
      <c r="X570" s="104"/>
      <c r="Y570" s="104"/>
      <c r="Z570" s="104"/>
    </row>
    <row r="571">
      <c r="A571" s="103" t="s">
        <v>1282</v>
      </c>
      <c r="B571" s="103"/>
      <c r="C571" s="103"/>
      <c r="D571" s="102">
        <v>1.0</v>
      </c>
      <c r="E571" s="102">
        <v>1.0</v>
      </c>
      <c r="F571" s="102">
        <v>1.0</v>
      </c>
      <c r="G571" s="102">
        <v>1.0</v>
      </c>
      <c r="H571" s="103"/>
      <c r="I571" s="103"/>
      <c r="J571" s="103"/>
      <c r="K571" s="103"/>
      <c r="L571" s="103"/>
      <c r="M571" s="104"/>
      <c r="N571" s="104"/>
      <c r="O571" s="104"/>
      <c r="P571" s="104"/>
      <c r="Q571" s="104"/>
      <c r="R571" s="104"/>
      <c r="S571" s="104"/>
      <c r="T571" s="104"/>
      <c r="U571" s="104"/>
      <c r="V571" s="104"/>
      <c r="W571" s="104"/>
      <c r="X571" s="104"/>
      <c r="Y571" s="104"/>
      <c r="Z571" s="104"/>
    </row>
    <row r="572">
      <c r="A572" s="103" t="s">
        <v>948</v>
      </c>
      <c r="B572" s="103"/>
      <c r="C572" s="103"/>
      <c r="D572" s="102">
        <v>1.0</v>
      </c>
      <c r="E572" s="102">
        <v>0.0</v>
      </c>
      <c r="F572" s="102">
        <v>0.0</v>
      </c>
      <c r="G572" s="102">
        <v>1.0</v>
      </c>
      <c r="H572" s="103"/>
      <c r="I572" s="103"/>
      <c r="J572" s="103"/>
      <c r="K572" s="103"/>
      <c r="L572" s="103"/>
      <c r="M572" s="104"/>
      <c r="N572" s="104"/>
      <c r="O572" s="104"/>
      <c r="P572" s="104"/>
      <c r="Q572" s="104"/>
      <c r="R572" s="104"/>
      <c r="S572" s="104"/>
      <c r="T572" s="104"/>
      <c r="U572" s="104"/>
      <c r="V572" s="104"/>
      <c r="W572" s="104"/>
      <c r="X572" s="104"/>
      <c r="Y572" s="104"/>
      <c r="Z572" s="104"/>
    </row>
    <row r="573">
      <c r="A573" s="103" t="s">
        <v>1283</v>
      </c>
      <c r="B573" s="103"/>
      <c r="C573" s="103"/>
      <c r="D573" s="102">
        <v>1.0</v>
      </c>
      <c r="E573" s="102">
        <v>1.0</v>
      </c>
      <c r="F573" s="102">
        <v>1.0</v>
      </c>
      <c r="G573" s="102">
        <v>1.0</v>
      </c>
      <c r="H573" s="103"/>
      <c r="I573" s="103"/>
      <c r="J573" s="103"/>
      <c r="K573" s="103"/>
      <c r="L573" s="103"/>
      <c r="M573" s="104"/>
      <c r="N573" s="104"/>
      <c r="O573" s="104"/>
      <c r="P573" s="104"/>
      <c r="Q573" s="104"/>
      <c r="R573" s="104"/>
      <c r="S573" s="104"/>
      <c r="T573" s="104"/>
      <c r="U573" s="104"/>
      <c r="V573" s="104"/>
      <c r="W573" s="104"/>
      <c r="X573" s="104"/>
      <c r="Y573" s="104"/>
      <c r="Z573" s="104"/>
    </row>
    <row r="574">
      <c r="A574" s="103" t="s">
        <v>950</v>
      </c>
      <c r="B574" s="103"/>
      <c r="C574" s="103"/>
      <c r="D574" s="102">
        <v>1.0</v>
      </c>
      <c r="E574" s="102">
        <v>1.0</v>
      </c>
      <c r="F574" s="102">
        <v>1.0</v>
      </c>
      <c r="G574" s="102">
        <v>1.0</v>
      </c>
      <c r="H574" s="103"/>
      <c r="I574" s="103"/>
      <c r="J574" s="103"/>
      <c r="K574" s="103"/>
      <c r="L574" s="103"/>
      <c r="M574" s="104"/>
      <c r="N574" s="104"/>
      <c r="O574" s="104"/>
      <c r="P574" s="104"/>
      <c r="Q574" s="104"/>
      <c r="R574" s="104"/>
      <c r="S574" s="104"/>
      <c r="T574" s="104"/>
      <c r="U574" s="104"/>
      <c r="V574" s="104"/>
      <c r="W574" s="104"/>
      <c r="X574" s="104"/>
      <c r="Y574" s="104"/>
      <c r="Z574" s="104"/>
    </row>
    <row r="575">
      <c r="A575" s="103" t="s">
        <v>951</v>
      </c>
      <c r="B575" s="103"/>
      <c r="C575" s="103"/>
      <c r="D575" s="102">
        <v>1.0</v>
      </c>
      <c r="E575" s="102">
        <v>1.0</v>
      </c>
      <c r="F575" s="102">
        <v>1.0</v>
      </c>
      <c r="G575" s="102">
        <v>1.0</v>
      </c>
      <c r="H575" s="103"/>
      <c r="I575" s="103"/>
      <c r="J575" s="103"/>
      <c r="K575" s="103"/>
      <c r="L575" s="103"/>
      <c r="M575" s="104"/>
      <c r="N575" s="104"/>
      <c r="O575" s="104"/>
      <c r="P575" s="104"/>
      <c r="Q575" s="104"/>
      <c r="R575" s="104"/>
      <c r="S575" s="104"/>
      <c r="T575" s="104"/>
      <c r="U575" s="104"/>
      <c r="V575" s="104"/>
      <c r="W575" s="104"/>
      <c r="X575" s="104"/>
      <c r="Y575" s="104"/>
      <c r="Z575" s="104"/>
    </row>
    <row r="576">
      <c r="A576" s="103" t="s">
        <v>952</v>
      </c>
      <c r="B576" s="103"/>
      <c r="C576" s="103"/>
      <c r="D576" s="102">
        <v>1.0</v>
      </c>
      <c r="E576" s="102">
        <v>1.0</v>
      </c>
      <c r="F576" s="102">
        <v>1.0</v>
      </c>
      <c r="G576" s="102">
        <v>1.0</v>
      </c>
      <c r="H576" s="103"/>
      <c r="I576" s="103"/>
      <c r="J576" s="103"/>
      <c r="K576" s="103"/>
      <c r="L576" s="103"/>
      <c r="M576" s="104"/>
      <c r="N576" s="104"/>
      <c r="O576" s="104"/>
      <c r="P576" s="104"/>
      <c r="Q576" s="104"/>
      <c r="R576" s="104"/>
      <c r="S576" s="104"/>
      <c r="T576" s="104"/>
      <c r="U576" s="104"/>
      <c r="V576" s="104"/>
      <c r="W576" s="104"/>
      <c r="X576" s="104"/>
      <c r="Y576" s="104"/>
      <c r="Z576" s="104"/>
    </row>
    <row r="577">
      <c r="A577" s="97" t="s">
        <v>1272</v>
      </c>
      <c r="B577" s="97"/>
      <c r="C577" s="97"/>
      <c r="D577" s="5" t="s">
        <v>2058</v>
      </c>
      <c r="E577" s="5" t="s">
        <v>2059</v>
      </c>
      <c r="F577" s="5" t="s">
        <v>2060</v>
      </c>
      <c r="G577" s="5" t="s">
        <v>2061</v>
      </c>
      <c r="H577" s="97"/>
      <c r="I577" s="97"/>
      <c r="J577" s="97"/>
      <c r="K577" s="97"/>
      <c r="L577" s="97"/>
    </row>
    <row r="578">
      <c r="A578" s="97" t="s">
        <v>1273</v>
      </c>
      <c r="B578" s="97" t="s">
        <v>1784</v>
      </c>
      <c r="C578" s="97" t="s">
        <v>1768</v>
      </c>
      <c r="D578" s="97" t="s">
        <v>1785</v>
      </c>
      <c r="E578" s="97" t="s">
        <v>1786</v>
      </c>
      <c r="F578" s="97" t="s">
        <v>1787</v>
      </c>
      <c r="G578" s="97" t="s">
        <v>1788</v>
      </c>
      <c r="H578" s="97" t="s">
        <v>1198</v>
      </c>
      <c r="I578" s="97" t="s">
        <v>1789</v>
      </c>
      <c r="J578" s="97" t="s">
        <v>1512</v>
      </c>
      <c r="K578" s="97" t="s">
        <v>1787</v>
      </c>
      <c r="L578" s="97" t="s">
        <v>1788</v>
      </c>
    </row>
    <row r="579">
      <c r="A579" s="97" t="s">
        <v>1281</v>
      </c>
      <c r="B579" s="97"/>
      <c r="C579" s="97"/>
      <c r="D579" s="107">
        <v>1.0</v>
      </c>
      <c r="E579" s="107">
        <v>1.0</v>
      </c>
      <c r="F579" s="107">
        <v>0.0</v>
      </c>
      <c r="G579" s="107">
        <v>0.0</v>
      </c>
      <c r="H579" s="97"/>
      <c r="I579" s="97"/>
      <c r="J579" s="97"/>
      <c r="K579" s="97"/>
      <c r="L579" s="97"/>
    </row>
    <row r="580">
      <c r="A580" s="97" t="s">
        <v>1282</v>
      </c>
      <c r="B580" s="97"/>
      <c r="C580" s="97"/>
      <c r="D580" s="107">
        <v>1.0</v>
      </c>
      <c r="E580" s="107">
        <v>1.0</v>
      </c>
      <c r="F580" s="107">
        <v>0.0</v>
      </c>
      <c r="G580" s="107">
        <v>0.0</v>
      </c>
      <c r="H580" s="97"/>
      <c r="I580" s="97"/>
      <c r="J580" s="97"/>
      <c r="K580" s="97"/>
      <c r="L580" s="97"/>
    </row>
    <row r="581">
      <c r="A581" s="97" t="s">
        <v>948</v>
      </c>
      <c r="B581" s="97"/>
      <c r="C581" s="97"/>
      <c r="D581" s="107">
        <v>1.0</v>
      </c>
      <c r="E581" s="107">
        <v>1.0</v>
      </c>
      <c r="F581" s="107">
        <v>0.0</v>
      </c>
      <c r="G581" s="107">
        <v>1.0</v>
      </c>
      <c r="H581" s="97"/>
      <c r="I581" s="97"/>
      <c r="J581" s="97"/>
      <c r="K581" s="97"/>
      <c r="L581" s="97"/>
    </row>
    <row r="582">
      <c r="A582" s="97" t="s">
        <v>1283</v>
      </c>
      <c r="B582" s="97"/>
      <c r="C582" s="97"/>
      <c r="D582" s="107">
        <v>1.0</v>
      </c>
      <c r="E582" s="107">
        <v>1.0</v>
      </c>
      <c r="F582" s="107">
        <v>1.0</v>
      </c>
      <c r="G582" s="107">
        <v>1.0</v>
      </c>
      <c r="H582" s="97"/>
      <c r="I582" s="97"/>
      <c r="J582" s="97"/>
      <c r="K582" s="97"/>
      <c r="L582" s="97"/>
    </row>
    <row r="583">
      <c r="A583" s="97" t="s">
        <v>950</v>
      </c>
      <c r="B583" s="97"/>
      <c r="C583" s="97"/>
      <c r="D583" s="107">
        <v>1.0</v>
      </c>
      <c r="E583" s="107">
        <v>1.0</v>
      </c>
      <c r="F583" s="107">
        <v>0.0</v>
      </c>
      <c r="G583" s="107">
        <v>0.0</v>
      </c>
      <c r="H583" s="97"/>
      <c r="I583" s="97"/>
      <c r="J583" s="97"/>
      <c r="K583" s="97"/>
      <c r="L583" s="97"/>
    </row>
    <row r="584">
      <c r="A584" s="97" t="s">
        <v>951</v>
      </c>
      <c r="B584" s="97"/>
      <c r="C584" s="97"/>
      <c r="D584" s="107">
        <v>1.0</v>
      </c>
      <c r="E584" s="107">
        <v>1.0</v>
      </c>
      <c r="F584" s="107">
        <v>1.0</v>
      </c>
      <c r="G584" s="107">
        <v>0.0</v>
      </c>
      <c r="H584" s="97"/>
      <c r="I584" s="97"/>
      <c r="J584" s="97"/>
      <c r="K584" s="97"/>
      <c r="L584" s="97"/>
    </row>
    <row r="585">
      <c r="A585" s="97" t="s">
        <v>952</v>
      </c>
      <c r="B585" s="97"/>
      <c r="C585" s="97"/>
      <c r="D585" s="107">
        <v>1.0</v>
      </c>
      <c r="E585" s="107">
        <v>1.0</v>
      </c>
      <c r="F585" s="107">
        <v>1.0</v>
      </c>
      <c r="G585" s="107">
        <v>1.0</v>
      </c>
      <c r="H585" s="97"/>
      <c r="I585" s="97"/>
      <c r="J585" s="97"/>
      <c r="K585" s="97"/>
      <c r="L585" s="97"/>
    </row>
    <row r="586">
      <c r="A586" s="97" t="s">
        <v>1284</v>
      </c>
      <c r="B586" s="97" t="s">
        <v>1784</v>
      </c>
      <c r="C586" s="97" t="s">
        <v>1790</v>
      </c>
      <c r="D586" s="97" t="s">
        <v>1791</v>
      </c>
      <c r="E586" s="97" t="s">
        <v>1792</v>
      </c>
      <c r="F586" s="97" t="s">
        <v>1793</v>
      </c>
      <c r="G586" s="97" t="s">
        <v>1794</v>
      </c>
      <c r="H586" s="97" t="s">
        <v>1795</v>
      </c>
      <c r="I586" s="97" t="s">
        <v>1796</v>
      </c>
      <c r="J586" s="97" t="s">
        <v>1797</v>
      </c>
      <c r="K586" s="97" t="s">
        <v>1798</v>
      </c>
      <c r="L586" s="97" t="s">
        <v>1229</v>
      </c>
    </row>
    <row r="587">
      <c r="A587" s="97" t="s">
        <v>1281</v>
      </c>
      <c r="B587" s="97"/>
      <c r="C587" s="97"/>
      <c r="D587" s="107">
        <v>1.0</v>
      </c>
      <c r="E587" s="107">
        <v>1.0</v>
      </c>
      <c r="F587" s="107">
        <v>1.0</v>
      </c>
      <c r="G587" s="107">
        <v>1.0</v>
      </c>
      <c r="H587" s="97"/>
      <c r="I587" s="97"/>
      <c r="J587" s="97"/>
      <c r="K587" s="97"/>
      <c r="L587" s="97"/>
    </row>
    <row r="588">
      <c r="A588" s="97" t="s">
        <v>1282</v>
      </c>
      <c r="B588" s="97"/>
      <c r="C588" s="97"/>
      <c r="D588" s="107">
        <v>0.0</v>
      </c>
      <c r="E588" s="107">
        <v>1.0</v>
      </c>
      <c r="F588" s="107">
        <v>1.0</v>
      </c>
      <c r="G588" s="107">
        <v>1.0</v>
      </c>
      <c r="H588" s="97"/>
      <c r="I588" s="97"/>
      <c r="J588" s="97"/>
      <c r="K588" s="97"/>
      <c r="L588" s="97"/>
    </row>
    <row r="589">
      <c r="A589" s="97" t="s">
        <v>948</v>
      </c>
      <c r="B589" s="97"/>
      <c r="C589" s="97"/>
      <c r="D589" s="107">
        <v>1.0</v>
      </c>
      <c r="E589" s="107">
        <v>1.0</v>
      </c>
      <c r="F589" s="107">
        <v>0.0</v>
      </c>
      <c r="G589" s="107">
        <v>1.0</v>
      </c>
      <c r="H589" s="97"/>
      <c r="I589" s="97"/>
      <c r="J589" s="97"/>
      <c r="K589" s="97"/>
      <c r="L589" s="97"/>
    </row>
    <row r="590">
      <c r="A590" s="97" t="s">
        <v>1283</v>
      </c>
      <c r="B590" s="97"/>
      <c r="C590" s="97"/>
      <c r="D590" s="107">
        <v>1.0</v>
      </c>
      <c r="E590" s="107">
        <v>1.0</v>
      </c>
      <c r="F590" s="107">
        <v>1.0</v>
      </c>
      <c r="G590" s="107">
        <v>1.0</v>
      </c>
      <c r="H590" s="97"/>
      <c r="I590" s="97"/>
      <c r="J590" s="97"/>
      <c r="K590" s="97"/>
      <c r="L590" s="97"/>
    </row>
    <row r="591">
      <c r="A591" s="97" t="s">
        <v>950</v>
      </c>
      <c r="B591" s="97"/>
      <c r="C591" s="97"/>
      <c r="D591" s="107">
        <v>0.0</v>
      </c>
      <c r="E591" s="107">
        <v>1.0</v>
      </c>
      <c r="F591" s="107">
        <v>1.0</v>
      </c>
      <c r="G591" s="107">
        <v>1.0</v>
      </c>
      <c r="H591" s="97"/>
      <c r="I591" s="97"/>
      <c r="J591" s="97"/>
      <c r="K591" s="97"/>
      <c r="L591" s="97"/>
    </row>
    <row r="592">
      <c r="A592" s="97" t="s">
        <v>951</v>
      </c>
      <c r="B592" s="97"/>
      <c r="C592" s="97"/>
      <c r="D592" s="107">
        <v>1.0</v>
      </c>
      <c r="E592" s="107">
        <v>1.0</v>
      </c>
      <c r="F592" s="107">
        <v>1.0</v>
      </c>
      <c r="G592" s="107">
        <v>1.0</v>
      </c>
      <c r="H592" s="97"/>
      <c r="I592" s="97"/>
      <c r="J592" s="97"/>
      <c r="K592" s="97"/>
      <c r="L592" s="97"/>
    </row>
    <row r="593">
      <c r="A593" s="97" t="s">
        <v>952</v>
      </c>
      <c r="B593" s="97"/>
      <c r="C593" s="97"/>
      <c r="D593" s="107">
        <v>1.0</v>
      </c>
      <c r="E593" s="107">
        <v>1.0</v>
      </c>
      <c r="F593" s="107">
        <v>1.0</v>
      </c>
      <c r="G593" s="107">
        <v>1.0</v>
      </c>
      <c r="H593" s="97"/>
      <c r="I593" s="97"/>
      <c r="J593" s="97"/>
      <c r="K593" s="97"/>
      <c r="L593" s="97"/>
    </row>
    <row r="594">
      <c r="A594" s="97" t="s">
        <v>1291</v>
      </c>
      <c r="B594" s="97" t="s">
        <v>1784</v>
      </c>
      <c r="C594" s="97" t="s">
        <v>1799</v>
      </c>
      <c r="D594" s="97" t="s">
        <v>1800</v>
      </c>
      <c r="E594" s="97" t="s">
        <v>1801</v>
      </c>
      <c r="F594" s="97" t="s">
        <v>1802</v>
      </c>
      <c r="G594" s="97" t="s">
        <v>1803</v>
      </c>
      <c r="H594" s="97" t="s">
        <v>1804</v>
      </c>
      <c r="I594" s="97" t="s">
        <v>1805</v>
      </c>
      <c r="J594" s="97" t="s">
        <v>1512</v>
      </c>
      <c r="K594" s="97" t="s">
        <v>1806</v>
      </c>
      <c r="L594" s="97" t="s">
        <v>1807</v>
      </c>
    </row>
    <row r="595">
      <c r="A595" s="97" t="s">
        <v>1281</v>
      </c>
      <c r="B595" s="97"/>
      <c r="C595" s="97"/>
      <c r="D595" s="107">
        <v>1.0</v>
      </c>
      <c r="E595" s="107">
        <v>1.0</v>
      </c>
      <c r="F595" s="107">
        <v>1.0</v>
      </c>
      <c r="G595" s="107">
        <v>1.0</v>
      </c>
      <c r="H595" s="97"/>
      <c r="I595" s="97"/>
      <c r="J595" s="97"/>
      <c r="K595" s="97"/>
      <c r="L595" s="97"/>
    </row>
    <row r="596">
      <c r="A596" s="97" t="s">
        <v>1282</v>
      </c>
      <c r="B596" s="97"/>
      <c r="C596" s="97"/>
      <c r="D596" s="107">
        <v>0.0</v>
      </c>
      <c r="E596" s="107">
        <v>1.0</v>
      </c>
      <c r="F596" s="107">
        <v>1.0</v>
      </c>
      <c r="G596" s="107">
        <v>1.0</v>
      </c>
      <c r="H596" s="97"/>
      <c r="I596" s="97"/>
      <c r="J596" s="97"/>
      <c r="K596" s="97"/>
      <c r="L596" s="97"/>
    </row>
    <row r="597">
      <c r="A597" s="97" t="s">
        <v>948</v>
      </c>
      <c r="B597" s="97"/>
      <c r="C597" s="97"/>
      <c r="D597" s="107">
        <v>1.0</v>
      </c>
      <c r="E597" s="107">
        <v>1.0</v>
      </c>
      <c r="F597" s="107">
        <v>1.0</v>
      </c>
      <c r="G597" s="107">
        <v>1.0</v>
      </c>
      <c r="H597" s="97"/>
      <c r="I597" s="97"/>
      <c r="J597" s="97"/>
      <c r="K597" s="97"/>
      <c r="L597" s="97"/>
    </row>
    <row r="598">
      <c r="A598" s="97" t="s">
        <v>1283</v>
      </c>
      <c r="B598" s="97"/>
      <c r="C598" s="97"/>
      <c r="D598" s="107">
        <v>1.0</v>
      </c>
      <c r="E598" s="107">
        <v>1.0</v>
      </c>
      <c r="F598" s="107">
        <v>1.0</v>
      </c>
      <c r="G598" s="107">
        <v>1.0</v>
      </c>
      <c r="H598" s="97"/>
      <c r="I598" s="97"/>
      <c r="J598" s="97"/>
      <c r="K598" s="97"/>
      <c r="L598" s="97"/>
    </row>
    <row r="599">
      <c r="A599" s="97" t="s">
        <v>950</v>
      </c>
      <c r="B599" s="97"/>
      <c r="C599" s="97"/>
      <c r="D599" s="107">
        <v>0.0</v>
      </c>
      <c r="E599" s="107">
        <v>1.0</v>
      </c>
      <c r="F599" s="107">
        <v>1.0</v>
      </c>
      <c r="G599" s="107">
        <v>1.0</v>
      </c>
      <c r="H599" s="97"/>
      <c r="I599" s="97"/>
      <c r="J599" s="97"/>
      <c r="K599" s="97"/>
      <c r="L599" s="97"/>
    </row>
    <row r="600">
      <c r="A600" s="97" t="s">
        <v>951</v>
      </c>
      <c r="B600" s="97"/>
      <c r="C600" s="97"/>
      <c r="D600" s="107">
        <v>1.0</v>
      </c>
      <c r="E600" s="107">
        <v>1.0</v>
      </c>
      <c r="F600" s="107">
        <v>1.0</v>
      </c>
      <c r="G600" s="107">
        <v>1.0</v>
      </c>
      <c r="H600" s="97"/>
      <c r="I600" s="97"/>
      <c r="J600" s="97"/>
      <c r="K600" s="97"/>
      <c r="L600" s="97"/>
    </row>
    <row r="601">
      <c r="A601" s="97" t="s">
        <v>952</v>
      </c>
      <c r="B601" s="97"/>
      <c r="C601" s="97"/>
      <c r="D601" s="107">
        <v>1.0</v>
      </c>
      <c r="E601" s="107">
        <v>1.0</v>
      </c>
      <c r="F601" s="107">
        <v>1.0</v>
      </c>
      <c r="G601" s="107">
        <v>1.0</v>
      </c>
      <c r="H601" s="97"/>
      <c r="I601" s="97"/>
      <c r="J601" s="97"/>
      <c r="K601" s="97"/>
      <c r="L601" s="97"/>
    </row>
    <row r="602">
      <c r="A602" s="97" t="s">
        <v>1272</v>
      </c>
      <c r="B602" s="97"/>
      <c r="C602" s="97"/>
      <c r="D602" s="59" t="s">
        <v>2069</v>
      </c>
      <c r="E602" s="59" t="s">
        <v>2070</v>
      </c>
      <c r="F602" s="59" t="s">
        <v>2071</v>
      </c>
      <c r="G602" s="59" t="s">
        <v>1239</v>
      </c>
      <c r="H602" s="97"/>
      <c r="I602" s="97"/>
      <c r="J602" s="97"/>
      <c r="K602" s="97"/>
      <c r="L602" s="97"/>
    </row>
    <row r="603">
      <c r="A603" s="97" t="s">
        <v>1273</v>
      </c>
      <c r="B603" s="97" t="s">
        <v>1808</v>
      </c>
      <c r="C603" s="97" t="s">
        <v>1275</v>
      </c>
      <c r="D603" s="97" t="s">
        <v>1809</v>
      </c>
      <c r="E603" s="97" t="s">
        <v>1810</v>
      </c>
      <c r="F603" s="97" t="s">
        <v>1811</v>
      </c>
      <c r="G603" s="97" t="s">
        <v>1812</v>
      </c>
      <c r="H603" s="97" t="s">
        <v>1275</v>
      </c>
      <c r="I603" s="97" t="s">
        <v>1813</v>
      </c>
      <c r="J603" s="97" t="s">
        <v>1814</v>
      </c>
      <c r="K603" s="97" t="s">
        <v>1811</v>
      </c>
      <c r="L603" s="97" t="s">
        <v>1815</v>
      </c>
    </row>
    <row r="604">
      <c r="A604" s="97" t="s">
        <v>1281</v>
      </c>
      <c r="B604" s="97"/>
      <c r="C604" s="97"/>
      <c r="D604" s="107">
        <v>1.0</v>
      </c>
      <c r="E604" s="107">
        <v>1.0</v>
      </c>
      <c r="F604" s="107">
        <v>0.0</v>
      </c>
      <c r="G604" s="107">
        <v>0.0</v>
      </c>
      <c r="H604" s="97"/>
      <c r="I604" s="97"/>
      <c r="J604" s="97"/>
      <c r="K604" s="97"/>
      <c r="L604" s="97"/>
    </row>
    <row r="605">
      <c r="A605" s="97" t="s">
        <v>1282</v>
      </c>
      <c r="B605" s="97"/>
      <c r="C605" s="97"/>
      <c r="D605" s="107">
        <v>1.0</v>
      </c>
      <c r="E605" s="107">
        <v>1.0</v>
      </c>
      <c r="F605" s="107">
        <v>0.0</v>
      </c>
      <c r="G605" s="107">
        <v>0.0</v>
      </c>
      <c r="H605" s="97"/>
      <c r="I605" s="97"/>
      <c r="J605" s="97"/>
      <c r="K605" s="97"/>
      <c r="L605" s="97"/>
    </row>
    <row r="606">
      <c r="A606" s="97" t="s">
        <v>948</v>
      </c>
      <c r="B606" s="97"/>
      <c r="C606" s="97"/>
      <c r="D606" s="107">
        <v>1.0</v>
      </c>
      <c r="E606" s="107">
        <v>1.0</v>
      </c>
      <c r="F606" s="107">
        <v>0.0</v>
      </c>
      <c r="G606" s="107">
        <v>1.0</v>
      </c>
      <c r="H606" s="97"/>
      <c r="I606" s="97"/>
      <c r="J606" s="97"/>
      <c r="K606" s="97"/>
      <c r="L606" s="97"/>
    </row>
    <row r="607">
      <c r="A607" s="97" t="s">
        <v>1283</v>
      </c>
      <c r="B607" s="97"/>
      <c r="C607" s="97"/>
      <c r="D607" s="107">
        <v>1.0</v>
      </c>
      <c r="E607" s="107">
        <v>1.0</v>
      </c>
      <c r="F607" s="107">
        <v>1.0</v>
      </c>
      <c r="G607" s="107">
        <v>1.0</v>
      </c>
      <c r="H607" s="97"/>
      <c r="I607" s="97"/>
      <c r="J607" s="97"/>
      <c r="K607" s="97"/>
      <c r="L607" s="97"/>
    </row>
    <row r="608">
      <c r="A608" s="97" t="s">
        <v>950</v>
      </c>
      <c r="B608" s="97"/>
      <c r="C608" s="97"/>
      <c r="D608" s="107">
        <v>1.0</v>
      </c>
      <c r="E608" s="107">
        <v>1.0</v>
      </c>
      <c r="F608" s="107">
        <v>0.0</v>
      </c>
      <c r="G608" s="107">
        <v>0.0</v>
      </c>
      <c r="H608" s="97"/>
      <c r="I608" s="97"/>
      <c r="J608" s="97"/>
      <c r="K608" s="97"/>
      <c r="L608" s="97"/>
    </row>
    <row r="609">
      <c r="A609" s="97" t="s">
        <v>951</v>
      </c>
      <c r="B609" s="97"/>
      <c r="C609" s="97"/>
      <c r="D609" s="107">
        <v>1.0</v>
      </c>
      <c r="E609" s="107">
        <v>1.0</v>
      </c>
      <c r="F609" s="107">
        <v>0.0</v>
      </c>
      <c r="G609" s="107">
        <v>0.0</v>
      </c>
      <c r="H609" s="97"/>
      <c r="I609" s="97"/>
      <c r="J609" s="97"/>
      <c r="K609" s="97"/>
      <c r="L609" s="97"/>
    </row>
    <row r="610">
      <c r="A610" s="97" t="s">
        <v>952</v>
      </c>
      <c r="B610" s="97"/>
      <c r="C610" s="97"/>
      <c r="D610" s="107">
        <v>1.0</v>
      </c>
      <c r="E610" s="107">
        <v>1.0</v>
      </c>
      <c r="F610" s="107">
        <v>1.0</v>
      </c>
      <c r="G610" s="107">
        <v>1.0</v>
      </c>
      <c r="H610" s="97"/>
      <c r="I610" s="97"/>
      <c r="J610" s="97"/>
      <c r="K610" s="97"/>
      <c r="L610" s="97"/>
    </row>
    <row r="611">
      <c r="A611" s="97" t="s">
        <v>1284</v>
      </c>
      <c r="B611" s="97" t="s">
        <v>1808</v>
      </c>
      <c r="C611" s="97" t="s">
        <v>1816</v>
      </c>
      <c r="D611" s="97" t="s">
        <v>1817</v>
      </c>
      <c r="E611" s="97" t="s">
        <v>1818</v>
      </c>
      <c r="F611" s="97" t="s">
        <v>1819</v>
      </c>
      <c r="G611" s="97" t="s">
        <v>1820</v>
      </c>
      <c r="H611" s="97" t="s">
        <v>1821</v>
      </c>
      <c r="I611" s="97" t="s">
        <v>1822</v>
      </c>
      <c r="J611" s="97" t="s">
        <v>1823</v>
      </c>
      <c r="K611" s="97" t="s">
        <v>1824</v>
      </c>
      <c r="L611" s="97" t="s">
        <v>1825</v>
      </c>
    </row>
    <row r="612">
      <c r="A612" s="97" t="s">
        <v>1281</v>
      </c>
      <c r="B612" s="97"/>
      <c r="C612" s="97"/>
      <c r="D612" s="107">
        <v>1.0</v>
      </c>
      <c r="E612" s="107">
        <v>0.0</v>
      </c>
      <c r="F612" s="107">
        <v>0.0</v>
      </c>
      <c r="G612" s="107">
        <v>1.0</v>
      </c>
      <c r="H612" s="97"/>
      <c r="I612" s="97"/>
      <c r="J612" s="97"/>
      <c r="K612" s="97"/>
      <c r="L612" s="97"/>
    </row>
    <row r="613">
      <c r="A613" s="97" t="s">
        <v>1282</v>
      </c>
      <c r="B613" s="97"/>
      <c r="C613" s="97"/>
      <c r="D613" s="107">
        <v>1.0</v>
      </c>
      <c r="E613" s="107">
        <v>0.0</v>
      </c>
      <c r="F613" s="107">
        <v>0.0</v>
      </c>
      <c r="G613" s="107">
        <v>1.0</v>
      </c>
      <c r="H613" s="97"/>
      <c r="I613" s="97"/>
      <c r="J613" s="97"/>
      <c r="K613" s="97"/>
      <c r="L613" s="97"/>
    </row>
    <row r="614">
      <c r="A614" s="97" t="s">
        <v>948</v>
      </c>
      <c r="B614" s="97"/>
      <c r="C614" s="97"/>
      <c r="D614" s="107">
        <v>1.0</v>
      </c>
      <c r="E614" s="107">
        <v>0.0</v>
      </c>
      <c r="F614" s="107">
        <v>0.0</v>
      </c>
      <c r="G614" s="107">
        <v>1.0</v>
      </c>
      <c r="H614" s="97"/>
      <c r="I614" s="97"/>
      <c r="J614" s="97"/>
      <c r="K614" s="97"/>
      <c r="L614" s="97"/>
    </row>
    <row r="615">
      <c r="A615" s="97" t="s">
        <v>1283</v>
      </c>
      <c r="B615" s="97"/>
      <c r="C615" s="97"/>
      <c r="D615" s="107">
        <v>1.0</v>
      </c>
      <c r="E615" s="107">
        <v>1.0</v>
      </c>
      <c r="F615" s="107">
        <v>1.0</v>
      </c>
      <c r="G615" s="107">
        <v>1.0</v>
      </c>
      <c r="H615" s="97"/>
      <c r="I615" s="97"/>
      <c r="J615" s="97"/>
      <c r="K615" s="97"/>
      <c r="L615" s="97"/>
    </row>
    <row r="616">
      <c r="A616" s="97" t="s">
        <v>950</v>
      </c>
      <c r="B616" s="97"/>
      <c r="C616" s="97"/>
      <c r="D616" s="107">
        <v>1.0</v>
      </c>
      <c r="E616" s="107">
        <v>0.0</v>
      </c>
      <c r="F616" s="107">
        <v>1.0</v>
      </c>
      <c r="G616" s="107">
        <v>1.0</v>
      </c>
      <c r="H616" s="97"/>
      <c r="I616" s="97"/>
      <c r="J616" s="97"/>
      <c r="K616" s="97"/>
      <c r="L616" s="97"/>
    </row>
    <row r="617">
      <c r="A617" s="97" t="s">
        <v>951</v>
      </c>
      <c r="B617" s="97"/>
      <c r="C617" s="97"/>
      <c r="D617" s="107">
        <v>1.0</v>
      </c>
      <c r="E617" s="107">
        <v>0.0</v>
      </c>
      <c r="F617" s="107">
        <v>0.0</v>
      </c>
      <c r="G617" s="107">
        <v>1.0</v>
      </c>
      <c r="H617" s="97"/>
      <c r="I617" s="97"/>
      <c r="J617" s="97"/>
      <c r="K617" s="97"/>
      <c r="L617" s="97"/>
    </row>
    <row r="618">
      <c r="A618" s="97" t="s">
        <v>952</v>
      </c>
      <c r="B618" s="97"/>
      <c r="C618" s="97"/>
      <c r="D618" s="107">
        <v>1.0</v>
      </c>
      <c r="E618" s="107">
        <v>1.0</v>
      </c>
      <c r="F618" s="107">
        <v>1.0</v>
      </c>
      <c r="G618" s="107">
        <v>1.0</v>
      </c>
      <c r="H618" s="97"/>
      <c r="I618" s="97"/>
      <c r="J618" s="97"/>
      <c r="K618" s="97"/>
      <c r="L618" s="97"/>
    </row>
    <row r="619">
      <c r="A619" s="97" t="s">
        <v>1291</v>
      </c>
      <c r="B619" s="97" t="s">
        <v>1808</v>
      </c>
      <c r="C619" s="97" t="s">
        <v>1826</v>
      </c>
      <c r="D619" s="97" t="s">
        <v>1827</v>
      </c>
      <c r="E619" s="97" t="s">
        <v>1828</v>
      </c>
      <c r="F619" s="97" t="s">
        <v>1829</v>
      </c>
      <c r="G619" s="97" t="s">
        <v>1079</v>
      </c>
      <c r="H619" s="97" t="s">
        <v>1830</v>
      </c>
      <c r="I619" s="97" t="s">
        <v>1831</v>
      </c>
      <c r="J619" s="97" t="s">
        <v>1832</v>
      </c>
      <c r="K619" s="97" t="s">
        <v>1240</v>
      </c>
      <c r="L619" s="97" t="s">
        <v>1079</v>
      </c>
    </row>
    <row r="620">
      <c r="A620" s="97" t="s">
        <v>1281</v>
      </c>
      <c r="B620" s="97"/>
      <c r="C620" s="97"/>
      <c r="D620" s="107">
        <v>1.0</v>
      </c>
      <c r="E620" s="107">
        <v>1.0</v>
      </c>
      <c r="F620" s="107">
        <v>1.0</v>
      </c>
      <c r="G620" s="107">
        <v>1.0</v>
      </c>
      <c r="H620" s="97"/>
      <c r="I620" s="97"/>
      <c r="J620" s="97"/>
      <c r="K620" s="97"/>
      <c r="L620" s="97"/>
    </row>
    <row r="621">
      <c r="A621" s="97" t="s">
        <v>1282</v>
      </c>
      <c r="B621" s="97"/>
      <c r="C621" s="97"/>
      <c r="D621" s="107">
        <v>1.0</v>
      </c>
      <c r="E621" s="107">
        <v>1.0</v>
      </c>
      <c r="F621" s="107">
        <v>1.0</v>
      </c>
      <c r="G621" s="107">
        <v>1.0</v>
      </c>
      <c r="H621" s="97"/>
      <c r="I621" s="97"/>
      <c r="J621" s="97"/>
      <c r="K621" s="97"/>
      <c r="L621" s="97"/>
    </row>
    <row r="622">
      <c r="A622" s="97" t="s">
        <v>948</v>
      </c>
      <c r="B622" s="97"/>
      <c r="C622" s="97"/>
      <c r="D622" s="107">
        <v>1.0</v>
      </c>
      <c r="E622" s="107">
        <v>1.0</v>
      </c>
      <c r="F622" s="107">
        <v>1.0</v>
      </c>
      <c r="G622" s="107">
        <v>0.0</v>
      </c>
      <c r="H622" s="97"/>
      <c r="I622" s="97"/>
      <c r="J622" s="97"/>
      <c r="K622" s="97"/>
      <c r="L622" s="97"/>
    </row>
    <row r="623">
      <c r="A623" s="97" t="s">
        <v>1283</v>
      </c>
      <c r="B623" s="97"/>
      <c r="C623" s="97"/>
      <c r="D623" s="107">
        <v>1.0</v>
      </c>
      <c r="E623" s="107">
        <v>1.0</v>
      </c>
      <c r="F623" s="107">
        <v>1.0</v>
      </c>
      <c r="G623" s="107">
        <v>1.0</v>
      </c>
      <c r="H623" s="97"/>
      <c r="I623" s="97"/>
      <c r="J623" s="97"/>
      <c r="K623" s="97"/>
      <c r="L623" s="97"/>
    </row>
    <row r="624">
      <c r="A624" s="97" t="s">
        <v>950</v>
      </c>
      <c r="B624" s="97"/>
      <c r="C624" s="97"/>
      <c r="D624" s="107">
        <v>1.0</v>
      </c>
      <c r="E624" s="107">
        <v>1.0</v>
      </c>
      <c r="F624" s="107">
        <v>1.0</v>
      </c>
      <c r="G624" s="107">
        <v>1.0</v>
      </c>
      <c r="H624" s="97"/>
      <c r="I624" s="97"/>
      <c r="J624" s="97"/>
      <c r="K624" s="97"/>
      <c r="L624" s="97"/>
    </row>
    <row r="625">
      <c r="A625" s="97" t="s">
        <v>951</v>
      </c>
      <c r="B625" s="97"/>
      <c r="C625" s="97"/>
      <c r="D625" s="107">
        <v>1.0</v>
      </c>
      <c r="E625" s="107">
        <v>1.0</v>
      </c>
      <c r="F625" s="107">
        <v>1.0</v>
      </c>
      <c r="G625" s="107">
        <v>1.0</v>
      </c>
      <c r="H625" s="97"/>
      <c r="I625" s="97"/>
      <c r="J625" s="97"/>
      <c r="K625" s="97"/>
      <c r="L625" s="97"/>
    </row>
    <row r="626">
      <c r="A626" s="97" t="s">
        <v>952</v>
      </c>
      <c r="B626" s="97"/>
      <c r="C626" s="97"/>
      <c r="D626" s="107">
        <v>1.0</v>
      </c>
      <c r="E626" s="107">
        <v>1.0</v>
      </c>
      <c r="F626" s="107">
        <v>1.0</v>
      </c>
      <c r="G626" s="107">
        <v>1.0</v>
      </c>
      <c r="H626" s="97"/>
      <c r="I626" s="97"/>
      <c r="J626" s="97"/>
      <c r="K626" s="97"/>
      <c r="L626" s="97"/>
    </row>
    <row r="627">
      <c r="A627" s="97" t="s">
        <v>1272</v>
      </c>
      <c r="B627" s="97"/>
      <c r="C627" s="97"/>
      <c r="D627" s="5" t="s">
        <v>2077</v>
      </c>
      <c r="E627" s="5" t="s">
        <v>1247</v>
      </c>
      <c r="F627" s="5" t="s">
        <v>2078</v>
      </c>
      <c r="G627" s="5" t="s">
        <v>2079</v>
      </c>
      <c r="H627" s="97"/>
      <c r="I627" s="97"/>
      <c r="J627" s="97"/>
      <c r="K627" s="97"/>
      <c r="L627" s="97"/>
    </row>
    <row r="628">
      <c r="A628" s="97" t="s">
        <v>1273</v>
      </c>
      <c r="B628" s="97" t="s">
        <v>1833</v>
      </c>
      <c r="C628" s="97" t="s">
        <v>1834</v>
      </c>
      <c r="D628" s="97" t="s">
        <v>1835</v>
      </c>
      <c r="E628" s="97" t="s">
        <v>1836</v>
      </c>
      <c r="F628" s="97" t="s">
        <v>1332</v>
      </c>
      <c r="G628" s="97" t="s">
        <v>1837</v>
      </c>
      <c r="H628" s="97" t="s">
        <v>1236</v>
      </c>
      <c r="I628" s="97" t="s">
        <v>1834</v>
      </c>
      <c r="J628" s="97" t="s">
        <v>1838</v>
      </c>
      <c r="K628" s="97" t="s">
        <v>1332</v>
      </c>
      <c r="L628" s="97" t="s">
        <v>1117</v>
      </c>
    </row>
    <row r="629">
      <c r="A629" s="97" t="s">
        <v>1281</v>
      </c>
      <c r="B629" s="97"/>
      <c r="C629" s="97"/>
      <c r="D629" s="107">
        <v>1.0</v>
      </c>
      <c r="E629" s="107">
        <v>1.0</v>
      </c>
      <c r="F629" s="107">
        <v>1.0</v>
      </c>
      <c r="G629" s="107">
        <v>1.0</v>
      </c>
      <c r="H629" s="97"/>
      <c r="I629" s="97"/>
      <c r="J629" s="97"/>
      <c r="K629" s="97"/>
      <c r="L629" s="97"/>
    </row>
    <row r="630">
      <c r="A630" s="97" t="s">
        <v>1282</v>
      </c>
      <c r="B630" s="97"/>
      <c r="C630" s="97"/>
      <c r="D630" s="107">
        <v>1.0</v>
      </c>
      <c r="E630" s="107">
        <v>1.0</v>
      </c>
      <c r="F630" s="107">
        <v>1.0</v>
      </c>
      <c r="G630" s="107">
        <v>1.0</v>
      </c>
      <c r="H630" s="97"/>
      <c r="I630" s="97"/>
      <c r="J630" s="97"/>
      <c r="K630" s="97"/>
      <c r="L630" s="97"/>
    </row>
    <row r="631">
      <c r="A631" s="97" t="s">
        <v>948</v>
      </c>
      <c r="B631" s="97"/>
      <c r="C631" s="97"/>
      <c r="D631" s="107">
        <v>1.0</v>
      </c>
      <c r="E631" s="107">
        <v>1.0</v>
      </c>
      <c r="F631" s="107">
        <v>0.0</v>
      </c>
      <c r="G631" s="107">
        <v>1.0</v>
      </c>
      <c r="H631" s="97"/>
      <c r="I631" s="97"/>
      <c r="J631" s="97"/>
      <c r="K631" s="97"/>
      <c r="L631" s="97"/>
    </row>
    <row r="632">
      <c r="A632" s="97" t="s">
        <v>1283</v>
      </c>
      <c r="B632" s="97"/>
      <c r="C632" s="97"/>
      <c r="D632" s="107">
        <v>1.0</v>
      </c>
      <c r="E632" s="107">
        <v>1.0</v>
      </c>
      <c r="F632" s="107">
        <v>1.0</v>
      </c>
      <c r="G632" s="107">
        <v>1.0</v>
      </c>
      <c r="H632" s="97"/>
      <c r="I632" s="97"/>
      <c r="J632" s="97"/>
      <c r="K632" s="97"/>
      <c r="L632" s="97"/>
    </row>
    <row r="633">
      <c r="A633" s="97" t="s">
        <v>950</v>
      </c>
      <c r="B633" s="97"/>
      <c r="C633" s="97"/>
      <c r="D633" s="107">
        <v>1.0</v>
      </c>
      <c r="E633" s="107">
        <v>1.0</v>
      </c>
      <c r="F633" s="107">
        <v>1.0</v>
      </c>
      <c r="G633" s="107">
        <v>1.0</v>
      </c>
      <c r="H633" s="97"/>
      <c r="I633" s="97"/>
      <c r="J633" s="97"/>
      <c r="K633" s="97"/>
      <c r="L633" s="97"/>
    </row>
    <row r="634">
      <c r="A634" s="97" t="s">
        <v>951</v>
      </c>
      <c r="B634" s="97"/>
      <c r="C634" s="97"/>
      <c r="D634" s="107">
        <v>1.0</v>
      </c>
      <c r="E634" s="107">
        <v>1.0</v>
      </c>
      <c r="F634" s="107">
        <v>1.0</v>
      </c>
      <c r="G634" s="107">
        <v>1.0</v>
      </c>
      <c r="H634" s="97"/>
      <c r="I634" s="97"/>
      <c r="J634" s="97"/>
      <c r="K634" s="97"/>
      <c r="L634" s="97"/>
    </row>
    <row r="635">
      <c r="A635" s="97" t="s">
        <v>952</v>
      </c>
      <c r="B635" s="97"/>
      <c r="C635" s="97"/>
      <c r="D635" s="107">
        <v>1.0</v>
      </c>
      <c r="E635" s="107">
        <v>1.0</v>
      </c>
      <c r="F635" s="107">
        <v>1.0</v>
      </c>
      <c r="G635" s="107">
        <v>1.0</v>
      </c>
      <c r="H635" s="97"/>
      <c r="I635" s="97"/>
      <c r="J635" s="97"/>
      <c r="K635" s="97"/>
      <c r="L635" s="97"/>
    </row>
    <row r="636">
      <c r="A636" s="97" t="s">
        <v>1284</v>
      </c>
      <c r="B636" s="97" t="s">
        <v>1833</v>
      </c>
      <c r="C636" s="97" t="s">
        <v>1839</v>
      </c>
      <c r="D636" s="97" t="s">
        <v>1840</v>
      </c>
      <c r="E636" s="97" t="s">
        <v>1841</v>
      </c>
      <c r="F636" s="97" t="s">
        <v>1332</v>
      </c>
      <c r="G636" s="97" t="s">
        <v>1842</v>
      </c>
      <c r="H636" s="97" t="s">
        <v>1246</v>
      </c>
      <c r="I636" s="97" t="s">
        <v>1834</v>
      </c>
      <c r="J636" s="97" t="s">
        <v>1843</v>
      </c>
      <c r="K636" s="97" t="s">
        <v>1332</v>
      </c>
      <c r="L636" s="97" t="s">
        <v>1779</v>
      </c>
    </row>
    <row r="637">
      <c r="A637" s="97" t="s">
        <v>1281</v>
      </c>
      <c r="B637" s="97"/>
      <c r="C637" s="97"/>
      <c r="D637" s="107">
        <v>1.0</v>
      </c>
      <c r="E637" s="107">
        <v>1.0</v>
      </c>
      <c r="F637" s="107">
        <v>1.0</v>
      </c>
      <c r="G637" s="107">
        <v>1.0</v>
      </c>
      <c r="H637" s="97"/>
      <c r="I637" s="97"/>
      <c r="J637" s="97"/>
      <c r="K637" s="97"/>
      <c r="L637" s="97"/>
    </row>
    <row r="638">
      <c r="A638" s="97" t="s">
        <v>1282</v>
      </c>
      <c r="B638" s="97"/>
      <c r="C638" s="97"/>
      <c r="D638" s="107">
        <v>1.0</v>
      </c>
      <c r="E638" s="107">
        <v>1.0</v>
      </c>
      <c r="F638" s="107">
        <v>1.0</v>
      </c>
      <c r="G638" s="107">
        <v>1.0</v>
      </c>
      <c r="H638" s="97"/>
      <c r="I638" s="97"/>
      <c r="J638" s="97"/>
      <c r="K638" s="97"/>
      <c r="L638" s="97"/>
    </row>
    <row r="639">
      <c r="A639" s="97" t="s">
        <v>948</v>
      </c>
      <c r="B639" s="97"/>
      <c r="C639" s="97"/>
      <c r="D639" s="107">
        <v>1.0</v>
      </c>
      <c r="E639" s="107">
        <v>0.0</v>
      </c>
      <c r="F639" s="107">
        <v>0.0</v>
      </c>
      <c r="G639" s="107">
        <v>1.0</v>
      </c>
      <c r="H639" s="97"/>
      <c r="I639" s="97"/>
      <c r="J639" s="97"/>
      <c r="K639" s="97"/>
      <c r="L639" s="97"/>
    </row>
    <row r="640">
      <c r="A640" s="97" t="s">
        <v>1283</v>
      </c>
      <c r="B640" s="97"/>
      <c r="C640" s="97"/>
      <c r="D640" s="107">
        <v>1.0</v>
      </c>
      <c r="E640" s="107">
        <v>1.0</v>
      </c>
      <c r="F640" s="107">
        <v>1.0</v>
      </c>
      <c r="G640" s="107">
        <v>1.0</v>
      </c>
      <c r="H640" s="97"/>
      <c r="I640" s="97"/>
      <c r="J640" s="97"/>
      <c r="K640" s="97"/>
      <c r="L640" s="97"/>
    </row>
    <row r="641">
      <c r="A641" s="97" t="s">
        <v>950</v>
      </c>
      <c r="B641" s="97"/>
      <c r="C641" s="97"/>
      <c r="D641" s="107">
        <v>1.0</v>
      </c>
      <c r="E641" s="107">
        <v>1.0</v>
      </c>
      <c r="F641" s="107">
        <v>1.0</v>
      </c>
      <c r="G641" s="107">
        <v>1.0</v>
      </c>
      <c r="H641" s="97"/>
      <c r="I641" s="97"/>
      <c r="J641" s="97"/>
      <c r="K641" s="97"/>
      <c r="L641" s="97"/>
    </row>
    <row r="642">
      <c r="A642" s="97" t="s">
        <v>951</v>
      </c>
      <c r="B642" s="97"/>
      <c r="C642" s="97"/>
      <c r="D642" s="107">
        <v>1.0</v>
      </c>
      <c r="E642" s="107">
        <v>1.0</v>
      </c>
      <c r="F642" s="107">
        <v>1.0</v>
      </c>
      <c r="G642" s="107">
        <v>1.0</v>
      </c>
      <c r="H642" s="97"/>
      <c r="I642" s="97"/>
      <c r="J642" s="97"/>
      <c r="K642" s="97"/>
      <c r="L642" s="97"/>
    </row>
    <row r="643">
      <c r="A643" s="97" t="s">
        <v>952</v>
      </c>
      <c r="B643" s="97"/>
      <c r="C643" s="97"/>
      <c r="D643" s="107">
        <v>1.0</v>
      </c>
      <c r="E643" s="107">
        <v>1.0</v>
      </c>
      <c r="F643" s="107">
        <v>1.0</v>
      </c>
      <c r="G643" s="107">
        <v>1.0</v>
      </c>
      <c r="H643" s="97"/>
      <c r="I643" s="97"/>
      <c r="J643" s="97"/>
      <c r="K643" s="97"/>
      <c r="L643" s="97"/>
    </row>
    <row r="644">
      <c r="A644" s="97" t="s">
        <v>1291</v>
      </c>
      <c r="B644" s="97" t="s">
        <v>1833</v>
      </c>
      <c r="C644" s="97" t="s">
        <v>1844</v>
      </c>
      <c r="D644" s="97" t="s">
        <v>1845</v>
      </c>
      <c r="E644" s="97" t="s">
        <v>1846</v>
      </c>
      <c r="F644" s="97" t="s">
        <v>1332</v>
      </c>
      <c r="G644" s="97" t="s">
        <v>1847</v>
      </c>
      <c r="H644" s="97" t="s">
        <v>1246</v>
      </c>
      <c r="I644" s="97" t="s">
        <v>1848</v>
      </c>
      <c r="J644" s="97" t="s">
        <v>1849</v>
      </c>
      <c r="K644" s="97" t="s">
        <v>1332</v>
      </c>
      <c r="L644" s="97" t="s">
        <v>1426</v>
      </c>
    </row>
    <row r="645">
      <c r="A645" s="97" t="s">
        <v>1281</v>
      </c>
      <c r="B645" s="97"/>
      <c r="C645" s="97"/>
      <c r="D645" s="107">
        <v>1.0</v>
      </c>
      <c r="E645" s="107">
        <v>1.0</v>
      </c>
      <c r="F645" s="107">
        <v>1.0</v>
      </c>
      <c r="G645" s="107">
        <v>0.0</v>
      </c>
      <c r="H645" s="97"/>
      <c r="I645" s="97"/>
      <c r="J645" s="97"/>
      <c r="K645" s="97"/>
      <c r="L645" s="97"/>
    </row>
    <row r="646">
      <c r="A646" s="97" t="s">
        <v>1282</v>
      </c>
      <c r="B646" s="97"/>
      <c r="C646" s="97"/>
      <c r="D646" s="107">
        <v>1.0</v>
      </c>
      <c r="E646" s="107">
        <v>1.0</v>
      </c>
      <c r="F646" s="107">
        <v>1.0</v>
      </c>
      <c r="G646" s="107">
        <v>0.0</v>
      </c>
      <c r="H646" s="97"/>
      <c r="I646" s="97"/>
      <c r="J646" s="97"/>
      <c r="K646" s="97"/>
      <c r="L646" s="97"/>
    </row>
    <row r="647">
      <c r="A647" s="97" t="s">
        <v>948</v>
      </c>
      <c r="B647" s="97"/>
      <c r="C647" s="97"/>
      <c r="D647" s="107">
        <v>1.0</v>
      </c>
      <c r="E647" s="107">
        <v>1.0</v>
      </c>
      <c r="F647" s="107">
        <v>0.0</v>
      </c>
      <c r="G647" s="107">
        <v>0.0</v>
      </c>
      <c r="H647" s="97"/>
      <c r="I647" s="97"/>
      <c r="J647" s="97"/>
      <c r="K647" s="97"/>
      <c r="L647" s="97"/>
    </row>
    <row r="648">
      <c r="A648" s="97" t="s">
        <v>1283</v>
      </c>
      <c r="B648" s="97"/>
      <c r="C648" s="97"/>
      <c r="D648" s="107">
        <v>1.0</v>
      </c>
      <c r="E648" s="107">
        <v>1.0</v>
      </c>
      <c r="F648" s="107">
        <v>1.0</v>
      </c>
      <c r="G648" s="107">
        <v>1.0</v>
      </c>
      <c r="H648" s="97"/>
      <c r="I648" s="97"/>
      <c r="J648" s="97"/>
      <c r="K648" s="97"/>
      <c r="L648" s="97"/>
    </row>
    <row r="649">
      <c r="A649" s="97" t="s">
        <v>950</v>
      </c>
      <c r="B649" s="97"/>
      <c r="C649" s="97"/>
      <c r="D649" s="107">
        <v>0.0</v>
      </c>
      <c r="E649" s="107">
        <v>1.0</v>
      </c>
      <c r="F649" s="107">
        <v>1.0</v>
      </c>
      <c r="G649" s="107">
        <v>0.0</v>
      </c>
      <c r="H649" s="97"/>
      <c r="I649" s="97"/>
      <c r="J649" s="97"/>
      <c r="K649" s="97"/>
      <c r="L649" s="97"/>
    </row>
    <row r="650">
      <c r="A650" s="97" t="s">
        <v>951</v>
      </c>
      <c r="B650" s="97"/>
      <c r="C650" s="97"/>
      <c r="D650" s="107">
        <v>1.0</v>
      </c>
      <c r="E650" s="107">
        <v>1.0</v>
      </c>
      <c r="F650" s="107">
        <v>1.0</v>
      </c>
      <c r="G650" s="107">
        <v>0.0</v>
      </c>
      <c r="H650" s="97"/>
      <c r="I650" s="97"/>
      <c r="J650" s="97"/>
      <c r="K650" s="97"/>
      <c r="L650" s="97"/>
    </row>
    <row r="651">
      <c r="A651" s="97" t="s">
        <v>952</v>
      </c>
      <c r="B651" s="97"/>
      <c r="C651" s="97"/>
      <c r="D651" s="107">
        <v>1.0</v>
      </c>
      <c r="E651" s="107">
        <v>1.0</v>
      </c>
      <c r="F651" s="107">
        <v>1.0</v>
      </c>
      <c r="G651" s="107">
        <v>1.0</v>
      </c>
      <c r="H651" s="97"/>
      <c r="I651" s="97"/>
      <c r="J651" s="97"/>
      <c r="K651" s="97"/>
      <c r="L651" s="97"/>
    </row>
    <row r="652">
      <c r="A652" s="97" t="s">
        <v>1272</v>
      </c>
      <c r="B652" s="97"/>
      <c r="C652" s="97"/>
      <c r="D652" s="59" t="s">
        <v>2084</v>
      </c>
      <c r="E652" s="59" t="s">
        <v>2085</v>
      </c>
      <c r="F652" s="59" t="s">
        <v>2086</v>
      </c>
      <c r="G652" s="59" t="s">
        <v>2087</v>
      </c>
      <c r="H652" s="97"/>
      <c r="I652" s="97"/>
      <c r="J652" s="97"/>
      <c r="K652" s="97"/>
      <c r="L652" s="97"/>
    </row>
    <row r="653">
      <c r="A653" s="97" t="s">
        <v>1273</v>
      </c>
      <c r="B653" s="97" t="s">
        <v>1850</v>
      </c>
      <c r="C653" s="97" t="s">
        <v>1851</v>
      </c>
      <c r="D653" s="97" t="s">
        <v>1275</v>
      </c>
      <c r="E653" s="97" t="s">
        <v>1852</v>
      </c>
      <c r="F653" s="97" t="s">
        <v>1332</v>
      </c>
      <c r="G653" s="97" t="s">
        <v>1853</v>
      </c>
      <c r="H653" s="97" t="s">
        <v>1854</v>
      </c>
      <c r="I653" s="97" t="s">
        <v>1275</v>
      </c>
      <c r="J653" s="97" t="s">
        <v>1855</v>
      </c>
      <c r="K653" s="97" t="s">
        <v>1332</v>
      </c>
      <c r="L653" s="97" t="s">
        <v>1856</v>
      </c>
    </row>
    <row r="654">
      <c r="A654" s="97" t="s">
        <v>1281</v>
      </c>
      <c r="B654" s="97"/>
      <c r="C654" s="97"/>
      <c r="D654" s="107">
        <v>0.0</v>
      </c>
      <c r="E654" s="107">
        <v>0.0</v>
      </c>
      <c r="F654" s="107">
        <v>1.0</v>
      </c>
      <c r="G654" s="107">
        <v>0.0</v>
      </c>
      <c r="H654" s="97"/>
      <c r="I654" s="97"/>
      <c r="J654" s="97"/>
      <c r="K654" s="97"/>
      <c r="L654" s="97"/>
    </row>
    <row r="655">
      <c r="A655" s="97" t="s">
        <v>1282</v>
      </c>
      <c r="B655" s="97"/>
      <c r="C655" s="97"/>
      <c r="D655" s="107">
        <v>0.0</v>
      </c>
      <c r="E655" s="107">
        <v>0.0</v>
      </c>
      <c r="F655" s="107">
        <v>1.0</v>
      </c>
      <c r="G655" s="107">
        <v>0.0</v>
      </c>
      <c r="H655" s="97"/>
      <c r="I655" s="97"/>
      <c r="J655" s="97"/>
      <c r="K655" s="97"/>
      <c r="L655" s="97"/>
    </row>
    <row r="656">
      <c r="A656" s="97" t="s">
        <v>948</v>
      </c>
      <c r="B656" s="97"/>
      <c r="C656" s="97"/>
      <c r="D656" s="107">
        <v>0.0</v>
      </c>
      <c r="E656" s="107">
        <v>0.0</v>
      </c>
      <c r="F656" s="107">
        <v>0.0</v>
      </c>
      <c r="G656" s="107">
        <v>0.0</v>
      </c>
      <c r="H656" s="97"/>
      <c r="I656" s="97"/>
      <c r="J656" s="97"/>
      <c r="K656" s="97"/>
      <c r="L656" s="97"/>
    </row>
    <row r="657">
      <c r="A657" s="97" t="s">
        <v>1283</v>
      </c>
      <c r="B657" s="97"/>
      <c r="C657" s="97"/>
      <c r="D657" s="107">
        <v>1.0</v>
      </c>
      <c r="E657" s="107">
        <v>1.0</v>
      </c>
      <c r="F657" s="107">
        <v>1.0</v>
      </c>
      <c r="G657" s="107">
        <v>1.0</v>
      </c>
      <c r="H657" s="97"/>
      <c r="I657" s="97"/>
      <c r="J657" s="97"/>
      <c r="K657" s="97"/>
      <c r="L657" s="97"/>
    </row>
    <row r="658">
      <c r="A658" s="97" t="s">
        <v>950</v>
      </c>
      <c r="B658" s="97"/>
      <c r="C658" s="97"/>
      <c r="D658" s="107">
        <v>0.0</v>
      </c>
      <c r="E658" s="107">
        <v>0.0</v>
      </c>
      <c r="F658" s="107">
        <v>1.0</v>
      </c>
      <c r="G658" s="107">
        <v>0.0</v>
      </c>
      <c r="H658" s="97"/>
      <c r="I658" s="97"/>
      <c r="J658" s="97"/>
      <c r="K658" s="97"/>
      <c r="L658" s="97"/>
    </row>
    <row r="659">
      <c r="A659" s="97" t="s">
        <v>951</v>
      </c>
      <c r="B659" s="97"/>
      <c r="C659" s="97"/>
      <c r="D659" s="107">
        <v>0.0</v>
      </c>
      <c r="E659" s="107">
        <v>0.0</v>
      </c>
      <c r="F659" s="107">
        <v>1.0</v>
      </c>
      <c r="G659" s="107">
        <v>0.0</v>
      </c>
      <c r="H659" s="97"/>
      <c r="I659" s="97"/>
      <c r="J659" s="97"/>
      <c r="K659" s="97"/>
      <c r="L659" s="97"/>
    </row>
    <row r="660">
      <c r="A660" s="97" t="s">
        <v>952</v>
      </c>
      <c r="B660" s="97"/>
      <c r="C660" s="97"/>
      <c r="D660" s="107">
        <v>1.0</v>
      </c>
      <c r="E660" s="107">
        <v>1.0</v>
      </c>
      <c r="F660" s="107">
        <v>1.0</v>
      </c>
      <c r="G660" s="107">
        <v>1.0</v>
      </c>
      <c r="H660" s="97"/>
      <c r="I660" s="97"/>
      <c r="J660" s="97"/>
      <c r="K660" s="97"/>
      <c r="L660" s="97"/>
    </row>
    <row r="661">
      <c r="A661" s="97" t="s">
        <v>1284</v>
      </c>
      <c r="B661" s="97" t="s">
        <v>1850</v>
      </c>
      <c r="C661" s="97" t="s">
        <v>1857</v>
      </c>
      <c r="D661" s="97" t="s">
        <v>1858</v>
      </c>
      <c r="E661" s="97" t="s">
        <v>1859</v>
      </c>
      <c r="F661" s="97" t="s">
        <v>1332</v>
      </c>
      <c r="G661" s="97" t="s">
        <v>1860</v>
      </c>
      <c r="H661" s="97" t="s">
        <v>1256</v>
      </c>
      <c r="I661" s="97" t="s">
        <v>1861</v>
      </c>
      <c r="J661" s="97" t="s">
        <v>1862</v>
      </c>
      <c r="K661" s="97" t="s">
        <v>1332</v>
      </c>
      <c r="L661" s="97" t="s">
        <v>1002</v>
      </c>
    </row>
    <row r="662">
      <c r="A662" s="97" t="s">
        <v>1281</v>
      </c>
      <c r="B662" s="97"/>
      <c r="C662" s="97"/>
      <c r="D662" s="107">
        <v>0.0</v>
      </c>
      <c r="E662" s="107">
        <v>1.0</v>
      </c>
      <c r="F662" s="107">
        <v>1.0</v>
      </c>
      <c r="G662" s="107">
        <v>1.0</v>
      </c>
      <c r="H662" s="97"/>
      <c r="I662" s="97"/>
      <c r="J662" s="97"/>
      <c r="K662" s="97"/>
      <c r="L662" s="97"/>
    </row>
    <row r="663">
      <c r="A663" s="97" t="s">
        <v>1282</v>
      </c>
      <c r="B663" s="97"/>
      <c r="C663" s="97"/>
      <c r="D663" s="107">
        <v>0.0</v>
      </c>
      <c r="E663" s="107">
        <v>1.0</v>
      </c>
      <c r="F663" s="107">
        <v>1.0</v>
      </c>
      <c r="G663" s="107">
        <v>1.0</v>
      </c>
      <c r="H663" s="97"/>
      <c r="I663" s="97"/>
      <c r="J663" s="97"/>
      <c r="K663" s="97"/>
      <c r="L663" s="97"/>
    </row>
    <row r="664">
      <c r="A664" s="97" t="s">
        <v>948</v>
      </c>
      <c r="B664" s="97"/>
      <c r="C664" s="97"/>
      <c r="D664" s="107">
        <v>1.0</v>
      </c>
      <c r="E664" s="107">
        <v>0.0</v>
      </c>
      <c r="F664" s="107">
        <v>0.0</v>
      </c>
      <c r="G664" s="107">
        <v>0.0</v>
      </c>
      <c r="H664" s="97"/>
      <c r="I664" s="97"/>
      <c r="J664" s="97"/>
      <c r="K664" s="97"/>
      <c r="L664" s="97"/>
    </row>
    <row r="665">
      <c r="A665" s="97" t="s">
        <v>1283</v>
      </c>
      <c r="B665" s="97"/>
      <c r="C665" s="97"/>
      <c r="D665" s="107">
        <v>1.0</v>
      </c>
      <c r="E665" s="107">
        <v>1.0</v>
      </c>
      <c r="F665" s="107">
        <v>1.0</v>
      </c>
      <c r="G665" s="107">
        <v>1.0</v>
      </c>
      <c r="H665" s="97"/>
      <c r="I665" s="97"/>
      <c r="J665" s="97"/>
      <c r="K665" s="97"/>
      <c r="L665" s="97"/>
    </row>
    <row r="666">
      <c r="A666" s="97" t="s">
        <v>950</v>
      </c>
      <c r="B666" s="97"/>
      <c r="C666" s="97"/>
      <c r="D666" s="107">
        <v>0.0</v>
      </c>
      <c r="E666" s="107">
        <v>1.0</v>
      </c>
      <c r="F666" s="107">
        <v>1.0</v>
      </c>
      <c r="G666" s="107">
        <v>1.0</v>
      </c>
      <c r="H666" s="97"/>
      <c r="I666" s="97"/>
      <c r="J666" s="97"/>
      <c r="K666" s="97"/>
      <c r="L666" s="97"/>
    </row>
    <row r="667">
      <c r="A667" s="97" t="s">
        <v>951</v>
      </c>
      <c r="B667" s="97"/>
      <c r="C667" s="97"/>
      <c r="D667" s="107">
        <v>0.0</v>
      </c>
      <c r="E667" s="107">
        <v>1.0</v>
      </c>
      <c r="F667" s="107">
        <v>1.0</v>
      </c>
      <c r="G667" s="107">
        <v>1.0</v>
      </c>
      <c r="H667" s="97"/>
      <c r="I667" s="97"/>
      <c r="J667" s="97"/>
      <c r="K667" s="97"/>
      <c r="L667" s="97"/>
    </row>
    <row r="668">
      <c r="A668" s="97" t="s">
        <v>952</v>
      </c>
      <c r="B668" s="97"/>
      <c r="C668" s="97"/>
      <c r="D668" s="107">
        <v>1.0</v>
      </c>
      <c r="E668" s="107">
        <v>1.0</v>
      </c>
      <c r="F668" s="107">
        <v>1.0</v>
      </c>
      <c r="G668" s="107">
        <v>1.0</v>
      </c>
      <c r="H668" s="97"/>
      <c r="I668" s="97"/>
      <c r="J668" s="97"/>
      <c r="K668" s="97"/>
      <c r="L668" s="97"/>
    </row>
    <row r="669">
      <c r="A669" s="97" t="s">
        <v>1291</v>
      </c>
      <c r="B669" s="97" t="s">
        <v>1850</v>
      </c>
      <c r="C669" s="97" t="s">
        <v>1863</v>
      </c>
      <c r="D669" s="97" t="s">
        <v>1864</v>
      </c>
      <c r="E669" s="97" t="s">
        <v>1865</v>
      </c>
      <c r="F669" s="97" t="s">
        <v>1332</v>
      </c>
      <c r="G669" s="97" t="s">
        <v>1866</v>
      </c>
      <c r="H669" s="97" t="s">
        <v>1256</v>
      </c>
      <c r="I669" s="97" t="s">
        <v>1275</v>
      </c>
      <c r="J669" s="97" t="s">
        <v>1867</v>
      </c>
      <c r="K669" s="97" t="s">
        <v>1332</v>
      </c>
      <c r="L669" s="97" t="s">
        <v>1002</v>
      </c>
    </row>
    <row r="670">
      <c r="A670" s="97" t="s">
        <v>1281</v>
      </c>
      <c r="B670" s="97"/>
      <c r="C670" s="97"/>
      <c r="D670" s="107">
        <v>0.0</v>
      </c>
      <c r="E670" s="107">
        <v>0.0</v>
      </c>
      <c r="F670" s="107">
        <v>1.0</v>
      </c>
      <c r="G670" s="107">
        <v>1.0</v>
      </c>
      <c r="H670" s="97"/>
      <c r="I670" s="97"/>
      <c r="J670" s="97"/>
      <c r="K670" s="97"/>
      <c r="L670" s="97"/>
    </row>
    <row r="671">
      <c r="A671" s="97" t="s">
        <v>1282</v>
      </c>
      <c r="B671" s="97"/>
      <c r="C671" s="97"/>
      <c r="D671" s="107">
        <v>0.0</v>
      </c>
      <c r="E671" s="107">
        <v>0.0</v>
      </c>
      <c r="F671" s="107">
        <v>1.0</v>
      </c>
      <c r="G671" s="107">
        <v>1.0</v>
      </c>
      <c r="H671" s="97"/>
      <c r="I671" s="97"/>
      <c r="J671" s="97"/>
      <c r="K671" s="97"/>
      <c r="L671" s="97"/>
    </row>
    <row r="672">
      <c r="A672" s="97" t="s">
        <v>948</v>
      </c>
      <c r="B672" s="97"/>
      <c r="C672" s="97"/>
      <c r="D672" s="107">
        <v>0.0</v>
      </c>
      <c r="E672" s="107">
        <v>0.0</v>
      </c>
      <c r="F672" s="107">
        <v>0.0</v>
      </c>
      <c r="G672" s="107">
        <v>0.0</v>
      </c>
      <c r="H672" s="97"/>
      <c r="I672" s="97"/>
      <c r="J672" s="97"/>
      <c r="K672" s="97"/>
      <c r="L672" s="97"/>
    </row>
    <row r="673">
      <c r="A673" s="97" t="s">
        <v>1283</v>
      </c>
      <c r="B673" s="97"/>
      <c r="C673" s="97"/>
      <c r="D673" s="107">
        <v>1.0</v>
      </c>
      <c r="E673" s="107">
        <v>1.0</v>
      </c>
      <c r="F673" s="107">
        <v>1.0</v>
      </c>
      <c r="G673" s="107">
        <v>1.0</v>
      </c>
      <c r="H673" s="97"/>
      <c r="I673" s="97"/>
      <c r="J673" s="97"/>
      <c r="K673" s="97"/>
      <c r="L673" s="97"/>
    </row>
    <row r="674">
      <c r="A674" s="97" t="s">
        <v>950</v>
      </c>
      <c r="B674" s="97"/>
      <c r="C674" s="97"/>
      <c r="D674" s="107">
        <v>0.0</v>
      </c>
      <c r="E674" s="107">
        <v>0.0</v>
      </c>
      <c r="F674" s="107">
        <v>1.0</v>
      </c>
      <c r="G674" s="107">
        <v>1.0</v>
      </c>
      <c r="H674" s="97"/>
      <c r="I674" s="97"/>
      <c r="J674" s="97"/>
      <c r="K674" s="97"/>
      <c r="L674" s="97"/>
    </row>
    <row r="675">
      <c r="A675" s="97" t="s">
        <v>951</v>
      </c>
      <c r="B675" s="97"/>
      <c r="C675" s="97"/>
      <c r="D675" s="107">
        <v>0.0</v>
      </c>
      <c r="E675" s="107">
        <v>0.0</v>
      </c>
      <c r="F675" s="107">
        <v>1.0</v>
      </c>
      <c r="G675" s="107">
        <v>1.0</v>
      </c>
      <c r="H675" s="97"/>
      <c r="I675" s="97"/>
      <c r="J675" s="97"/>
      <c r="K675" s="97"/>
      <c r="L675" s="97"/>
    </row>
    <row r="676">
      <c r="A676" s="97" t="s">
        <v>952</v>
      </c>
      <c r="B676" s="97"/>
      <c r="C676" s="97"/>
      <c r="D676" s="107">
        <v>1.0</v>
      </c>
      <c r="E676" s="107">
        <v>1.0</v>
      </c>
      <c r="F676" s="107">
        <v>1.0</v>
      </c>
      <c r="G676" s="107">
        <v>1.0</v>
      </c>
      <c r="H676" s="97"/>
      <c r="I676" s="97"/>
      <c r="J676" s="97"/>
      <c r="K676" s="97"/>
      <c r="L676" s="97"/>
    </row>
    <row r="682">
      <c r="A682" s="97" t="s">
        <v>1273</v>
      </c>
      <c r="D682" s="97" t="s">
        <v>1263</v>
      </c>
      <c r="E682" s="97" t="s">
        <v>1264</v>
      </c>
      <c r="F682" s="97" t="s">
        <v>1265</v>
      </c>
      <c r="G682" s="97" t="s">
        <v>1266</v>
      </c>
      <c r="H682" s="15" t="s">
        <v>1868</v>
      </c>
    </row>
    <row r="683">
      <c r="A683" s="97" t="s">
        <v>1281</v>
      </c>
      <c r="D683" s="65">
        <f t="shared" ref="D683:G683" si="1">(D4+D29+D54+D79+D104+D129+D154+D179+D204+D229+D254+D279+D304+D329+D354+D379+D404+D429+D454+D479+D504+D529+D554+D579+D604+D629+D654)/27</f>
        <v>0.962962963</v>
      </c>
      <c r="E683" s="65">
        <f t="shared" si="1"/>
        <v>0.8518518519</v>
      </c>
      <c r="F683" s="65">
        <f t="shared" si="1"/>
        <v>0.6666666667</v>
      </c>
      <c r="G683" s="65">
        <f t="shared" si="1"/>
        <v>0.6666666667</v>
      </c>
      <c r="H683" s="65">
        <f t="shared" ref="H683:H689" si="3">AVERAGE(D683:G683)</f>
        <v>0.787037037</v>
      </c>
    </row>
    <row r="684">
      <c r="A684" s="97" t="s">
        <v>1282</v>
      </c>
      <c r="D684" s="65">
        <f t="shared" ref="D684:G684" si="2">(D5+D30+D55+D80+D105+D130+D155+D180+D205+D230+D255+D280+D305+D330+D355+D380+D405+D430+D455+D480+D505+D530+D555+D580+D605+D630+D655)/27</f>
        <v>0.962962963</v>
      </c>
      <c r="E684" s="65">
        <f t="shared" si="2"/>
        <v>0.8888888889</v>
      </c>
      <c r="F684" s="65">
        <f t="shared" si="2"/>
        <v>0.6296296296</v>
      </c>
      <c r="G684" s="65">
        <f t="shared" si="2"/>
        <v>0.6296296296</v>
      </c>
      <c r="H684" s="65">
        <f t="shared" si="3"/>
        <v>0.7777777778</v>
      </c>
    </row>
    <row r="685">
      <c r="A685" s="97" t="s">
        <v>948</v>
      </c>
      <c r="D685" s="65">
        <f t="shared" ref="D685:G685" si="4">(D6+D31+D56+D81+D106+D131+D156+D181+D206+D231+D256+D281+D306+D331+D356+D381+D406+D431+D456+D481+D506+D531+D556+D581+D606+D631+D656)/27</f>
        <v>0.9259259259</v>
      </c>
      <c r="E685" s="65">
        <f t="shared" si="4"/>
        <v>0.7777777778</v>
      </c>
      <c r="F685" s="65">
        <f t="shared" si="4"/>
        <v>0.5185185185</v>
      </c>
      <c r="G685" s="65">
        <f t="shared" si="4"/>
        <v>0.8148148148</v>
      </c>
      <c r="H685" s="65">
        <f t="shared" si="3"/>
        <v>0.7592592593</v>
      </c>
    </row>
    <row r="686">
      <c r="A686" s="97" t="s">
        <v>1283</v>
      </c>
      <c r="D686" s="65">
        <f t="shared" ref="D686:G686" si="5">(D7+D32+D57+D82+D107+D132+D157+D182+D207+D232+D257+D282+D307+D332+D357+D382+D407+D432+D457+D482+D507+D532+D557+D582+D607+D632+D657)/27</f>
        <v>1</v>
      </c>
      <c r="E686" s="65">
        <f t="shared" si="5"/>
        <v>1</v>
      </c>
      <c r="F686" s="65">
        <f t="shared" si="5"/>
        <v>1</v>
      </c>
      <c r="G686" s="65">
        <f t="shared" si="5"/>
        <v>1</v>
      </c>
      <c r="H686" s="65">
        <f t="shared" si="3"/>
        <v>1</v>
      </c>
    </row>
    <row r="687">
      <c r="A687" s="97" t="s">
        <v>950</v>
      </c>
      <c r="D687" s="65">
        <f t="shared" ref="D687:G687" si="6">(D8+D33+D58+D83+D108+D133+D158+D183+D208+D233+D258+D283+D308+D333+D358+D383+D408+D433+D458+D483+D508+D533+D558+D583+D608+D633+D658)/27</f>
        <v>0.9259259259</v>
      </c>
      <c r="E687" s="65">
        <f t="shared" si="6"/>
        <v>0.7407407407</v>
      </c>
      <c r="F687" s="65">
        <f t="shared" si="6"/>
        <v>0.6666666667</v>
      </c>
      <c r="G687" s="65">
        <f t="shared" si="6"/>
        <v>0.5925925926</v>
      </c>
      <c r="H687" s="65">
        <f t="shared" si="3"/>
        <v>0.7314814815</v>
      </c>
    </row>
    <row r="688">
      <c r="A688" s="97" t="s">
        <v>951</v>
      </c>
      <c r="D688" s="65">
        <f t="shared" ref="D688:G688" si="7">(D9+D34+D59+D84+D109+D134+D159+D184+D209+D234+D259+D284+D309+D334+D359+D384+D409+D434+D459+D484+D509+D534+D559+D584+D609+D634+D659)/27</f>
        <v>0.962962963</v>
      </c>
      <c r="E688" s="65">
        <f t="shared" si="7"/>
        <v>0.8888888889</v>
      </c>
      <c r="F688" s="65">
        <f t="shared" si="7"/>
        <v>0.6666666667</v>
      </c>
      <c r="G688" s="65">
        <f t="shared" si="7"/>
        <v>0.6666666667</v>
      </c>
      <c r="H688" s="65">
        <f t="shared" si="3"/>
        <v>0.7962962963</v>
      </c>
    </row>
    <row r="689">
      <c r="A689" s="97" t="s">
        <v>952</v>
      </c>
      <c r="D689" s="65">
        <f t="shared" ref="D689:G689" si="8">(D10+D35+D60+D85+D110+D135+D160+D185+D210+D235+D260+D285+D310+D335+D360+D385+D410+D435+D460+D485+D510+D535+D560+D585+D610+D635+D660)/27</f>
        <v>1</v>
      </c>
      <c r="E689" s="65">
        <f t="shared" si="8"/>
        <v>1</v>
      </c>
      <c r="F689" s="65">
        <f t="shared" si="8"/>
        <v>1</v>
      </c>
      <c r="G689" s="65">
        <f t="shared" si="8"/>
        <v>1</v>
      </c>
      <c r="H689" s="65">
        <f t="shared" si="3"/>
        <v>1</v>
      </c>
      <c r="I689" s="65">
        <f>average(H683:H689)</f>
        <v>0.835978836</v>
      </c>
    </row>
    <row r="690">
      <c r="A690" s="97" t="s">
        <v>1284</v>
      </c>
      <c r="D690" s="97" t="s">
        <v>1263</v>
      </c>
      <c r="E690" s="97" t="s">
        <v>1264</v>
      </c>
      <c r="F690" s="97" t="s">
        <v>1265</v>
      </c>
      <c r="G690" s="97" t="s">
        <v>1266</v>
      </c>
      <c r="H690" s="15" t="s">
        <v>1868</v>
      </c>
    </row>
    <row r="691">
      <c r="A691" s="97" t="s">
        <v>1281</v>
      </c>
      <c r="D691" s="65">
        <f t="shared" ref="D691:G691" si="9">(D12+D37+D62+D87+D112+D137+D162+D187+D212+D237+D262+D287+D312+D337+D362+D387+D412+D437+D462+D487+D512+D537+D562+D587+D612+D637+D662)/27</f>
        <v>0.962962963</v>
      </c>
      <c r="E691" s="65">
        <f t="shared" si="9"/>
        <v>0.8888888889</v>
      </c>
      <c r="F691" s="65">
        <f t="shared" si="9"/>
        <v>0.8518518519</v>
      </c>
      <c r="G691" s="65">
        <f t="shared" si="9"/>
        <v>0.8888888889</v>
      </c>
      <c r="H691" s="65">
        <f t="shared" ref="H691:H697" si="11">AVERAGE(D691:G691)</f>
        <v>0.8981481481</v>
      </c>
    </row>
    <row r="692">
      <c r="A692" s="97" t="s">
        <v>1282</v>
      </c>
      <c r="D692" s="65">
        <f t="shared" ref="D692:G692" si="10">(D13+D38+D63+D88+D113+D138+D163+D188+D213+D238+D263+D288+D313+D338+D363+D388+D413+D438+D463+D488+D513+D538+D563+D588+D613+D638+D663)/27</f>
        <v>0.9259259259</v>
      </c>
      <c r="E692" s="65">
        <f t="shared" si="10"/>
        <v>0.8888888889</v>
      </c>
      <c r="F692" s="65">
        <f t="shared" si="10"/>
        <v>0.8518518519</v>
      </c>
      <c r="G692" s="65">
        <f t="shared" si="10"/>
        <v>0.8518518519</v>
      </c>
      <c r="H692" s="65">
        <f t="shared" si="11"/>
        <v>0.8796296296</v>
      </c>
    </row>
    <row r="693">
      <c r="A693" s="97" t="s">
        <v>948</v>
      </c>
      <c r="D693" s="65">
        <f t="shared" ref="D693:G693" si="12">(D14+D39+D64+D89+D114+D139+D164+D189+D214+D239+D264+D289+D314+D339+D364+D389+D414+D439+D464+D489+D514+D539+D564+D589+D614+D639+D664)/27</f>
        <v>1</v>
      </c>
      <c r="E693" s="65">
        <f t="shared" si="12"/>
        <v>0.7407407407</v>
      </c>
      <c r="F693" s="65">
        <f t="shared" si="12"/>
        <v>0.4444444444</v>
      </c>
      <c r="G693" s="65">
        <f t="shared" si="12"/>
        <v>0.962962963</v>
      </c>
      <c r="H693" s="65">
        <f t="shared" si="11"/>
        <v>0.787037037</v>
      </c>
    </row>
    <row r="694">
      <c r="A694" s="97" t="s">
        <v>1283</v>
      </c>
      <c r="D694" s="65">
        <f t="shared" ref="D694:G694" si="13">(D15+D40+D65+D90+D115+D140+D165+D190+D215+D240+D265+D290+D315+D340+D365+D390+D415+D440+D465+D490+D515+D540+D565+D590+D615+D640+D665)/27</f>
        <v>1</v>
      </c>
      <c r="E694" s="65">
        <f t="shared" si="13"/>
        <v>1</v>
      </c>
      <c r="F694" s="65">
        <f t="shared" si="13"/>
        <v>1</v>
      </c>
      <c r="G694" s="65">
        <f t="shared" si="13"/>
        <v>1</v>
      </c>
      <c r="H694" s="65">
        <f t="shared" si="11"/>
        <v>1</v>
      </c>
    </row>
    <row r="695">
      <c r="A695" s="97" t="s">
        <v>950</v>
      </c>
      <c r="D695" s="65">
        <f t="shared" ref="D695:G695" si="14">(D16+D41+D66+D91+D116+D141+D166+D191+D216+D241+D266+D291+D316+D341+D366+D391+D416+D441+D466+D491+D516+D541+D566+D591+D616+D641+D666)/27</f>
        <v>0.8518518519</v>
      </c>
      <c r="E695" s="65">
        <f t="shared" si="14"/>
        <v>0.7777777778</v>
      </c>
      <c r="F695" s="65">
        <f t="shared" si="14"/>
        <v>0.9259259259</v>
      </c>
      <c r="G695" s="65">
        <f t="shared" si="14"/>
        <v>0.7777777778</v>
      </c>
      <c r="H695" s="65">
        <f t="shared" si="11"/>
        <v>0.8333333333</v>
      </c>
    </row>
    <row r="696">
      <c r="A696" s="97" t="s">
        <v>951</v>
      </c>
      <c r="D696" s="65">
        <f t="shared" ref="D696:G696" si="15">(D17+D42+D67+D92+D117+D142+D167+D192+D217+D242+D267+D292+D317+D342+D367+D392+D417+D442+D467+D492+D517+D542+D567+D592+D617+D642+D667)/27</f>
        <v>0.962962963</v>
      </c>
      <c r="E696" s="65">
        <f t="shared" si="15"/>
        <v>0.8518518519</v>
      </c>
      <c r="F696" s="65">
        <f t="shared" si="15"/>
        <v>0.8148148148</v>
      </c>
      <c r="G696" s="65">
        <f t="shared" si="15"/>
        <v>0.9259259259</v>
      </c>
      <c r="H696" s="65">
        <f t="shared" si="11"/>
        <v>0.8888888889</v>
      </c>
    </row>
    <row r="697">
      <c r="A697" s="97" t="s">
        <v>952</v>
      </c>
      <c r="D697" s="65">
        <f t="shared" ref="D697:G697" si="16">(D18+D43+D68+D93+D118+D143+D168+D193+D218+D243+D268+D293+D318+D343+D368+D393+D418+D443+D468+D493+D518+D543+D568+D593+D618+D643+D668)/27</f>
        <v>1</v>
      </c>
      <c r="E697" s="65">
        <f t="shared" si="16"/>
        <v>1</v>
      </c>
      <c r="F697" s="65">
        <f t="shared" si="16"/>
        <v>1</v>
      </c>
      <c r="G697" s="65">
        <f t="shared" si="16"/>
        <v>1</v>
      </c>
      <c r="H697" s="65">
        <f t="shared" si="11"/>
        <v>1</v>
      </c>
      <c r="I697" s="65">
        <f>AVERAGE(H691:H697)</f>
        <v>0.8981481481</v>
      </c>
    </row>
    <row r="698">
      <c r="A698" s="97" t="s">
        <v>1291</v>
      </c>
      <c r="D698" s="97" t="s">
        <v>1263</v>
      </c>
      <c r="E698" s="97" t="s">
        <v>1264</v>
      </c>
      <c r="F698" s="97" t="s">
        <v>1265</v>
      </c>
      <c r="G698" s="97" t="s">
        <v>1266</v>
      </c>
      <c r="H698" s="15" t="s">
        <v>1868</v>
      </c>
    </row>
    <row r="699">
      <c r="A699" s="97" t="s">
        <v>1281</v>
      </c>
      <c r="D699" s="65">
        <f t="shared" ref="D699:G699" si="17">(D20+D45+D70+D95+D120+D145+D170+D195+D220+D245+D270+D295+D320+D345+D370+D395+D420+D445+D470+D495+D520+D545+D570+D595+D620+D645+D670)/27</f>
        <v>0.9259259259</v>
      </c>
      <c r="E699" s="65">
        <f t="shared" si="17"/>
        <v>0.962962963</v>
      </c>
      <c r="F699" s="65">
        <f t="shared" si="17"/>
        <v>0.8518518519</v>
      </c>
      <c r="G699" s="65">
        <f t="shared" si="17"/>
        <v>0.8148148148</v>
      </c>
      <c r="H699" s="65">
        <f t="shared" ref="H699:H705" si="19">AVERAGE(D699:G699)</f>
        <v>0.8888888889</v>
      </c>
    </row>
    <row r="700">
      <c r="A700" s="97" t="s">
        <v>1282</v>
      </c>
      <c r="D700" s="65">
        <f t="shared" ref="D700:G700" si="18">(D21+D46+D71+D96+D121+D146+D171+D196+D221+D246+D271+D296+D321+D346+D371+D396+D421+D446+D471+D496+D521+D546+D571+D596+D621+D646+D671)/27</f>
        <v>0.8888888889</v>
      </c>
      <c r="E700" s="65">
        <f t="shared" si="18"/>
        <v>0.962962963</v>
      </c>
      <c r="F700" s="65">
        <f t="shared" si="18"/>
        <v>0.8148148148</v>
      </c>
      <c r="G700" s="65">
        <f t="shared" si="18"/>
        <v>0.8518518519</v>
      </c>
      <c r="H700" s="65">
        <f t="shared" si="19"/>
        <v>0.8796296296</v>
      </c>
    </row>
    <row r="701">
      <c r="A701" s="97" t="s">
        <v>948</v>
      </c>
      <c r="D701" s="65">
        <f t="shared" ref="D701:G701" si="20">(D22+D47+D72+D97+D122+D147+D172+D197+D222+D247+D272+D297+D322+D347+D372+D397+D422+D447+D472+D497+D522+D547+D572+D597+D622+D647+D672)/27</f>
        <v>0.8888888889</v>
      </c>
      <c r="E701" s="65">
        <f t="shared" si="20"/>
        <v>0.8888888889</v>
      </c>
      <c r="F701" s="65">
        <f t="shared" si="20"/>
        <v>0.7037037037</v>
      </c>
      <c r="G701" s="65">
        <f t="shared" si="20"/>
        <v>0.8148148148</v>
      </c>
      <c r="H701" s="65">
        <f t="shared" si="19"/>
        <v>0.8240740741</v>
      </c>
    </row>
    <row r="702">
      <c r="A702" s="97" t="s">
        <v>1283</v>
      </c>
      <c r="D702" s="65">
        <f t="shared" ref="D702:G702" si="21">(D23+D48+D73+D98+D123+D148+D173+D198+D223+D248+D273+D298+D323+D348+D373+D398+D423+D448+D473+D498+D523+D548+D573+D598+D623+D648+D673)/27</f>
        <v>1</v>
      </c>
      <c r="E702" s="65">
        <f t="shared" si="21"/>
        <v>1</v>
      </c>
      <c r="F702" s="65">
        <f t="shared" si="21"/>
        <v>1</v>
      </c>
      <c r="G702" s="65">
        <f t="shared" si="21"/>
        <v>1</v>
      </c>
      <c r="H702" s="65">
        <f t="shared" si="19"/>
        <v>1</v>
      </c>
    </row>
    <row r="703">
      <c r="A703" s="97" t="s">
        <v>950</v>
      </c>
      <c r="D703" s="65">
        <f t="shared" ref="D703:G703" si="22">(D24+D49+D74+D99+D124+D149+D174+D199+D224+D249+D274+D299+D324+D349+D374+D399+D424+D449+D474+D499+D524+D549+D574+D599+D624+D649+D674)/27</f>
        <v>0.8888888889</v>
      </c>
      <c r="E703" s="65">
        <f t="shared" si="22"/>
        <v>0.9259259259</v>
      </c>
      <c r="F703" s="65">
        <f t="shared" si="22"/>
        <v>0.7407407407</v>
      </c>
      <c r="G703" s="65">
        <f t="shared" si="22"/>
        <v>0.7407407407</v>
      </c>
      <c r="H703" s="65">
        <f t="shared" si="19"/>
        <v>0.8240740741</v>
      </c>
    </row>
    <row r="704">
      <c r="A704" s="97" t="s">
        <v>951</v>
      </c>
      <c r="D704" s="65">
        <f t="shared" ref="D704:G704" si="23">(D25+D50+D75+D100+D125+D150+D175+D200+D225+D250+D275+D300+D325+D350+D375+D400+D425+D450+D475+D500+D525+D550+D575+D600+D625+D650+D675)/27</f>
        <v>0.9259259259</v>
      </c>
      <c r="E704" s="65">
        <f t="shared" si="23"/>
        <v>0.962962963</v>
      </c>
      <c r="F704" s="65">
        <f t="shared" si="23"/>
        <v>0.8518518519</v>
      </c>
      <c r="G704" s="65">
        <f t="shared" si="23"/>
        <v>0.8518518519</v>
      </c>
      <c r="H704" s="65">
        <f t="shared" si="19"/>
        <v>0.8981481481</v>
      </c>
    </row>
    <row r="705">
      <c r="A705" s="97" t="s">
        <v>952</v>
      </c>
      <c r="D705" s="65">
        <f t="shared" ref="D705:G705" si="24">(D26+D51+D76+D101+D126+D151+D176+D201+D226+D251+D276+D301+D326+D351+D376+D401+D426+D451+D476+D501+D526+D551+D576+D601+D626+D651+D676)/27</f>
        <v>1</v>
      </c>
      <c r="E705" s="65">
        <f t="shared" si="24"/>
        <v>1</v>
      </c>
      <c r="F705" s="65">
        <f t="shared" si="24"/>
        <v>1</v>
      </c>
      <c r="G705" s="65">
        <f t="shared" si="24"/>
        <v>1</v>
      </c>
      <c r="H705" s="65">
        <f t="shared" si="19"/>
        <v>1</v>
      </c>
      <c r="I705" s="65">
        <f>AVERAGE(H699:H705)</f>
        <v>0.9021164021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v>1.0</v>
      </c>
      <c r="B1" s="102">
        <v>1.0</v>
      </c>
      <c r="C1" s="111"/>
    </row>
    <row r="2">
      <c r="A2" s="102">
        <v>1.0</v>
      </c>
      <c r="B2" s="102">
        <v>1.0</v>
      </c>
      <c r="D2" s="112"/>
    </row>
    <row r="3">
      <c r="A3" s="102">
        <v>1.0</v>
      </c>
      <c r="B3" s="102">
        <v>1.0</v>
      </c>
    </row>
    <row r="4">
      <c r="A4" s="102">
        <v>1.0</v>
      </c>
      <c r="B4" s="102">
        <v>1.0</v>
      </c>
    </row>
    <row r="5">
      <c r="A5" s="102">
        <v>1.0</v>
      </c>
      <c r="B5" s="102">
        <v>1.0</v>
      </c>
    </row>
    <row r="6">
      <c r="A6" s="102">
        <v>1.0</v>
      </c>
      <c r="B6" s="102">
        <v>1.0</v>
      </c>
    </row>
    <row r="7">
      <c r="A7" s="102">
        <v>1.0</v>
      </c>
      <c r="B7" s="102">
        <v>1.0</v>
      </c>
    </row>
    <row r="8">
      <c r="A8" s="102">
        <v>1.0</v>
      </c>
      <c r="B8" s="102">
        <v>1.0</v>
      </c>
      <c r="E8" s="15" t="s">
        <v>2090</v>
      </c>
    </row>
    <row r="9">
      <c r="A9" s="102">
        <v>1.0</v>
      </c>
      <c r="B9" s="102">
        <v>1.0</v>
      </c>
      <c r="E9" s="65">
        <f>(( (COUNTIFS(A:A,1,B:B,1)+COUNTIFS(A:A,0,B:B,0))/COUNTA(A:A) - ((COUNTIF(A:A,1)*COUNTIF(B:B,1)+COUNTIF(A:A,0)*COUNTIF(B:B,0))/(COUNTA(A:A)^2)) ) / (1-((COUNTIF(A:A,1)*COUNTIF(B:B,1)+COUNTIF(A:A,0)*COUNTIF(B:B,0))/(COUNTA(A:A)^2))))</f>
        <v>0.6528672633</v>
      </c>
    </row>
    <row r="10">
      <c r="A10" s="102">
        <v>1.0</v>
      </c>
      <c r="B10" s="102">
        <v>1.0</v>
      </c>
    </row>
    <row r="11">
      <c r="A11" s="102">
        <v>1.0</v>
      </c>
      <c r="B11" s="102">
        <v>1.0</v>
      </c>
    </row>
    <row r="12">
      <c r="A12" s="102">
        <v>0.0</v>
      </c>
      <c r="B12" s="102">
        <v>0.0</v>
      </c>
    </row>
    <row r="13">
      <c r="A13" s="102">
        <v>1.0</v>
      </c>
      <c r="B13" s="102">
        <v>1.0</v>
      </c>
    </row>
    <row r="14">
      <c r="A14" s="102">
        <v>1.0</v>
      </c>
      <c r="B14" s="102">
        <v>1.0</v>
      </c>
    </row>
    <row r="15">
      <c r="A15" s="102">
        <v>0.0</v>
      </c>
      <c r="B15" s="102">
        <v>0.0</v>
      </c>
    </row>
    <row r="16">
      <c r="A16" s="102">
        <v>0.0</v>
      </c>
      <c r="B16" s="102">
        <v>0.0</v>
      </c>
    </row>
    <row r="17">
      <c r="A17" s="102">
        <v>0.0</v>
      </c>
      <c r="B17" s="102">
        <v>0.0</v>
      </c>
    </row>
    <row r="18">
      <c r="A18" s="102">
        <v>1.0</v>
      </c>
      <c r="B18" s="102">
        <v>1.0</v>
      </c>
    </row>
    <row r="19">
      <c r="A19" s="102">
        <v>1.0</v>
      </c>
      <c r="B19" s="102">
        <v>1.0</v>
      </c>
    </row>
    <row r="20">
      <c r="A20" s="102">
        <v>0.0</v>
      </c>
      <c r="B20" s="102">
        <v>0.0</v>
      </c>
    </row>
    <row r="21">
      <c r="A21" s="102">
        <v>1.0</v>
      </c>
      <c r="B21" s="102">
        <v>1.0</v>
      </c>
    </row>
    <row r="22">
      <c r="A22" s="107">
        <v>1.0</v>
      </c>
      <c r="B22" s="107">
        <v>1.0</v>
      </c>
    </row>
    <row r="23">
      <c r="A23" s="107">
        <v>1.0</v>
      </c>
      <c r="B23" s="107">
        <v>1.0</v>
      </c>
    </row>
    <row r="24">
      <c r="A24" s="107">
        <v>1.0</v>
      </c>
      <c r="B24" s="107">
        <v>1.0</v>
      </c>
    </row>
    <row r="25">
      <c r="A25" s="107">
        <v>1.0</v>
      </c>
      <c r="B25" s="107">
        <v>1.0</v>
      </c>
    </row>
    <row r="26">
      <c r="A26" s="107">
        <v>1.0</v>
      </c>
      <c r="B26" s="107">
        <v>1.0</v>
      </c>
    </row>
    <row r="27">
      <c r="A27" s="107">
        <v>1.0</v>
      </c>
      <c r="B27" s="107">
        <v>1.0</v>
      </c>
    </row>
    <row r="28">
      <c r="A28" s="107">
        <v>1.0</v>
      </c>
      <c r="B28" s="107">
        <v>1.0</v>
      </c>
    </row>
    <row r="29">
      <c r="A29" s="107">
        <v>1.0</v>
      </c>
      <c r="B29" s="107">
        <v>1.0</v>
      </c>
    </row>
    <row r="30">
      <c r="A30" s="107">
        <v>1.0</v>
      </c>
      <c r="B30" s="107">
        <v>1.0</v>
      </c>
    </row>
    <row r="31">
      <c r="A31" s="107">
        <v>1.0</v>
      </c>
      <c r="B31" s="107">
        <v>1.0</v>
      </c>
    </row>
    <row r="32">
      <c r="A32" s="107">
        <v>1.0</v>
      </c>
      <c r="B32" s="107">
        <v>1.0</v>
      </c>
    </row>
    <row r="33">
      <c r="A33" s="107">
        <v>1.0</v>
      </c>
      <c r="B33" s="107">
        <v>1.0</v>
      </c>
    </row>
    <row r="34">
      <c r="A34" s="107">
        <v>1.0</v>
      </c>
      <c r="B34" s="107">
        <v>1.0</v>
      </c>
    </row>
    <row r="35">
      <c r="A35" s="107">
        <v>1.0</v>
      </c>
      <c r="B35" s="107">
        <v>1.0</v>
      </c>
    </row>
    <row r="36">
      <c r="A36" s="107">
        <v>1.0</v>
      </c>
      <c r="B36" s="107">
        <v>1.0</v>
      </c>
    </row>
    <row r="37">
      <c r="A37" s="107">
        <v>1.0</v>
      </c>
      <c r="B37" s="107">
        <v>1.0</v>
      </c>
    </row>
    <row r="38">
      <c r="A38" s="107">
        <v>1.0</v>
      </c>
      <c r="B38" s="107">
        <v>1.0</v>
      </c>
    </row>
    <row r="39">
      <c r="A39" s="107">
        <v>1.0</v>
      </c>
      <c r="B39" s="107">
        <v>1.0</v>
      </c>
    </row>
    <row r="40">
      <c r="A40" s="107">
        <v>1.0</v>
      </c>
      <c r="B40" s="107">
        <v>1.0</v>
      </c>
    </row>
    <row r="41">
      <c r="A41" s="107">
        <v>1.0</v>
      </c>
      <c r="B41" s="107">
        <v>1.0</v>
      </c>
    </row>
    <row r="42">
      <c r="A42" s="107">
        <v>1.0</v>
      </c>
      <c r="B42" s="107">
        <v>1.0</v>
      </c>
    </row>
    <row r="43">
      <c r="A43" s="102">
        <v>1.0</v>
      </c>
      <c r="B43" s="102">
        <v>1.0</v>
      </c>
    </row>
    <row r="44">
      <c r="A44" s="102">
        <v>1.0</v>
      </c>
      <c r="B44" s="102">
        <v>1.0</v>
      </c>
    </row>
    <row r="45">
      <c r="A45" s="102">
        <v>1.0</v>
      </c>
      <c r="B45" s="102">
        <v>1.0</v>
      </c>
    </row>
    <row r="46">
      <c r="A46" s="102">
        <v>1.0</v>
      </c>
      <c r="B46" s="102">
        <v>1.0</v>
      </c>
    </row>
    <row r="47">
      <c r="A47" s="102">
        <v>1.0</v>
      </c>
      <c r="B47" s="102">
        <v>1.0</v>
      </c>
    </row>
    <row r="48">
      <c r="A48" s="102">
        <v>1.0</v>
      </c>
      <c r="B48" s="102">
        <v>1.0</v>
      </c>
    </row>
    <row r="49">
      <c r="A49" s="102">
        <v>1.0</v>
      </c>
      <c r="B49" s="102">
        <v>1.0</v>
      </c>
    </row>
    <row r="50">
      <c r="A50" s="102">
        <v>1.0</v>
      </c>
      <c r="B50" s="102">
        <v>1.0</v>
      </c>
    </row>
    <row r="51">
      <c r="A51" s="102">
        <v>1.0</v>
      </c>
      <c r="B51" s="102">
        <v>1.0</v>
      </c>
    </row>
    <row r="52">
      <c r="A52" s="102">
        <v>1.0</v>
      </c>
      <c r="B52" s="102">
        <v>1.0</v>
      </c>
    </row>
    <row r="53">
      <c r="A53" s="102">
        <v>1.0</v>
      </c>
      <c r="B53" s="102">
        <v>1.0</v>
      </c>
    </row>
    <row r="54">
      <c r="A54" s="102">
        <v>1.0</v>
      </c>
      <c r="B54" s="102">
        <v>1.0</v>
      </c>
    </row>
    <row r="55">
      <c r="A55" s="102">
        <v>1.0</v>
      </c>
      <c r="B55" s="102">
        <v>1.0</v>
      </c>
    </row>
    <row r="56">
      <c r="A56" s="102">
        <v>1.0</v>
      </c>
      <c r="B56" s="102">
        <v>1.0</v>
      </c>
    </row>
    <row r="57">
      <c r="A57" s="102">
        <v>1.0</v>
      </c>
      <c r="B57" s="102">
        <v>1.0</v>
      </c>
    </row>
    <row r="58">
      <c r="A58" s="102">
        <v>1.0</v>
      </c>
      <c r="B58" s="102">
        <v>1.0</v>
      </c>
    </row>
    <row r="59">
      <c r="A59" s="102">
        <v>1.0</v>
      </c>
      <c r="B59" s="102">
        <v>1.0</v>
      </c>
    </row>
    <row r="60">
      <c r="A60" s="102">
        <v>1.0</v>
      </c>
      <c r="B60" s="102">
        <v>1.0</v>
      </c>
    </row>
    <row r="61">
      <c r="A61" s="102">
        <v>1.0</v>
      </c>
      <c r="B61" s="102">
        <v>1.0</v>
      </c>
    </row>
    <row r="62">
      <c r="A62" s="102">
        <v>1.0</v>
      </c>
      <c r="B62" s="102">
        <v>1.0</v>
      </c>
    </row>
    <row r="63">
      <c r="A63" s="102">
        <v>1.0</v>
      </c>
      <c r="B63" s="102">
        <v>1.0</v>
      </c>
    </row>
    <row r="64">
      <c r="A64" s="107">
        <v>1.0</v>
      </c>
      <c r="B64" s="107">
        <v>1.0</v>
      </c>
    </row>
    <row r="65">
      <c r="A65" s="107">
        <v>1.0</v>
      </c>
      <c r="B65" s="107">
        <v>1.0</v>
      </c>
    </row>
    <row r="66">
      <c r="A66" s="107">
        <v>1.0</v>
      </c>
      <c r="B66" s="107">
        <v>1.0</v>
      </c>
    </row>
    <row r="67">
      <c r="A67" s="107">
        <v>1.0</v>
      </c>
      <c r="B67" s="107">
        <v>1.0</v>
      </c>
    </row>
    <row r="68">
      <c r="A68" s="107">
        <v>1.0</v>
      </c>
      <c r="B68" s="107">
        <v>1.0</v>
      </c>
    </row>
    <row r="69">
      <c r="A69" s="107">
        <v>1.0</v>
      </c>
      <c r="B69" s="107">
        <v>1.0</v>
      </c>
    </row>
    <row r="70">
      <c r="A70" s="107">
        <v>1.0</v>
      </c>
      <c r="B70" s="107">
        <v>1.0</v>
      </c>
    </row>
    <row r="71">
      <c r="A71" s="107">
        <v>1.0</v>
      </c>
      <c r="B71" s="107">
        <v>1.0</v>
      </c>
    </row>
    <row r="72">
      <c r="A72" s="107">
        <v>1.0</v>
      </c>
      <c r="B72" s="107">
        <v>1.0</v>
      </c>
    </row>
    <row r="73">
      <c r="A73" s="107">
        <v>1.0</v>
      </c>
      <c r="B73" s="107">
        <v>1.0</v>
      </c>
    </row>
    <row r="74">
      <c r="A74" s="107">
        <v>1.0</v>
      </c>
      <c r="B74" s="107">
        <v>1.0</v>
      </c>
    </row>
    <row r="75">
      <c r="A75" s="107">
        <v>1.0</v>
      </c>
      <c r="B75" s="107">
        <v>1.0</v>
      </c>
    </row>
    <row r="76">
      <c r="A76" s="107">
        <v>1.0</v>
      </c>
      <c r="B76" s="107">
        <v>1.0</v>
      </c>
    </row>
    <row r="77">
      <c r="A77" s="107">
        <v>1.0</v>
      </c>
      <c r="B77" s="107">
        <v>1.0</v>
      </c>
    </row>
    <row r="78">
      <c r="A78" s="107">
        <v>1.0</v>
      </c>
      <c r="B78" s="107">
        <v>1.0</v>
      </c>
    </row>
    <row r="79">
      <c r="A79" s="107">
        <v>1.0</v>
      </c>
      <c r="B79" s="107">
        <v>1.0</v>
      </c>
    </row>
    <row r="80">
      <c r="A80" s="107">
        <v>1.0</v>
      </c>
      <c r="B80" s="107">
        <v>1.0</v>
      </c>
    </row>
    <row r="81">
      <c r="A81" s="107">
        <v>1.0</v>
      </c>
      <c r="B81" s="107">
        <v>1.0</v>
      </c>
    </row>
    <row r="82">
      <c r="A82" s="107">
        <v>1.0</v>
      </c>
      <c r="B82" s="107">
        <v>1.0</v>
      </c>
    </row>
    <row r="83">
      <c r="A83" s="107">
        <v>1.0</v>
      </c>
      <c r="B83" s="107">
        <v>1.0</v>
      </c>
    </row>
    <row r="84">
      <c r="A84" s="107">
        <v>1.0</v>
      </c>
      <c r="B84" s="107">
        <v>1.0</v>
      </c>
    </row>
    <row r="85">
      <c r="A85" s="102">
        <v>1.0</v>
      </c>
      <c r="B85" s="102">
        <v>1.0</v>
      </c>
    </row>
    <row r="86">
      <c r="A86" s="102">
        <v>1.0</v>
      </c>
      <c r="B86" s="102">
        <v>1.0</v>
      </c>
    </row>
    <row r="87">
      <c r="A87" s="102">
        <v>1.0</v>
      </c>
      <c r="B87" s="102">
        <v>1.0</v>
      </c>
    </row>
    <row r="88">
      <c r="A88" s="102">
        <v>1.0</v>
      </c>
      <c r="B88" s="102">
        <v>1.0</v>
      </c>
    </row>
    <row r="89">
      <c r="A89" s="102">
        <v>1.0</v>
      </c>
      <c r="B89" s="102">
        <v>1.0</v>
      </c>
    </row>
    <row r="90">
      <c r="A90" s="102">
        <v>1.0</v>
      </c>
      <c r="B90" s="102">
        <v>1.0</v>
      </c>
    </row>
    <row r="91">
      <c r="A91" s="102">
        <v>1.0</v>
      </c>
      <c r="B91" s="102">
        <v>1.0</v>
      </c>
    </row>
    <row r="92">
      <c r="A92" s="102">
        <v>1.0</v>
      </c>
      <c r="B92" s="102">
        <v>1.0</v>
      </c>
    </row>
    <row r="93">
      <c r="A93" s="102">
        <v>1.0</v>
      </c>
      <c r="B93" s="102">
        <v>1.0</v>
      </c>
    </row>
    <row r="94">
      <c r="A94" s="102">
        <v>1.0</v>
      </c>
      <c r="B94" s="102">
        <v>1.0</v>
      </c>
    </row>
    <row r="95">
      <c r="A95" s="102">
        <v>1.0</v>
      </c>
      <c r="B95" s="102">
        <v>1.0</v>
      </c>
    </row>
    <row r="96">
      <c r="A96" s="102">
        <v>0.0</v>
      </c>
      <c r="B96" s="102">
        <v>0.0</v>
      </c>
    </row>
    <row r="97">
      <c r="A97" s="102">
        <v>1.0</v>
      </c>
      <c r="B97" s="102">
        <v>1.0</v>
      </c>
    </row>
    <row r="98">
      <c r="A98" s="102">
        <v>1.0</v>
      </c>
      <c r="B98" s="102">
        <v>1.0</v>
      </c>
    </row>
    <row r="99">
      <c r="A99" s="102">
        <v>1.0</v>
      </c>
      <c r="B99" s="102">
        <v>1.0</v>
      </c>
    </row>
    <row r="100">
      <c r="A100" s="102">
        <v>1.0</v>
      </c>
      <c r="B100" s="102">
        <v>1.0</v>
      </c>
    </row>
    <row r="101">
      <c r="A101" s="102">
        <v>1.0</v>
      </c>
      <c r="B101" s="102">
        <v>1.0</v>
      </c>
    </row>
    <row r="102">
      <c r="A102" s="102">
        <v>1.0</v>
      </c>
      <c r="B102" s="102">
        <v>1.0</v>
      </c>
    </row>
    <row r="103">
      <c r="A103" s="102">
        <v>1.0</v>
      </c>
      <c r="B103" s="102">
        <v>1.0</v>
      </c>
    </row>
    <row r="104">
      <c r="A104" s="102">
        <v>1.0</v>
      </c>
      <c r="B104" s="102">
        <v>1.0</v>
      </c>
    </row>
    <row r="105">
      <c r="A105" s="102">
        <v>1.0</v>
      </c>
      <c r="B105" s="102">
        <v>1.0</v>
      </c>
    </row>
    <row r="106">
      <c r="A106" s="107">
        <v>1.0</v>
      </c>
      <c r="B106" s="107">
        <v>1.0</v>
      </c>
    </row>
    <row r="107">
      <c r="A107" s="107">
        <v>1.0</v>
      </c>
      <c r="B107" s="107">
        <v>1.0</v>
      </c>
    </row>
    <row r="108">
      <c r="A108" s="107">
        <v>1.0</v>
      </c>
      <c r="B108" s="107">
        <v>1.0</v>
      </c>
    </row>
    <row r="109">
      <c r="A109" s="107">
        <v>1.0</v>
      </c>
      <c r="B109" s="107">
        <v>1.0</v>
      </c>
    </row>
    <row r="110">
      <c r="A110" s="107">
        <v>1.0</v>
      </c>
      <c r="B110" s="107">
        <v>1.0</v>
      </c>
    </row>
    <row r="111">
      <c r="A111" s="107">
        <v>1.0</v>
      </c>
      <c r="B111" s="107">
        <v>1.0</v>
      </c>
    </row>
    <row r="112">
      <c r="A112" s="107">
        <v>1.0</v>
      </c>
      <c r="B112" s="107">
        <v>1.0</v>
      </c>
    </row>
    <row r="113">
      <c r="A113" s="107">
        <v>1.0</v>
      </c>
      <c r="B113" s="107">
        <v>1.0</v>
      </c>
    </row>
    <row r="114">
      <c r="A114" s="107">
        <v>1.0</v>
      </c>
      <c r="B114" s="107">
        <v>1.0</v>
      </c>
    </row>
    <row r="115">
      <c r="A115" s="107">
        <v>1.0</v>
      </c>
      <c r="B115" s="107">
        <v>1.0</v>
      </c>
    </row>
    <row r="116">
      <c r="A116" s="107">
        <v>1.0</v>
      </c>
      <c r="B116" s="107">
        <v>1.0</v>
      </c>
    </row>
    <row r="117">
      <c r="A117" s="107">
        <v>1.0</v>
      </c>
      <c r="B117" s="107">
        <v>1.0</v>
      </c>
    </row>
    <row r="118">
      <c r="A118" s="107">
        <v>1.0</v>
      </c>
      <c r="B118" s="107">
        <v>1.0</v>
      </c>
    </row>
    <row r="119">
      <c r="A119" s="107">
        <v>1.0</v>
      </c>
      <c r="B119" s="107">
        <v>1.0</v>
      </c>
    </row>
    <row r="120">
      <c r="A120" s="107">
        <v>1.0</v>
      </c>
      <c r="B120" s="107">
        <v>1.0</v>
      </c>
    </row>
    <row r="121">
      <c r="A121" s="107">
        <v>1.0</v>
      </c>
      <c r="B121" s="107">
        <v>1.0</v>
      </c>
    </row>
    <row r="122">
      <c r="A122" s="107">
        <v>1.0</v>
      </c>
      <c r="B122" s="107">
        <v>1.0</v>
      </c>
    </row>
    <row r="123">
      <c r="A123" s="107">
        <v>1.0</v>
      </c>
      <c r="B123" s="107">
        <v>1.0</v>
      </c>
    </row>
    <row r="124">
      <c r="A124" s="107">
        <v>1.0</v>
      </c>
      <c r="B124" s="107">
        <v>1.0</v>
      </c>
    </row>
    <row r="125">
      <c r="A125" s="107">
        <v>1.0</v>
      </c>
      <c r="B125" s="107">
        <v>1.0</v>
      </c>
    </row>
    <row r="126">
      <c r="A126" s="107">
        <v>1.0</v>
      </c>
      <c r="B126" s="107">
        <v>1.0</v>
      </c>
    </row>
    <row r="127">
      <c r="A127" s="102">
        <v>1.0</v>
      </c>
      <c r="B127" s="102">
        <v>1.0</v>
      </c>
    </row>
    <row r="128">
      <c r="A128" s="102">
        <v>1.0</v>
      </c>
      <c r="B128" s="102">
        <v>1.0</v>
      </c>
    </row>
    <row r="129">
      <c r="A129" s="102">
        <v>1.0</v>
      </c>
      <c r="B129" s="102">
        <v>1.0</v>
      </c>
    </row>
    <row r="130">
      <c r="A130" s="102">
        <v>1.0</v>
      </c>
      <c r="B130" s="102">
        <v>1.0</v>
      </c>
    </row>
    <row r="131">
      <c r="A131" s="102">
        <v>1.0</v>
      </c>
      <c r="B131" s="102">
        <v>1.0</v>
      </c>
    </row>
    <row r="132">
      <c r="A132" s="102">
        <v>1.0</v>
      </c>
      <c r="B132" s="102">
        <v>1.0</v>
      </c>
    </row>
    <row r="133">
      <c r="A133" s="102">
        <v>1.0</v>
      </c>
      <c r="B133" s="102">
        <v>1.0</v>
      </c>
    </row>
    <row r="134">
      <c r="A134" s="102">
        <v>1.0</v>
      </c>
      <c r="B134" s="102">
        <v>1.0</v>
      </c>
    </row>
    <row r="135">
      <c r="A135" s="102">
        <v>1.0</v>
      </c>
      <c r="B135" s="102">
        <v>1.0</v>
      </c>
    </row>
    <row r="136">
      <c r="A136" s="102">
        <v>1.0</v>
      </c>
      <c r="B136" s="102">
        <v>1.0</v>
      </c>
    </row>
    <row r="137">
      <c r="A137" s="102">
        <v>1.0</v>
      </c>
      <c r="B137" s="102">
        <v>1.0</v>
      </c>
    </row>
    <row r="138">
      <c r="A138" s="102">
        <v>1.0</v>
      </c>
      <c r="B138" s="102">
        <v>1.0</v>
      </c>
    </row>
    <row r="139">
      <c r="A139" s="102">
        <v>1.0</v>
      </c>
      <c r="B139" s="102">
        <v>1.0</v>
      </c>
    </row>
    <row r="140">
      <c r="A140" s="102">
        <v>1.0</v>
      </c>
      <c r="B140" s="102">
        <v>1.0</v>
      </c>
    </row>
    <row r="141">
      <c r="A141" s="102">
        <v>1.0</v>
      </c>
      <c r="B141" s="102">
        <v>1.0</v>
      </c>
    </row>
    <row r="142">
      <c r="A142" s="102">
        <v>1.0</v>
      </c>
      <c r="B142" s="102">
        <v>1.0</v>
      </c>
    </row>
    <row r="143">
      <c r="A143" s="102">
        <v>1.0</v>
      </c>
      <c r="B143" s="102">
        <v>1.0</v>
      </c>
    </row>
    <row r="144">
      <c r="A144" s="102">
        <v>1.0</v>
      </c>
      <c r="B144" s="102">
        <v>1.0</v>
      </c>
    </row>
    <row r="145">
      <c r="A145" s="102">
        <v>1.0</v>
      </c>
      <c r="B145" s="102">
        <v>1.0</v>
      </c>
    </row>
    <row r="146">
      <c r="A146" s="102">
        <v>1.0</v>
      </c>
      <c r="B146" s="102">
        <v>1.0</v>
      </c>
    </row>
    <row r="147">
      <c r="A147" s="102">
        <v>1.0</v>
      </c>
      <c r="B147" s="102">
        <v>1.0</v>
      </c>
    </row>
    <row r="148">
      <c r="A148" s="107">
        <v>1.0</v>
      </c>
      <c r="B148" s="107">
        <v>1.0</v>
      </c>
    </row>
    <row r="149">
      <c r="A149" s="107">
        <v>1.0</v>
      </c>
      <c r="B149" s="107">
        <v>1.0</v>
      </c>
    </row>
    <row r="150">
      <c r="A150" s="107">
        <v>1.0</v>
      </c>
      <c r="B150" s="107">
        <v>1.0</v>
      </c>
    </row>
    <row r="151">
      <c r="A151" s="107">
        <v>1.0</v>
      </c>
      <c r="B151" s="107">
        <v>1.0</v>
      </c>
    </row>
    <row r="152">
      <c r="A152" s="107">
        <v>1.0</v>
      </c>
      <c r="B152" s="107">
        <v>1.0</v>
      </c>
    </row>
    <row r="153">
      <c r="A153" s="107">
        <v>1.0</v>
      </c>
      <c r="B153" s="107">
        <v>1.0</v>
      </c>
    </row>
    <row r="154">
      <c r="A154" s="107">
        <v>1.0</v>
      </c>
      <c r="B154" s="107">
        <v>1.0</v>
      </c>
    </row>
    <row r="155">
      <c r="A155" s="107">
        <v>1.0</v>
      </c>
      <c r="B155" s="107">
        <v>1.0</v>
      </c>
    </row>
    <row r="156">
      <c r="A156" s="107">
        <v>1.0</v>
      </c>
      <c r="B156" s="107">
        <v>1.0</v>
      </c>
    </row>
    <row r="157">
      <c r="A157" s="107">
        <v>1.0</v>
      </c>
      <c r="B157" s="107">
        <v>1.0</v>
      </c>
    </row>
    <row r="158">
      <c r="A158" s="107">
        <v>1.0</v>
      </c>
      <c r="B158" s="107">
        <v>1.0</v>
      </c>
    </row>
    <row r="159">
      <c r="A159" s="107">
        <v>1.0</v>
      </c>
      <c r="B159" s="107">
        <v>1.0</v>
      </c>
    </row>
    <row r="160">
      <c r="A160" s="107">
        <v>1.0</v>
      </c>
      <c r="B160" s="107">
        <v>1.0</v>
      </c>
    </row>
    <row r="161">
      <c r="A161" s="107">
        <v>1.0</v>
      </c>
      <c r="B161" s="107">
        <v>1.0</v>
      </c>
    </row>
    <row r="162">
      <c r="A162" s="107">
        <v>1.0</v>
      </c>
      <c r="B162" s="107">
        <v>1.0</v>
      </c>
    </row>
    <row r="163">
      <c r="A163" s="107">
        <v>1.0</v>
      </c>
      <c r="B163" s="107">
        <v>1.0</v>
      </c>
    </row>
    <row r="164">
      <c r="A164" s="107">
        <v>1.0</v>
      </c>
      <c r="B164" s="107">
        <v>1.0</v>
      </c>
    </row>
    <row r="165">
      <c r="A165" s="107">
        <v>1.0</v>
      </c>
      <c r="B165" s="107">
        <v>1.0</v>
      </c>
    </row>
    <row r="166">
      <c r="A166" s="107">
        <v>1.0</v>
      </c>
      <c r="B166" s="107">
        <v>1.0</v>
      </c>
    </row>
    <row r="167">
      <c r="A167" s="107">
        <v>1.0</v>
      </c>
      <c r="B167" s="107">
        <v>1.0</v>
      </c>
    </row>
    <row r="168">
      <c r="A168" s="107">
        <v>1.0</v>
      </c>
      <c r="B168" s="107">
        <v>1.0</v>
      </c>
    </row>
    <row r="169">
      <c r="A169" s="102">
        <v>1.0</v>
      </c>
      <c r="B169" s="102">
        <v>1.0</v>
      </c>
    </row>
    <row r="170">
      <c r="A170" s="102">
        <v>1.0</v>
      </c>
      <c r="B170" s="102">
        <v>1.0</v>
      </c>
    </row>
    <row r="171">
      <c r="A171" s="102">
        <v>1.0</v>
      </c>
      <c r="B171" s="102">
        <v>1.0</v>
      </c>
    </row>
    <row r="172">
      <c r="A172" s="102">
        <v>1.0</v>
      </c>
      <c r="B172" s="102">
        <v>1.0</v>
      </c>
    </row>
    <row r="173">
      <c r="A173" s="102">
        <v>1.0</v>
      </c>
      <c r="B173" s="102">
        <v>1.0</v>
      </c>
    </row>
    <row r="174">
      <c r="A174" s="102">
        <v>1.0</v>
      </c>
      <c r="B174" s="102">
        <v>1.0</v>
      </c>
    </row>
    <row r="175">
      <c r="A175" s="102">
        <v>1.0</v>
      </c>
      <c r="B175" s="102">
        <v>1.0</v>
      </c>
    </row>
    <row r="176">
      <c r="A176" s="102">
        <v>1.0</v>
      </c>
      <c r="B176" s="102">
        <v>1.0</v>
      </c>
    </row>
    <row r="177">
      <c r="A177" s="102">
        <v>1.0</v>
      </c>
      <c r="B177" s="102">
        <v>1.0</v>
      </c>
    </row>
    <row r="178">
      <c r="A178" s="102">
        <v>1.0</v>
      </c>
      <c r="B178" s="102">
        <v>1.0</v>
      </c>
    </row>
    <row r="179">
      <c r="A179" s="102">
        <v>1.0</v>
      </c>
      <c r="B179" s="102">
        <v>1.0</v>
      </c>
    </row>
    <row r="180">
      <c r="A180" s="102">
        <v>1.0</v>
      </c>
      <c r="B180" s="102">
        <v>1.0</v>
      </c>
    </row>
    <row r="181">
      <c r="A181" s="102">
        <v>1.0</v>
      </c>
      <c r="B181" s="102">
        <v>1.0</v>
      </c>
    </row>
    <row r="182">
      <c r="A182" s="102">
        <v>1.0</v>
      </c>
      <c r="B182" s="102">
        <v>1.0</v>
      </c>
    </row>
    <row r="183">
      <c r="A183" s="102">
        <v>1.0</v>
      </c>
      <c r="B183" s="102">
        <v>1.0</v>
      </c>
    </row>
    <row r="184">
      <c r="A184" s="102">
        <v>1.0</v>
      </c>
      <c r="B184" s="102">
        <v>1.0</v>
      </c>
    </row>
    <row r="185">
      <c r="A185" s="102">
        <v>1.0</v>
      </c>
      <c r="B185" s="102">
        <v>1.0</v>
      </c>
    </row>
    <row r="186">
      <c r="A186" s="102">
        <v>1.0</v>
      </c>
      <c r="B186" s="102">
        <v>1.0</v>
      </c>
    </row>
    <row r="187">
      <c r="A187" s="102">
        <v>1.0</v>
      </c>
      <c r="B187" s="102">
        <v>1.0</v>
      </c>
    </row>
    <row r="188">
      <c r="A188" s="102">
        <v>1.0</v>
      </c>
      <c r="B188" s="102">
        <v>1.0</v>
      </c>
    </row>
    <row r="189">
      <c r="A189" s="102">
        <v>1.0</v>
      </c>
      <c r="B189" s="102">
        <v>1.0</v>
      </c>
    </row>
    <row r="190">
      <c r="A190" s="107">
        <v>1.0</v>
      </c>
      <c r="B190" s="107">
        <v>1.0</v>
      </c>
    </row>
    <row r="191">
      <c r="A191" s="107">
        <v>1.0</v>
      </c>
      <c r="B191" s="107">
        <v>1.0</v>
      </c>
    </row>
    <row r="192">
      <c r="A192" s="107">
        <v>1.0</v>
      </c>
      <c r="B192" s="107">
        <v>1.0</v>
      </c>
    </row>
    <row r="193">
      <c r="A193" s="107">
        <v>1.0</v>
      </c>
      <c r="B193" s="107">
        <v>1.0</v>
      </c>
    </row>
    <row r="194">
      <c r="A194" s="107">
        <v>1.0</v>
      </c>
      <c r="B194" s="107">
        <v>1.0</v>
      </c>
    </row>
    <row r="195">
      <c r="A195" s="107">
        <v>1.0</v>
      </c>
      <c r="B195" s="107">
        <v>1.0</v>
      </c>
    </row>
    <row r="196">
      <c r="A196" s="107">
        <v>1.0</v>
      </c>
      <c r="B196" s="107">
        <v>1.0</v>
      </c>
    </row>
    <row r="197">
      <c r="A197" s="107">
        <v>1.0</v>
      </c>
      <c r="B197" s="107">
        <v>1.0</v>
      </c>
    </row>
    <row r="198">
      <c r="A198" s="107">
        <v>1.0</v>
      </c>
      <c r="B198" s="107">
        <v>1.0</v>
      </c>
    </row>
    <row r="199">
      <c r="A199" s="107">
        <v>1.0</v>
      </c>
      <c r="B199" s="107">
        <v>1.0</v>
      </c>
    </row>
    <row r="200">
      <c r="A200" s="107">
        <v>1.0</v>
      </c>
      <c r="B200" s="107">
        <v>1.0</v>
      </c>
    </row>
    <row r="201">
      <c r="A201" s="107">
        <v>1.0</v>
      </c>
      <c r="B201" s="107">
        <v>1.0</v>
      </c>
    </row>
    <row r="202">
      <c r="A202" s="107">
        <v>1.0</v>
      </c>
      <c r="B202" s="107">
        <v>1.0</v>
      </c>
    </row>
    <row r="203">
      <c r="A203" s="107">
        <v>1.0</v>
      </c>
      <c r="B203" s="107">
        <v>1.0</v>
      </c>
    </row>
    <row r="204">
      <c r="A204" s="107">
        <v>1.0</v>
      </c>
      <c r="B204" s="107">
        <v>1.0</v>
      </c>
    </row>
    <row r="205">
      <c r="A205" s="107">
        <v>1.0</v>
      </c>
      <c r="B205" s="107">
        <v>1.0</v>
      </c>
    </row>
    <row r="206">
      <c r="A206" s="107">
        <v>1.0</v>
      </c>
      <c r="B206" s="107">
        <v>1.0</v>
      </c>
    </row>
    <row r="207">
      <c r="A207" s="107">
        <v>1.0</v>
      </c>
      <c r="B207" s="107">
        <v>1.0</v>
      </c>
    </row>
    <row r="208">
      <c r="A208" s="107">
        <v>1.0</v>
      </c>
      <c r="B208" s="107">
        <v>1.0</v>
      </c>
    </row>
    <row r="209">
      <c r="A209" s="107">
        <v>1.0</v>
      </c>
      <c r="B209" s="107">
        <v>1.0</v>
      </c>
    </row>
    <row r="210">
      <c r="A210" s="107">
        <v>1.0</v>
      </c>
      <c r="B210" s="107">
        <v>1.0</v>
      </c>
    </row>
    <row r="211">
      <c r="A211" s="102">
        <v>1.0</v>
      </c>
      <c r="B211" s="102">
        <v>1.0</v>
      </c>
    </row>
    <row r="212">
      <c r="A212" s="102">
        <v>1.0</v>
      </c>
      <c r="B212" s="102">
        <v>1.0</v>
      </c>
    </row>
    <row r="213">
      <c r="A213" s="102">
        <v>1.0</v>
      </c>
      <c r="B213" s="102">
        <v>1.0</v>
      </c>
    </row>
    <row r="214">
      <c r="A214" s="102">
        <v>1.0</v>
      </c>
      <c r="B214" s="102">
        <v>1.0</v>
      </c>
    </row>
    <row r="215">
      <c r="A215" s="102">
        <v>1.0</v>
      </c>
      <c r="B215" s="102">
        <v>1.0</v>
      </c>
    </row>
    <row r="216">
      <c r="A216" s="102">
        <v>1.0</v>
      </c>
      <c r="B216" s="102">
        <v>1.0</v>
      </c>
    </row>
    <row r="217">
      <c r="A217" s="102">
        <v>1.0</v>
      </c>
      <c r="B217" s="102">
        <v>1.0</v>
      </c>
    </row>
    <row r="218">
      <c r="A218" s="102">
        <v>1.0</v>
      </c>
      <c r="B218" s="102">
        <v>1.0</v>
      </c>
    </row>
    <row r="219">
      <c r="A219" s="102">
        <v>1.0</v>
      </c>
      <c r="B219" s="102">
        <v>1.0</v>
      </c>
    </row>
    <row r="220">
      <c r="A220" s="102">
        <v>0.0</v>
      </c>
      <c r="B220" s="102">
        <v>1.0</v>
      </c>
    </row>
    <row r="221">
      <c r="A221" s="102">
        <v>1.0</v>
      </c>
      <c r="B221" s="102">
        <v>1.0</v>
      </c>
    </row>
    <row r="222">
      <c r="A222" s="102">
        <v>1.0</v>
      </c>
      <c r="B222" s="102">
        <v>1.0</v>
      </c>
    </row>
    <row r="223">
      <c r="A223" s="102">
        <v>1.0</v>
      </c>
      <c r="B223" s="102">
        <v>1.0</v>
      </c>
    </row>
    <row r="224">
      <c r="A224" s="102">
        <v>1.0</v>
      </c>
      <c r="B224" s="102">
        <v>1.0</v>
      </c>
    </row>
    <row r="225">
      <c r="A225" s="102">
        <v>1.0</v>
      </c>
      <c r="B225" s="102">
        <v>1.0</v>
      </c>
    </row>
    <row r="226">
      <c r="A226" s="102">
        <v>1.0</v>
      </c>
      <c r="B226" s="102">
        <v>1.0</v>
      </c>
    </row>
    <row r="227">
      <c r="A227" s="102">
        <v>1.0</v>
      </c>
      <c r="B227" s="102">
        <v>1.0</v>
      </c>
    </row>
    <row r="228">
      <c r="A228" s="102">
        <v>1.0</v>
      </c>
      <c r="B228" s="102">
        <v>1.0</v>
      </c>
    </row>
    <row r="229">
      <c r="A229" s="102">
        <v>1.0</v>
      </c>
      <c r="B229" s="102">
        <v>1.0</v>
      </c>
    </row>
    <row r="230">
      <c r="A230" s="102">
        <v>1.0</v>
      </c>
      <c r="B230" s="102">
        <v>1.0</v>
      </c>
    </row>
    <row r="231">
      <c r="A231" s="102">
        <v>1.0</v>
      </c>
      <c r="B231" s="102">
        <v>1.0</v>
      </c>
    </row>
    <row r="232">
      <c r="A232" s="107">
        <v>1.0</v>
      </c>
      <c r="B232" s="107">
        <v>1.0</v>
      </c>
    </row>
    <row r="233">
      <c r="A233" s="107">
        <v>1.0</v>
      </c>
      <c r="B233" s="107">
        <v>1.0</v>
      </c>
    </row>
    <row r="234">
      <c r="A234" s="107">
        <v>1.0</v>
      </c>
      <c r="B234" s="107">
        <v>1.0</v>
      </c>
    </row>
    <row r="235">
      <c r="A235" s="107">
        <v>1.0</v>
      </c>
      <c r="B235" s="107">
        <v>1.0</v>
      </c>
    </row>
    <row r="236">
      <c r="A236" s="107">
        <v>1.0</v>
      </c>
      <c r="B236" s="107">
        <v>1.0</v>
      </c>
    </row>
    <row r="237">
      <c r="A237" s="107">
        <v>1.0</v>
      </c>
      <c r="B237" s="107">
        <v>1.0</v>
      </c>
    </row>
    <row r="238">
      <c r="A238" s="107">
        <v>1.0</v>
      </c>
      <c r="B238" s="107">
        <v>1.0</v>
      </c>
    </row>
    <row r="239">
      <c r="A239" s="107">
        <v>1.0</v>
      </c>
      <c r="B239" s="107">
        <v>1.0</v>
      </c>
    </row>
    <row r="240">
      <c r="A240" s="107">
        <v>1.0</v>
      </c>
      <c r="B240" s="107">
        <v>1.0</v>
      </c>
    </row>
    <row r="241">
      <c r="A241" s="107">
        <v>1.0</v>
      </c>
      <c r="B241" s="107">
        <v>1.0</v>
      </c>
    </row>
    <row r="242">
      <c r="A242" s="107">
        <v>1.0</v>
      </c>
      <c r="B242" s="107">
        <v>1.0</v>
      </c>
    </row>
    <row r="243">
      <c r="A243" s="107">
        <v>1.0</v>
      </c>
      <c r="B243" s="107">
        <v>1.0</v>
      </c>
    </row>
    <row r="244">
      <c r="A244" s="107">
        <v>1.0</v>
      </c>
      <c r="B244" s="107">
        <v>1.0</v>
      </c>
    </row>
    <row r="245">
      <c r="A245" s="107">
        <v>1.0</v>
      </c>
      <c r="B245" s="107">
        <v>1.0</v>
      </c>
    </row>
    <row r="246">
      <c r="A246" s="107">
        <v>1.0</v>
      </c>
      <c r="B246" s="107">
        <v>1.0</v>
      </c>
    </row>
    <row r="247">
      <c r="A247" s="107">
        <v>1.0</v>
      </c>
      <c r="B247" s="107">
        <v>1.0</v>
      </c>
    </row>
    <row r="248">
      <c r="A248" s="107">
        <v>1.0</v>
      </c>
      <c r="B248" s="107">
        <v>1.0</v>
      </c>
    </row>
    <row r="249">
      <c r="A249" s="107">
        <v>1.0</v>
      </c>
      <c r="B249" s="107">
        <v>1.0</v>
      </c>
    </row>
    <row r="250">
      <c r="A250" s="107">
        <v>1.0</v>
      </c>
      <c r="B250" s="107">
        <v>1.0</v>
      </c>
    </row>
    <row r="251">
      <c r="A251" s="107">
        <v>1.0</v>
      </c>
      <c r="B251" s="107">
        <v>1.0</v>
      </c>
    </row>
    <row r="252">
      <c r="A252" s="107">
        <v>1.0</v>
      </c>
      <c r="B252" s="107">
        <v>1.0</v>
      </c>
    </row>
    <row r="253">
      <c r="A253" s="102">
        <v>1.0</v>
      </c>
      <c r="B253" s="102">
        <v>1.0</v>
      </c>
    </row>
    <row r="254">
      <c r="A254" s="102">
        <v>1.0</v>
      </c>
      <c r="B254" s="102">
        <v>1.0</v>
      </c>
    </row>
    <row r="255">
      <c r="A255" s="102">
        <v>1.0</v>
      </c>
      <c r="B255" s="102">
        <v>1.0</v>
      </c>
    </row>
    <row r="256">
      <c r="A256" s="102">
        <v>1.0</v>
      </c>
      <c r="B256" s="102">
        <v>1.0</v>
      </c>
    </row>
    <row r="257">
      <c r="A257" s="102">
        <v>1.0</v>
      </c>
      <c r="B257" s="102">
        <v>1.0</v>
      </c>
    </row>
    <row r="258">
      <c r="A258" s="102">
        <v>1.0</v>
      </c>
      <c r="B258" s="102">
        <v>1.0</v>
      </c>
    </row>
    <row r="259">
      <c r="A259" s="102">
        <v>1.0</v>
      </c>
      <c r="B259" s="102">
        <v>1.0</v>
      </c>
    </row>
    <row r="260">
      <c r="A260" s="102">
        <v>1.0</v>
      </c>
      <c r="B260" s="102">
        <v>1.0</v>
      </c>
    </row>
    <row r="261">
      <c r="A261" s="102">
        <v>1.0</v>
      </c>
      <c r="B261" s="102">
        <v>1.0</v>
      </c>
    </row>
    <row r="262">
      <c r="A262" s="102">
        <v>1.0</v>
      </c>
      <c r="B262" s="102">
        <v>1.0</v>
      </c>
    </row>
    <row r="263">
      <c r="A263" s="102">
        <v>1.0</v>
      </c>
      <c r="B263" s="102">
        <v>1.0</v>
      </c>
    </row>
    <row r="264">
      <c r="A264" s="102">
        <v>1.0</v>
      </c>
      <c r="B264" s="102">
        <v>1.0</v>
      </c>
    </row>
    <row r="265">
      <c r="A265" s="102">
        <v>1.0</v>
      </c>
      <c r="B265" s="102">
        <v>1.0</v>
      </c>
    </row>
    <row r="266">
      <c r="A266" s="102">
        <v>1.0</v>
      </c>
      <c r="B266" s="102">
        <v>1.0</v>
      </c>
    </row>
    <row r="267">
      <c r="A267" s="102">
        <v>1.0</v>
      </c>
      <c r="B267" s="102">
        <v>1.0</v>
      </c>
    </row>
    <row r="268">
      <c r="A268" s="102">
        <v>1.0</v>
      </c>
      <c r="B268" s="102">
        <v>1.0</v>
      </c>
    </row>
    <row r="269">
      <c r="A269" s="102">
        <v>1.0</v>
      </c>
      <c r="B269" s="102">
        <v>1.0</v>
      </c>
    </row>
    <row r="270">
      <c r="A270" s="102">
        <v>1.0</v>
      </c>
      <c r="B270" s="102">
        <v>1.0</v>
      </c>
    </row>
    <row r="271">
      <c r="A271" s="102">
        <v>1.0</v>
      </c>
      <c r="B271" s="102">
        <v>1.0</v>
      </c>
    </row>
    <row r="272">
      <c r="A272" s="102">
        <v>1.0</v>
      </c>
      <c r="B272" s="102">
        <v>1.0</v>
      </c>
    </row>
    <row r="273">
      <c r="A273" s="102">
        <v>1.0</v>
      </c>
      <c r="B273" s="102">
        <v>1.0</v>
      </c>
    </row>
    <row r="274">
      <c r="A274" s="107">
        <v>1.0</v>
      </c>
      <c r="B274" s="107">
        <v>1.0</v>
      </c>
    </row>
    <row r="275">
      <c r="A275" s="107">
        <v>1.0</v>
      </c>
      <c r="B275" s="107">
        <v>1.0</v>
      </c>
    </row>
    <row r="276">
      <c r="A276" s="107">
        <v>1.0</v>
      </c>
      <c r="B276" s="107">
        <v>1.0</v>
      </c>
    </row>
    <row r="277">
      <c r="A277" s="107">
        <v>1.0</v>
      </c>
      <c r="B277" s="107">
        <v>1.0</v>
      </c>
    </row>
    <row r="278">
      <c r="A278" s="107">
        <v>1.0</v>
      </c>
      <c r="B278" s="107">
        <v>1.0</v>
      </c>
    </row>
    <row r="279">
      <c r="A279" s="107">
        <v>1.0</v>
      </c>
      <c r="B279" s="107">
        <v>1.0</v>
      </c>
    </row>
    <row r="280">
      <c r="A280" s="107">
        <v>1.0</v>
      </c>
      <c r="B280" s="107">
        <v>1.0</v>
      </c>
    </row>
    <row r="281">
      <c r="A281" s="107">
        <v>1.0</v>
      </c>
      <c r="B281" s="107">
        <v>1.0</v>
      </c>
    </row>
    <row r="282">
      <c r="A282" s="107">
        <v>1.0</v>
      </c>
      <c r="B282" s="107">
        <v>1.0</v>
      </c>
    </row>
    <row r="283">
      <c r="A283" s="107">
        <v>1.0</v>
      </c>
      <c r="B283" s="107">
        <v>1.0</v>
      </c>
    </row>
    <row r="284">
      <c r="A284" s="107">
        <v>1.0</v>
      </c>
      <c r="B284" s="107">
        <v>1.0</v>
      </c>
    </row>
    <row r="285">
      <c r="A285" s="107">
        <v>1.0</v>
      </c>
      <c r="B285" s="107">
        <v>1.0</v>
      </c>
    </row>
    <row r="286">
      <c r="A286" s="107">
        <v>1.0</v>
      </c>
      <c r="B286" s="107">
        <v>1.0</v>
      </c>
    </row>
    <row r="287">
      <c r="A287" s="107">
        <v>1.0</v>
      </c>
      <c r="B287" s="107">
        <v>1.0</v>
      </c>
    </row>
    <row r="288">
      <c r="A288" s="107">
        <v>1.0</v>
      </c>
      <c r="B288" s="107">
        <v>1.0</v>
      </c>
    </row>
    <row r="289">
      <c r="A289" s="107">
        <v>1.0</v>
      </c>
      <c r="B289" s="107">
        <v>1.0</v>
      </c>
    </row>
    <row r="290">
      <c r="A290" s="107">
        <v>1.0</v>
      </c>
      <c r="B290" s="107">
        <v>1.0</v>
      </c>
    </row>
    <row r="291">
      <c r="A291" s="107">
        <v>1.0</v>
      </c>
      <c r="B291" s="107">
        <v>1.0</v>
      </c>
    </row>
    <row r="292">
      <c r="A292" s="107">
        <v>1.0</v>
      </c>
      <c r="B292" s="107">
        <v>1.0</v>
      </c>
    </row>
    <row r="293">
      <c r="A293" s="107">
        <v>1.0</v>
      </c>
      <c r="B293" s="107">
        <v>1.0</v>
      </c>
    </row>
    <row r="294">
      <c r="A294" s="107">
        <v>1.0</v>
      </c>
      <c r="B294" s="107">
        <v>1.0</v>
      </c>
    </row>
    <row r="295">
      <c r="A295" s="102">
        <v>1.0</v>
      </c>
      <c r="B295" s="102">
        <v>1.0</v>
      </c>
    </row>
    <row r="296">
      <c r="A296" s="102">
        <v>1.0</v>
      </c>
      <c r="B296" s="102">
        <v>1.0</v>
      </c>
    </row>
    <row r="297">
      <c r="A297" s="102">
        <v>0.0</v>
      </c>
      <c r="B297" s="102">
        <v>1.0</v>
      </c>
    </row>
    <row r="298">
      <c r="A298" s="102">
        <v>1.0</v>
      </c>
      <c r="B298" s="102">
        <v>1.0</v>
      </c>
    </row>
    <row r="299">
      <c r="A299" s="102">
        <v>1.0</v>
      </c>
      <c r="B299" s="102">
        <v>1.0</v>
      </c>
    </row>
    <row r="300">
      <c r="A300" s="102">
        <v>1.0</v>
      </c>
      <c r="B300" s="102">
        <v>1.0</v>
      </c>
    </row>
    <row r="301">
      <c r="A301" s="102">
        <v>1.0</v>
      </c>
      <c r="B301" s="102">
        <v>1.0</v>
      </c>
    </row>
    <row r="302">
      <c r="A302" s="102">
        <v>1.0</v>
      </c>
      <c r="B302" s="102">
        <v>1.0</v>
      </c>
    </row>
    <row r="303">
      <c r="A303" s="102">
        <v>1.0</v>
      </c>
      <c r="B303" s="102">
        <v>1.0</v>
      </c>
    </row>
    <row r="304">
      <c r="A304" s="102">
        <v>0.0</v>
      </c>
      <c r="B304" s="102">
        <v>1.0</v>
      </c>
    </row>
    <row r="305">
      <c r="A305" s="102">
        <v>1.0</v>
      </c>
      <c r="B305" s="102">
        <v>1.0</v>
      </c>
    </row>
    <row r="306">
      <c r="A306" s="102">
        <v>1.0</v>
      </c>
      <c r="B306" s="102">
        <v>1.0</v>
      </c>
    </row>
    <row r="307">
      <c r="A307" s="102">
        <v>1.0</v>
      </c>
      <c r="B307" s="102">
        <v>1.0</v>
      </c>
    </row>
    <row r="308">
      <c r="A308" s="102">
        <v>1.0</v>
      </c>
      <c r="B308" s="102">
        <v>1.0</v>
      </c>
    </row>
    <row r="309">
      <c r="A309" s="102">
        <v>1.0</v>
      </c>
      <c r="B309" s="102">
        <v>1.0</v>
      </c>
    </row>
    <row r="310">
      <c r="A310" s="102">
        <v>1.0</v>
      </c>
      <c r="B310" s="102">
        <v>1.0</v>
      </c>
    </row>
    <row r="311">
      <c r="A311" s="102">
        <v>0.0</v>
      </c>
      <c r="B311" s="102">
        <v>1.0</v>
      </c>
    </row>
    <row r="312">
      <c r="A312" s="102">
        <v>1.0</v>
      </c>
      <c r="B312" s="102">
        <v>1.0</v>
      </c>
    </row>
    <row r="313">
      <c r="A313" s="102">
        <v>1.0</v>
      </c>
      <c r="B313" s="102">
        <v>1.0</v>
      </c>
    </row>
    <row r="314">
      <c r="A314" s="102">
        <v>1.0</v>
      </c>
      <c r="B314" s="102">
        <v>1.0</v>
      </c>
    </row>
    <row r="315">
      <c r="A315" s="102">
        <v>1.0</v>
      </c>
      <c r="B315" s="102">
        <v>1.0</v>
      </c>
    </row>
    <row r="316">
      <c r="A316" s="107">
        <v>1.0</v>
      </c>
      <c r="B316" s="107">
        <v>1.0</v>
      </c>
    </row>
    <row r="317">
      <c r="A317" s="107">
        <v>1.0</v>
      </c>
      <c r="B317" s="107">
        <v>1.0</v>
      </c>
    </row>
    <row r="318">
      <c r="A318" s="107">
        <v>0.0</v>
      </c>
      <c r="B318" s="107">
        <v>0.0</v>
      </c>
    </row>
    <row r="319">
      <c r="A319" s="107">
        <v>1.0</v>
      </c>
      <c r="B319" s="107">
        <v>1.0</v>
      </c>
    </row>
    <row r="320">
      <c r="A320" s="107">
        <v>1.0</v>
      </c>
      <c r="B320" s="107">
        <v>1.0</v>
      </c>
    </row>
    <row r="321">
      <c r="A321" s="107">
        <v>1.0</v>
      </c>
      <c r="B321" s="107">
        <v>1.0</v>
      </c>
    </row>
    <row r="322">
      <c r="A322" s="107">
        <v>1.0</v>
      </c>
      <c r="B322" s="107">
        <v>1.0</v>
      </c>
    </row>
    <row r="323">
      <c r="A323" s="107">
        <v>1.0</v>
      </c>
      <c r="B323" s="107">
        <v>1.0</v>
      </c>
    </row>
    <row r="324">
      <c r="A324" s="107">
        <v>1.0</v>
      </c>
      <c r="B324" s="107">
        <v>1.0</v>
      </c>
    </row>
    <row r="325">
      <c r="A325" s="107">
        <v>1.0</v>
      </c>
      <c r="B325" s="107">
        <v>1.0</v>
      </c>
    </row>
    <row r="326">
      <c r="A326" s="107">
        <v>1.0</v>
      </c>
      <c r="B326" s="107">
        <v>1.0</v>
      </c>
    </row>
    <row r="327">
      <c r="A327" s="107">
        <v>1.0</v>
      </c>
      <c r="B327" s="107">
        <v>1.0</v>
      </c>
    </row>
    <row r="328">
      <c r="A328" s="107">
        <v>1.0</v>
      </c>
      <c r="B328" s="107">
        <v>1.0</v>
      </c>
    </row>
    <row r="329">
      <c r="A329" s="107">
        <v>1.0</v>
      </c>
      <c r="B329" s="107">
        <v>1.0</v>
      </c>
    </row>
    <row r="330">
      <c r="A330" s="107">
        <v>1.0</v>
      </c>
      <c r="B330" s="107">
        <v>1.0</v>
      </c>
    </row>
    <row r="331">
      <c r="A331" s="107">
        <v>1.0</v>
      </c>
      <c r="B331" s="107">
        <v>1.0</v>
      </c>
    </row>
    <row r="332">
      <c r="A332" s="107">
        <v>0.0</v>
      </c>
      <c r="B332" s="107">
        <v>0.0</v>
      </c>
    </row>
    <row r="333">
      <c r="A333" s="107">
        <v>1.0</v>
      </c>
      <c r="B333" s="107">
        <v>1.0</v>
      </c>
    </row>
    <row r="334">
      <c r="A334" s="107">
        <v>1.0</v>
      </c>
      <c r="B334" s="107">
        <v>1.0</v>
      </c>
    </row>
    <row r="335">
      <c r="A335" s="107">
        <v>1.0</v>
      </c>
      <c r="B335" s="107">
        <v>1.0</v>
      </c>
    </row>
    <row r="336">
      <c r="A336" s="107">
        <v>1.0</v>
      </c>
      <c r="B336" s="107">
        <v>1.0</v>
      </c>
    </row>
    <row r="337">
      <c r="A337" s="102">
        <v>1.0</v>
      </c>
      <c r="B337" s="102">
        <v>1.0</v>
      </c>
    </row>
    <row r="338">
      <c r="A338" s="102">
        <v>1.0</v>
      </c>
      <c r="B338" s="102">
        <v>1.0</v>
      </c>
    </row>
    <row r="339">
      <c r="A339" s="102">
        <v>1.0</v>
      </c>
      <c r="B339" s="102">
        <v>1.0</v>
      </c>
    </row>
    <row r="340">
      <c r="A340" s="102">
        <v>1.0</v>
      </c>
      <c r="B340" s="102">
        <v>1.0</v>
      </c>
    </row>
    <row r="341">
      <c r="A341" s="102">
        <v>1.0</v>
      </c>
      <c r="B341" s="102">
        <v>1.0</v>
      </c>
    </row>
    <row r="342">
      <c r="A342" s="102">
        <v>1.0</v>
      </c>
      <c r="B342" s="102">
        <v>1.0</v>
      </c>
    </row>
    <row r="343">
      <c r="A343" s="102">
        <v>1.0</v>
      </c>
      <c r="B343" s="102">
        <v>1.0</v>
      </c>
    </row>
    <row r="344">
      <c r="A344" s="102">
        <v>1.0</v>
      </c>
      <c r="B344" s="102">
        <v>1.0</v>
      </c>
    </row>
    <row r="345">
      <c r="A345" s="102">
        <v>1.0</v>
      </c>
      <c r="B345" s="102">
        <v>1.0</v>
      </c>
    </row>
    <row r="346">
      <c r="A346" s="102">
        <v>1.0</v>
      </c>
      <c r="B346" s="102">
        <v>1.0</v>
      </c>
    </row>
    <row r="347">
      <c r="A347" s="102">
        <v>1.0</v>
      </c>
      <c r="B347" s="102">
        <v>1.0</v>
      </c>
    </row>
    <row r="348">
      <c r="A348" s="102">
        <v>1.0</v>
      </c>
      <c r="B348" s="102">
        <v>1.0</v>
      </c>
    </row>
    <row r="349">
      <c r="A349" s="102">
        <v>1.0</v>
      </c>
      <c r="B349" s="102">
        <v>1.0</v>
      </c>
    </row>
    <row r="350">
      <c r="A350" s="102">
        <v>1.0</v>
      </c>
      <c r="B350" s="102">
        <v>1.0</v>
      </c>
    </row>
    <row r="351">
      <c r="A351" s="102">
        <v>1.0</v>
      </c>
      <c r="B351" s="102">
        <v>1.0</v>
      </c>
    </row>
    <row r="352">
      <c r="A352" s="102">
        <v>1.0</v>
      </c>
      <c r="B352" s="102">
        <v>1.0</v>
      </c>
    </row>
    <row r="353">
      <c r="A353" s="102">
        <v>1.0</v>
      </c>
      <c r="B353" s="102">
        <v>1.0</v>
      </c>
    </row>
    <row r="354">
      <c r="A354" s="102">
        <v>1.0</v>
      </c>
      <c r="B354" s="102">
        <v>1.0</v>
      </c>
    </row>
    <row r="355">
      <c r="A355" s="102">
        <v>1.0</v>
      </c>
      <c r="B355" s="102">
        <v>1.0</v>
      </c>
    </row>
    <row r="356">
      <c r="A356" s="102">
        <v>1.0</v>
      </c>
      <c r="B356" s="102">
        <v>1.0</v>
      </c>
    </row>
    <row r="357">
      <c r="A357" s="102">
        <v>1.0</v>
      </c>
      <c r="B357" s="102">
        <v>1.0</v>
      </c>
    </row>
    <row r="358">
      <c r="A358" s="107">
        <v>1.0</v>
      </c>
      <c r="B358" s="107">
        <v>1.0</v>
      </c>
    </row>
    <row r="359">
      <c r="A359" s="107">
        <v>1.0</v>
      </c>
      <c r="B359" s="107">
        <v>1.0</v>
      </c>
    </row>
    <row r="360">
      <c r="A360" s="107">
        <v>1.0</v>
      </c>
      <c r="B360" s="107">
        <v>1.0</v>
      </c>
    </row>
    <row r="361">
      <c r="A361" s="107">
        <v>1.0</v>
      </c>
      <c r="B361" s="107">
        <v>1.0</v>
      </c>
    </row>
    <row r="362">
      <c r="A362" s="107">
        <v>1.0</v>
      </c>
      <c r="B362" s="107">
        <v>1.0</v>
      </c>
    </row>
    <row r="363">
      <c r="A363" s="107">
        <v>1.0</v>
      </c>
      <c r="B363" s="107">
        <v>1.0</v>
      </c>
    </row>
    <row r="364">
      <c r="A364" s="107">
        <v>1.0</v>
      </c>
      <c r="B364" s="107">
        <v>1.0</v>
      </c>
    </row>
    <row r="365">
      <c r="A365" s="107">
        <v>1.0</v>
      </c>
      <c r="B365" s="107">
        <v>1.0</v>
      </c>
    </row>
    <row r="366">
      <c r="A366" s="107">
        <v>1.0</v>
      </c>
      <c r="B366" s="107">
        <v>1.0</v>
      </c>
    </row>
    <row r="367">
      <c r="A367" s="107">
        <v>1.0</v>
      </c>
      <c r="B367" s="107">
        <v>1.0</v>
      </c>
    </row>
    <row r="368">
      <c r="A368" s="107">
        <v>1.0</v>
      </c>
      <c r="B368" s="107">
        <v>1.0</v>
      </c>
    </row>
    <row r="369">
      <c r="A369" s="107">
        <v>1.0</v>
      </c>
      <c r="B369" s="107">
        <v>1.0</v>
      </c>
    </row>
    <row r="370">
      <c r="A370" s="107">
        <v>1.0</v>
      </c>
      <c r="B370" s="107">
        <v>1.0</v>
      </c>
    </row>
    <row r="371">
      <c r="A371" s="107">
        <v>1.0</v>
      </c>
      <c r="B371" s="107">
        <v>1.0</v>
      </c>
    </row>
    <row r="372">
      <c r="A372" s="107">
        <v>1.0</v>
      </c>
      <c r="B372" s="107">
        <v>1.0</v>
      </c>
    </row>
    <row r="373">
      <c r="A373" s="107">
        <v>1.0</v>
      </c>
      <c r="B373" s="107">
        <v>1.0</v>
      </c>
    </row>
    <row r="374">
      <c r="A374" s="107">
        <v>1.0</v>
      </c>
      <c r="B374" s="107">
        <v>1.0</v>
      </c>
    </row>
    <row r="375">
      <c r="A375" s="107">
        <v>1.0</v>
      </c>
      <c r="B375" s="107">
        <v>1.0</v>
      </c>
    </row>
    <row r="376">
      <c r="A376" s="107">
        <v>1.0</v>
      </c>
      <c r="B376" s="107">
        <v>1.0</v>
      </c>
    </row>
    <row r="377">
      <c r="A377" s="107">
        <v>1.0</v>
      </c>
      <c r="B377" s="107">
        <v>1.0</v>
      </c>
    </row>
    <row r="378">
      <c r="A378" s="107">
        <v>1.0</v>
      </c>
      <c r="B378" s="107">
        <v>1.0</v>
      </c>
    </row>
    <row r="379">
      <c r="A379" s="102">
        <v>1.0</v>
      </c>
      <c r="B379" s="107">
        <v>1.0</v>
      </c>
    </row>
    <row r="380">
      <c r="A380" s="102">
        <v>1.0</v>
      </c>
      <c r="B380" s="107">
        <v>1.0</v>
      </c>
    </row>
    <row r="381">
      <c r="A381" s="102">
        <v>1.0</v>
      </c>
      <c r="B381" s="107">
        <v>1.0</v>
      </c>
    </row>
    <row r="382">
      <c r="A382" s="102">
        <v>1.0</v>
      </c>
      <c r="B382" s="107">
        <v>1.0</v>
      </c>
    </row>
    <row r="383">
      <c r="A383" s="102">
        <v>1.0</v>
      </c>
      <c r="B383" s="107">
        <v>0.0</v>
      </c>
    </row>
    <row r="384">
      <c r="A384" s="102">
        <v>1.0</v>
      </c>
      <c r="B384" s="107">
        <v>1.0</v>
      </c>
    </row>
    <row r="385">
      <c r="A385" s="102">
        <v>1.0</v>
      </c>
      <c r="B385" s="107">
        <v>1.0</v>
      </c>
    </row>
    <row r="386">
      <c r="A386" s="102">
        <v>1.0</v>
      </c>
      <c r="B386" s="107">
        <v>1.0</v>
      </c>
    </row>
    <row r="387">
      <c r="A387" s="102">
        <v>1.0</v>
      </c>
      <c r="B387" s="107">
        <v>1.0</v>
      </c>
    </row>
    <row r="388">
      <c r="A388" s="102">
        <v>1.0</v>
      </c>
      <c r="B388" s="107">
        <v>1.0</v>
      </c>
    </row>
    <row r="389">
      <c r="A389" s="102">
        <v>1.0</v>
      </c>
      <c r="B389" s="107">
        <v>1.0</v>
      </c>
    </row>
    <row r="390">
      <c r="A390" s="102">
        <v>0.0</v>
      </c>
      <c r="B390" s="107">
        <v>1.0</v>
      </c>
    </row>
    <row r="391">
      <c r="A391" s="102">
        <v>1.0</v>
      </c>
      <c r="B391" s="107">
        <v>1.0</v>
      </c>
    </row>
    <row r="392">
      <c r="A392" s="102">
        <v>1.0</v>
      </c>
      <c r="B392" s="107">
        <v>1.0</v>
      </c>
    </row>
    <row r="393">
      <c r="A393" s="102">
        <v>1.0</v>
      </c>
      <c r="B393" s="107">
        <v>1.0</v>
      </c>
    </row>
    <row r="394">
      <c r="A394" s="102">
        <v>1.0</v>
      </c>
      <c r="B394" s="107">
        <v>1.0</v>
      </c>
    </row>
    <row r="395">
      <c r="A395" s="102">
        <v>1.0</v>
      </c>
      <c r="B395" s="107">
        <v>1.0</v>
      </c>
    </row>
    <row r="396">
      <c r="A396" s="102">
        <v>1.0</v>
      </c>
      <c r="B396" s="107">
        <v>1.0</v>
      </c>
    </row>
    <row r="397">
      <c r="A397" s="102">
        <v>1.0</v>
      </c>
      <c r="B397" s="107">
        <v>1.0</v>
      </c>
    </row>
    <row r="398">
      <c r="A398" s="102">
        <v>1.0</v>
      </c>
      <c r="B398" s="107">
        <v>1.0</v>
      </c>
    </row>
    <row r="399">
      <c r="A399" s="102">
        <v>1.0</v>
      </c>
      <c r="B399" s="107">
        <v>1.0</v>
      </c>
    </row>
    <row r="400">
      <c r="A400" s="107">
        <v>1.0</v>
      </c>
      <c r="B400" s="107">
        <v>1.0</v>
      </c>
    </row>
    <row r="401">
      <c r="A401" s="107">
        <v>1.0</v>
      </c>
      <c r="B401" s="107">
        <v>1.0</v>
      </c>
    </row>
    <row r="402">
      <c r="A402" s="107">
        <v>1.0</v>
      </c>
      <c r="B402" s="107">
        <v>1.0</v>
      </c>
    </row>
    <row r="403">
      <c r="A403" s="107">
        <v>1.0</v>
      </c>
      <c r="B403" s="107">
        <v>1.0</v>
      </c>
    </row>
    <row r="404">
      <c r="A404" s="107">
        <v>1.0</v>
      </c>
      <c r="B404" s="107">
        <v>1.0</v>
      </c>
    </row>
    <row r="405">
      <c r="A405" s="107">
        <v>1.0</v>
      </c>
      <c r="B405" s="107">
        <v>1.0</v>
      </c>
    </row>
    <row r="406">
      <c r="A406" s="107">
        <v>1.0</v>
      </c>
      <c r="B406" s="107">
        <v>1.0</v>
      </c>
    </row>
    <row r="407">
      <c r="A407" s="107">
        <v>1.0</v>
      </c>
      <c r="B407" s="107">
        <v>1.0</v>
      </c>
    </row>
    <row r="408">
      <c r="A408" s="107">
        <v>1.0</v>
      </c>
      <c r="B408" s="107">
        <v>1.0</v>
      </c>
    </row>
    <row r="409">
      <c r="A409" s="107">
        <v>1.0</v>
      </c>
      <c r="B409" s="107">
        <v>1.0</v>
      </c>
    </row>
    <row r="410">
      <c r="A410" s="107">
        <v>1.0</v>
      </c>
      <c r="B410" s="107">
        <v>1.0</v>
      </c>
    </row>
    <row r="411">
      <c r="A411" s="107">
        <v>1.0</v>
      </c>
      <c r="B411" s="107">
        <v>1.0</v>
      </c>
    </row>
    <row r="412">
      <c r="A412" s="107">
        <v>1.0</v>
      </c>
      <c r="B412" s="107">
        <v>1.0</v>
      </c>
    </row>
    <row r="413">
      <c r="A413" s="107">
        <v>1.0</v>
      </c>
      <c r="B413" s="107">
        <v>1.0</v>
      </c>
    </row>
    <row r="414">
      <c r="A414" s="107">
        <v>1.0</v>
      </c>
      <c r="B414" s="107">
        <v>1.0</v>
      </c>
    </row>
    <row r="415">
      <c r="A415" s="107">
        <v>1.0</v>
      </c>
      <c r="B415" s="107">
        <v>1.0</v>
      </c>
    </row>
    <row r="416">
      <c r="A416" s="107">
        <v>1.0</v>
      </c>
      <c r="B416" s="107">
        <v>1.0</v>
      </c>
    </row>
    <row r="417">
      <c r="A417" s="107">
        <v>1.0</v>
      </c>
      <c r="B417" s="107">
        <v>1.0</v>
      </c>
    </row>
    <row r="418">
      <c r="A418" s="107">
        <v>1.0</v>
      </c>
      <c r="B418" s="107">
        <v>1.0</v>
      </c>
    </row>
    <row r="419">
      <c r="A419" s="107">
        <v>1.0</v>
      </c>
      <c r="B419" s="107">
        <v>1.0</v>
      </c>
    </row>
    <row r="420">
      <c r="A420" s="107">
        <v>1.0</v>
      </c>
      <c r="B420" s="107">
        <v>1.0</v>
      </c>
    </row>
    <row r="421">
      <c r="A421" s="102">
        <v>1.0</v>
      </c>
      <c r="B421" s="107">
        <v>1.0</v>
      </c>
    </row>
    <row r="422">
      <c r="A422" s="102">
        <v>1.0</v>
      </c>
      <c r="B422" s="107">
        <v>1.0</v>
      </c>
    </row>
    <row r="423">
      <c r="A423" s="102">
        <v>1.0</v>
      </c>
      <c r="B423" s="107">
        <v>1.0</v>
      </c>
    </row>
    <row r="424">
      <c r="A424" s="102">
        <v>1.0</v>
      </c>
      <c r="B424" s="107">
        <v>1.0</v>
      </c>
    </row>
    <row r="425">
      <c r="A425" s="102">
        <v>1.0</v>
      </c>
      <c r="B425" s="107">
        <v>1.0</v>
      </c>
    </row>
    <row r="426">
      <c r="A426" s="102">
        <v>1.0</v>
      </c>
      <c r="B426" s="107">
        <v>1.0</v>
      </c>
    </row>
    <row r="427">
      <c r="A427" s="102">
        <v>1.0</v>
      </c>
      <c r="B427" s="107">
        <v>1.0</v>
      </c>
    </row>
    <row r="428">
      <c r="A428" s="102">
        <v>1.0</v>
      </c>
      <c r="B428" s="107">
        <v>1.0</v>
      </c>
    </row>
    <row r="429">
      <c r="A429" s="102">
        <v>1.0</v>
      </c>
      <c r="B429" s="107">
        <v>1.0</v>
      </c>
    </row>
    <row r="430">
      <c r="A430" s="102">
        <v>1.0</v>
      </c>
      <c r="B430" s="107">
        <v>1.0</v>
      </c>
    </row>
    <row r="431">
      <c r="A431" s="102">
        <v>1.0</v>
      </c>
      <c r="B431" s="107">
        <v>1.0</v>
      </c>
    </row>
    <row r="432">
      <c r="A432" s="102">
        <v>0.0</v>
      </c>
      <c r="B432" s="107">
        <v>1.0</v>
      </c>
    </row>
    <row r="433">
      <c r="A433" s="102">
        <v>1.0</v>
      </c>
      <c r="B433" s="107">
        <v>1.0</v>
      </c>
    </row>
    <row r="434">
      <c r="A434" s="102">
        <v>1.0</v>
      </c>
      <c r="B434" s="107">
        <v>1.0</v>
      </c>
    </row>
    <row r="435">
      <c r="A435" s="102">
        <v>1.0</v>
      </c>
      <c r="B435" s="107">
        <v>1.0</v>
      </c>
    </row>
    <row r="436">
      <c r="A436" s="102">
        <v>1.0</v>
      </c>
      <c r="B436" s="107">
        <v>1.0</v>
      </c>
    </row>
    <row r="437">
      <c r="A437" s="102">
        <v>1.0</v>
      </c>
      <c r="B437" s="107">
        <v>1.0</v>
      </c>
    </row>
    <row r="438">
      <c r="A438" s="102">
        <v>1.0</v>
      </c>
      <c r="B438" s="107">
        <v>1.0</v>
      </c>
    </row>
    <row r="439">
      <c r="A439" s="102">
        <v>1.0</v>
      </c>
      <c r="B439" s="107">
        <v>1.0</v>
      </c>
    </row>
    <row r="440">
      <c r="A440" s="102">
        <v>1.0</v>
      </c>
      <c r="B440" s="107">
        <v>1.0</v>
      </c>
    </row>
    <row r="441">
      <c r="A441" s="102">
        <v>1.0</v>
      </c>
      <c r="B441" s="107">
        <v>1.0</v>
      </c>
    </row>
    <row r="442">
      <c r="A442" s="107">
        <v>1.0</v>
      </c>
      <c r="B442" s="107">
        <v>1.0</v>
      </c>
    </row>
    <row r="443">
      <c r="A443" s="107">
        <v>1.0</v>
      </c>
      <c r="B443" s="107">
        <v>1.0</v>
      </c>
    </row>
    <row r="444">
      <c r="A444" s="107">
        <v>1.0</v>
      </c>
      <c r="B444" s="107">
        <v>1.0</v>
      </c>
    </row>
    <row r="445">
      <c r="A445" s="107">
        <v>1.0</v>
      </c>
      <c r="B445" s="107">
        <v>1.0</v>
      </c>
    </row>
    <row r="446">
      <c r="A446" s="107">
        <v>1.0</v>
      </c>
      <c r="B446" s="107">
        <v>1.0</v>
      </c>
    </row>
    <row r="447">
      <c r="A447" s="107">
        <v>1.0</v>
      </c>
      <c r="B447" s="107">
        <v>1.0</v>
      </c>
    </row>
    <row r="448">
      <c r="A448" s="107">
        <v>1.0</v>
      </c>
      <c r="B448" s="107">
        <v>1.0</v>
      </c>
    </row>
    <row r="449">
      <c r="A449" s="107">
        <v>1.0</v>
      </c>
      <c r="B449" s="107">
        <v>1.0</v>
      </c>
    </row>
    <row r="450">
      <c r="A450" s="107">
        <v>1.0</v>
      </c>
      <c r="B450" s="107">
        <v>1.0</v>
      </c>
    </row>
    <row r="451">
      <c r="A451" s="107">
        <v>1.0</v>
      </c>
      <c r="B451" s="107">
        <v>1.0</v>
      </c>
    </row>
    <row r="452">
      <c r="A452" s="107">
        <v>1.0</v>
      </c>
      <c r="B452" s="107">
        <v>1.0</v>
      </c>
    </row>
    <row r="453">
      <c r="A453" s="107">
        <v>1.0</v>
      </c>
      <c r="B453" s="107">
        <v>1.0</v>
      </c>
    </row>
    <row r="454">
      <c r="A454" s="107">
        <v>1.0</v>
      </c>
      <c r="B454" s="107">
        <v>1.0</v>
      </c>
    </row>
    <row r="455">
      <c r="A455" s="107">
        <v>1.0</v>
      </c>
      <c r="B455" s="107">
        <v>1.0</v>
      </c>
    </row>
    <row r="456">
      <c r="A456" s="107">
        <v>1.0</v>
      </c>
      <c r="B456" s="107">
        <v>1.0</v>
      </c>
    </row>
    <row r="457">
      <c r="A457" s="107">
        <v>1.0</v>
      </c>
      <c r="B457" s="107">
        <v>1.0</v>
      </c>
    </row>
    <row r="458">
      <c r="A458" s="107">
        <v>1.0</v>
      </c>
      <c r="B458" s="107">
        <v>1.0</v>
      </c>
    </row>
    <row r="459">
      <c r="A459" s="107">
        <v>1.0</v>
      </c>
      <c r="B459" s="107">
        <v>1.0</v>
      </c>
    </row>
    <row r="460">
      <c r="A460" s="107">
        <v>1.0</v>
      </c>
      <c r="B460" s="107">
        <v>1.0</v>
      </c>
    </row>
    <row r="461">
      <c r="A461" s="107">
        <v>1.0</v>
      </c>
      <c r="B461" s="107">
        <v>1.0</v>
      </c>
    </row>
    <row r="462">
      <c r="A462" s="107">
        <v>1.0</v>
      </c>
      <c r="B462" s="107">
        <v>1.0</v>
      </c>
    </row>
    <row r="463">
      <c r="A463" s="102">
        <v>1.0</v>
      </c>
      <c r="B463" s="107">
        <v>1.0</v>
      </c>
    </row>
    <row r="464">
      <c r="A464" s="102">
        <v>1.0</v>
      </c>
      <c r="B464" s="107">
        <v>1.0</v>
      </c>
    </row>
    <row r="465">
      <c r="A465" s="102">
        <v>1.0</v>
      </c>
      <c r="B465" s="107">
        <v>1.0</v>
      </c>
    </row>
    <row r="466">
      <c r="A466" s="102">
        <v>1.0</v>
      </c>
      <c r="B466" s="107">
        <v>1.0</v>
      </c>
    </row>
    <row r="467">
      <c r="A467" s="102">
        <v>1.0</v>
      </c>
      <c r="B467" s="107">
        <v>1.0</v>
      </c>
    </row>
    <row r="468">
      <c r="A468" s="102">
        <v>1.0</v>
      </c>
      <c r="B468" s="107">
        <v>1.0</v>
      </c>
    </row>
    <row r="469">
      <c r="A469" s="102">
        <v>1.0</v>
      </c>
      <c r="B469" s="107">
        <v>1.0</v>
      </c>
    </row>
    <row r="470">
      <c r="A470" s="102">
        <v>1.0</v>
      </c>
      <c r="B470" s="107">
        <v>1.0</v>
      </c>
    </row>
    <row r="471">
      <c r="A471" s="102">
        <v>1.0</v>
      </c>
      <c r="B471" s="107">
        <v>1.0</v>
      </c>
    </row>
    <row r="472">
      <c r="A472" s="102">
        <v>1.0</v>
      </c>
      <c r="B472" s="107">
        <v>1.0</v>
      </c>
    </row>
    <row r="473">
      <c r="A473" s="102">
        <v>1.0</v>
      </c>
      <c r="B473" s="107">
        <v>1.0</v>
      </c>
    </row>
    <row r="474">
      <c r="A474" s="102">
        <v>1.0</v>
      </c>
      <c r="B474" s="107">
        <v>1.0</v>
      </c>
    </row>
    <row r="475">
      <c r="A475" s="102">
        <v>1.0</v>
      </c>
      <c r="B475" s="107">
        <v>1.0</v>
      </c>
    </row>
    <row r="476">
      <c r="A476" s="102">
        <v>1.0</v>
      </c>
      <c r="B476" s="107">
        <v>1.0</v>
      </c>
    </row>
    <row r="477">
      <c r="A477" s="102">
        <v>1.0</v>
      </c>
      <c r="B477" s="102">
        <v>1.0</v>
      </c>
    </row>
    <row r="478">
      <c r="A478" s="102">
        <v>1.0</v>
      </c>
      <c r="B478" s="102">
        <v>1.0</v>
      </c>
    </row>
    <row r="479">
      <c r="A479" s="102">
        <v>1.0</v>
      </c>
      <c r="B479" s="102">
        <v>1.0</v>
      </c>
    </row>
    <row r="480">
      <c r="A480" s="102">
        <v>1.0</v>
      </c>
      <c r="B480" s="102">
        <v>1.0</v>
      </c>
    </row>
    <row r="481">
      <c r="A481" s="102">
        <v>1.0</v>
      </c>
      <c r="B481" s="102">
        <v>1.0</v>
      </c>
    </row>
    <row r="482">
      <c r="A482" s="102">
        <v>1.0</v>
      </c>
      <c r="B482" s="102">
        <v>1.0</v>
      </c>
    </row>
    <row r="483">
      <c r="A483" s="102">
        <v>1.0</v>
      </c>
      <c r="B483" s="102">
        <v>1.0</v>
      </c>
    </row>
    <row r="484">
      <c r="A484" s="102">
        <v>1.0</v>
      </c>
      <c r="B484" s="107">
        <v>1.0</v>
      </c>
    </row>
    <row r="485">
      <c r="A485" s="102">
        <v>1.0</v>
      </c>
      <c r="B485" s="107">
        <v>1.0</v>
      </c>
    </row>
    <row r="486">
      <c r="A486" s="102">
        <v>1.0</v>
      </c>
      <c r="B486" s="107">
        <v>1.0</v>
      </c>
    </row>
    <row r="487">
      <c r="A487" s="102">
        <v>1.0</v>
      </c>
      <c r="B487" s="107">
        <v>1.0</v>
      </c>
    </row>
    <row r="488">
      <c r="A488" s="102">
        <v>1.0</v>
      </c>
      <c r="B488" s="107">
        <v>1.0</v>
      </c>
    </row>
    <row r="489">
      <c r="A489" s="102">
        <v>1.0</v>
      </c>
      <c r="B489" s="107">
        <v>1.0</v>
      </c>
    </row>
    <row r="490">
      <c r="A490" s="102">
        <v>1.0</v>
      </c>
      <c r="B490" s="107">
        <v>1.0</v>
      </c>
    </row>
    <row r="491">
      <c r="A491" s="102">
        <v>1.0</v>
      </c>
      <c r="B491" s="107">
        <v>1.0</v>
      </c>
    </row>
    <row r="492">
      <c r="A492" s="102">
        <v>1.0</v>
      </c>
      <c r="B492" s="107">
        <v>0.0</v>
      </c>
    </row>
    <row r="493">
      <c r="A493" s="102">
        <v>1.0</v>
      </c>
      <c r="B493" s="107">
        <v>1.0</v>
      </c>
    </row>
    <row r="494">
      <c r="A494" s="102">
        <v>1.0</v>
      </c>
      <c r="B494" s="107">
        <v>1.0</v>
      </c>
    </row>
    <row r="495">
      <c r="A495" s="102">
        <v>1.0</v>
      </c>
      <c r="B495" s="107">
        <v>0.0</v>
      </c>
    </row>
    <row r="496">
      <c r="A496" s="102">
        <v>1.0</v>
      </c>
      <c r="B496" s="107">
        <v>1.0</v>
      </c>
    </row>
    <row r="497">
      <c r="A497" s="102">
        <v>1.0</v>
      </c>
      <c r="B497" s="107">
        <v>1.0</v>
      </c>
    </row>
    <row r="498">
      <c r="A498" s="102">
        <v>1.0</v>
      </c>
      <c r="B498" s="107">
        <v>1.0</v>
      </c>
    </row>
    <row r="499">
      <c r="A499" s="102">
        <v>1.0</v>
      </c>
      <c r="B499" s="107">
        <v>0.0</v>
      </c>
    </row>
    <row r="500">
      <c r="A500" s="102">
        <v>1.0</v>
      </c>
      <c r="B500" s="107">
        <v>1.0</v>
      </c>
    </row>
    <row r="501">
      <c r="A501" s="102">
        <v>1.0</v>
      </c>
      <c r="B501" s="107">
        <v>1.0</v>
      </c>
    </row>
    <row r="502">
      <c r="A502" s="102">
        <v>1.0</v>
      </c>
      <c r="B502" s="107">
        <v>0.0</v>
      </c>
    </row>
    <row r="503">
      <c r="A503" s="102">
        <v>1.0</v>
      </c>
      <c r="B503" s="107">
        <v>1.0</v>
      </c>
    </row>
    <row r="504">
      <c r="A504" s="102">
        <v>1.0</v>
      </c>
      <c r="B504" s="107">
        <v>1.0</v>
      </c>
    </row>
    <row r="505">
      <c r="A505" s="107">
        <v>1.0</v>
      </c>
      <c r="B505" s="107">
        <v>1.0</v>
      </c>
    </row>
    <row r="506">
      <c r="A506" s="107">
        <v>1.0</v>
      </c>
      <c r="B506" s="107">
        <v>1.0</v>
      </c>
    </row>
    <row r="507">
      <c r="A507" s="107">
        <v>1.0</v>
      </c>
      <c r="B507" s="107">
        <v>1.0</v>
      </c>
    </row>
    <row r="508">
      <c r="A508" s="107">
        <v>1.0</v>
      </c>
      <c r="B508" s="107">
        <v>1.0</v>
      </c>
    </row>
    <row r="509">
      <c r="A509" s="107">
        <v>0.0</v>
      </c>
      <c r="B509" s="107">
        <v>1.0</v>
      </c>
    </row>
    <row r="510">
      <c r="A510" s="107">
        <v>1.0</v>
      </c>
      <c r="B510" s="107">
        <v>1.0</v>
      </c>
    </row>
    <row r="511">
      <c r="A511" s="107">
        <v>1.0</v>
      </c>
      <c r="B511" s="107">
        <v>1.0</v>
      </c>
    </row>
    <row r="512">
      <c r="A512" s="107">
        <v>1.0</v>
      </c>
      <c r="B512" s="107">
        <v>1.0</v>
      </c>
    </row>
    <row r="513">
      <c r="A513" s="107">
        <v>1.0</v>
      </c>
      <c r="B513" s="107">
        <v>1.0</v>
      </c>
    </row>
    <row r="514">
      <c r="A514" s="107">
        <v>1.0</v>
      </c>
      <c r="B514" s="107">
        <v>1.0</v>
      </c>
    </row>
    <row r="515">
      <c r="A515" s="107">
        <v>1.0</v>
      </c>
      <c r="B515" s="107">
        <v>1.0</v>
      </c>
    </row>
    <row r="516">
      <c r="A516" s="107">
        <v>0.0</v>
      </c>
      <c r="B516" s="107">
        <v>1.0</v>
      </c>
    </row>
    <row r="517">
      <c r="A517" s="107">
        <v>1.0</v>
      </c>
      <c r="B517" s="107">
        <v>1.0</v>
      </c>
    </row>
    <row r="518">
      <c r="A518" s="107">
        <v>1.0</v>
      </c>
      <c r="B518" s="107">
        <v>1.0</v>
      </c>
    </row>
    <row r="519">
      <c r="A519" s="107">
        <v>1.0</v>
      </c>
      <c r="B519" s="107">
        <v>1.0</v>
      </c>
    </row>
    <row r="520">
      <c r="A520" s="107">
        <v>1.0</v>
      </c>
      <c r="B520" s="107">
        <v>1.0</v>
      </c>
    </row>
    <row r="521">
      <c r="A521" s="107">
        <v>1.0</v>
      </c>
      <c r="B521" s="107">
        <v>1.0</v>
      </c>
    </row>
    <row r="522">
      <c r="A522" s="107">
        <v>1.0</v>
      </c>
      <c r="B522" s="107">
        <v>1.0</v>
      </c>
    </row>
    <row r="523">
      <c r="A523" s="107">
        <v>1.0</v>
      </c>
      <c r="B523" s="107">
        <v>1.0</v>
      </c>
    </row>
    <row r="524">
      <c r="A524" s="107">
        <v>1.0</v>
      </c>
      <c r="B524" s="107">
        <v>1.0</v>
      </c>
    </row>
    <row r="525">
      <c r="A525" s="107">
        <v>1.0</v>
      </c>
      <c r="B525" s="107">
        <v>1.0</v>
      </c>
    </row>
    <row r="526">
      <c r="A526" s="102">
        <v>1.0</v>
      </c>
      <c r="B526" s="107">
        <v>1.0</v>
      </c>
    </row>
    <row r="527">
      <c r="A527" s="102">
        <v>1.0</v>
      </c>
      <c r="B527" s="107">
        <v>1.0</v>
      </c>
    </row>
    <row r="528">
      <c r="A528" s="102">
        <v>0.0</v>
      </c>
      <c r="B528" s="107">
        <v>1.0</v>
      </c>
    </row>
    <row r="529">
      <c r="A529" s="102">
        <v>1.0</v>
      </c>
      <c r="B529" s="107">
        <v>1.0</v>
      </c>
    </row>
    <row r="530">
      <c r="A530" s="102">
        <v>1.0</v>
      </c>
      <c r="B530" s="107">
        <v>1.0</v>
      </c>
    </row>
    <row r="531">
      <c r="A531" s="102">
        <v>1.0</v>
      </c>
      <c r="B531" s="107">
        <v>1.0</v>
      </c>
    </row>
    <row r="532">
      <c r="A532" s="102">
        <v>1.0</v>
      </c>
      <c r="B532" s="107">
        <v>1.0</v>
      </c>
    </row>
    <row r="533">
      <c r="A533" s="102">
        <v>1.0</v>
      </c>
      <c r="B533" s="107">
        <v>1.0</v>
      </c>
    </row>
    <row r="534">
      <c r="A534" s="102">
        <v>1.0</v>
      </c>
      <c r="B534" s="107">
        <v>1.0</v>
      </c>
    </row>
    <row r="535">
      <c r="A535" s="102">
        <v>1.0</v>
      </c>
      <c r="B535" s="107">
        <v>1.0</v>
      </c>
    </row>
    <row r="536">
      <c r="A536" s="102">
        <v>1.0</v>
      </c>
      <c r="B536" s="107">
        <v>1.0</v>
      </c>
    </row>
    <row r="537">
      <c r="A537" s="102">
        <v>1.0</v>
      </c>
      <c r="B537" s="107">
        <v>1.0</v>
      </c>
    </row>
    <row r="538">
      <c r="A538" s="102">
        <v>1.0</v>
      </c>
      <c r="B538" s="107">
        <v>1.0</v>
      </c>
    </row>
    <row r="539">
      <c r="A539" s="102">
        <v>1.0</v>
      </c>
      <c r="B539" s="107">
        <v>1.0</v>
      </c>
    </row>
    <row r="540">
      <c r="A540" s="102">
        <v>1.0</v>
      </c>
      <c r="B540" s="107">
        <v>1.0</v>
      </c>
    </row>
    <row r="541">
      <c r="A541" s="102">
        <v>1.0</v>
      </c>
      <c r="B541" s="107">
        <v>1.0</v>
      </c>
    </row>
    <row r="542">
      <c r="A542" s="102">
        <v>1.0</v>
      </c>
      <c r="B542" s="107">
        <v>1.0</v>
      </c>
    </row>
    <row r="543">
      <c r="A543" s="102">
        <v>1.0</v>
      </c>
      <c r="B543" s="107">
        <v>1.0</v>
      </c>
    </row>
    <row r="544">
      <c r="A544" s="102">
        <v>1.0</v>
      </c>
      <c r="B544" s="107">
        <v>0.0</v>
      </c>
    </row>
    <row r="545">
      <c r="A545" s="102">
        <v>1.0</v>
      </c>
      <c r="B545" s="107">
        <v>1.0</v>
      </c>
    </row>
    <row r="546">
      <c r="A546" s="102">
        <v>1.0</v>
      </c>
      <c r="B546" s="107">
        <v>1.0</v>
      </c>
    </row>
    <row r="547">
      <c r="A547" s="107">
        <v>0.0</v>
      </c>
      <c r="B547" s="107">
        <v>0.0</v>
      </c>
    </row>
    <row r="548">
      <c r="A548" s="107">
        <v>1.0</v>
      </c>
      <c r="B548" s="107">
        <v>0.0</v>
      </c>
    </row>
    <row r="549">
      <c r="A549" s="107">
        <v>0.0</v>
      </c>
      <c r="B549" s="107">
        <v>0.0</v>
      </c>
    </row>
    <row r="550">
      <c r="A550" s="107">
        <v>1.0</v>
      </c>
      <c r="B550" s="107">
        <v>1.0</v>
      </c>
    </row>
    <row r="551">
      <c r="A551" s="107">
        <v>1.0</v>
      </c>
      <c r="B551" s="107">
        <v>0.0</v>
      </c>
    </row>
    <row r="552">
      <c r="A552" s="107">
        <v>1.0</v>
      </c>
      <c r="B552" s="107">
        <v>0.0</v>
      </c>
    </row>
    <row r="553">
      <c r="A553" s="107">
        <v>1.0</v>
      </c>
      <c r="B553" s="107">
        <v>1.0</v>
      </c>
    </row>
    <row r="554">
      <c r="A554" s="107">
        <v>1.0</v>
      </c>
      <c r="B554" s="107">
        <v>0.0</v>
      </c>
    </row>
    <row r="555">
      <c r="A555" s="107">
        <v>1.0</v>
      </c>
      <c r="B555" s="107">
        <v>0.0</v>
      </c>
    </row>
    <row r="556">
      <c r="A556" s="107">
        <v>1.0</v>
      </c>
      <c r="B556" s="107">
        <v>1.0</v>
      </c>
    </row>
    <row r="557">
      <c r="A557" s="107">
        <v>1.0</v>
      </c>
      <c r="B557" s="107">
        <v>1.0</v>
      </c>
    </row>
    <row r="558">
      <c r="A558" s="107">
        <v>1.0</v>
      </c>
      <c r="B558" s="107">
        <v>0.0</v>
      </c>
    </row>
    <row r="559">
      <c r="A559" s="107">
        <v>1.0</v>
      </c>
      <c r="B559" s="107">
        <v>0.0</v>
      </c>
    </row>
    <row r="560">
      <c r="A560" s="107">
        <v>1.0</v>
      </c>
      <c r="B560" s="107">
        <v>1.0</v>
      </c>
    </row>
    <row r="561">
      <c r="A561" s="107">
        <v>1.0</v>
      </c>
      <c r="B561" s="107">
        <v>0.0</v>
      </c>
    </row>
    <row r="562">
      <c r="A562" s="107">
        <v>1.0</v>
      </c>
      <c r="B562" s="107">
        <v>0.0</v>
      </c>
    </row>
    <row r="563">
      <c r="A563" s="107">
        <v>1.0</v>
      </c>
      <c r="B563" s="107">
        <v>0.0</v>
      </c>
    </row>
    <row r="564">
      <c r="A564" s="107">
        <v>1.0</v>
      </c>
      <c r="B564" s="107">
        <v>1.0</v>
      </c>
    </row>
    <row r="565">
      <c r="A565" s="107">
        <v>1.0</v>
      </c>
      <c r="B565" s="107">
        <v>0.0</v>
      </c>
    </row>
    <row r="566">
      <c r="A566" s="107">
        <v>1.0</v>
      </c>
      <c r="B566" s="107">
        <v>0.0</v>
      </c>
    </row>
    <row r="567">
      <c r="A567" s="107">
        <v>1.0</v>
      </c>
      <c r="B567" s="107">
        <v>1.0</v>
      </c>
    </row>
    <row r="568">
      <c r="A568" s="102">
        <v>1.0</v>
      </c>
      <c r="B568" s="102">
        <v>1.0</v>
      </c>
    </row>
    <row r="569">
      <c r="A569" s="102">
        <v>1.0</v>
      </c>
      <c r="B569" s="102">
        <v>1.0</v>
      </c>
    </row>
    <row r="570">
      <c r="A570" s="102">
        <v>1.0</v>
      </c>
      <c r="B570" s="102">
        <v>1.0</v>
      </c>
    </row>
    <row r="571">
      <c r="A571" s="102">
        <v>1.0</v>
      </c>
      <c r="B571" s="102">
        <v>1.0</v>
      </c>
    </row>
    <row r="572">
      <c r="A572" s="102">
        <v>1.0</v>
      </c>
      <c r="B572" s="102">
        <v>1.0</v>
      </c>
    </row>
    <row r="573">
      <c r="A573" s="102">
        <v>1.0</v>
      </c>
      <c r="B573" s="102">
        <v>1.0</v>
      </c>
    </row>
    <row r="574">
      <c r="A574" s="102">
        <v>1.0</v>
      </c>
      <c r="B574" s="102">
        <v>1.0</v>
      </c>
    </row>
    <row r="575">
      <c r="A575" s="102">
        <v>1.0</v>
      </c>
      <c r="B575" s="102">
        <v>1.0</v>
      </c>
    </row>
    <row r="576">
      <c r="A576" s="102">
        <v>1.0</v>
      </c>
      <c r="B576" s="102">
        <v>1.0</v>
      </c>
    </row>
    <row r="577">
      <c r="A577" s="102">
        <v>0.0</v>
      </c>
      <c r="B577" s="102">
        <v>0.0</v>
      </c>
    </row>
    <row r="578">
      <c r="A578" s="102">
        <v>1.0</v>
      </c>
      <c r="B578" s="102">
        <v>1.0</v>
      </c>
    </row>
    <row r="579">
      <c r="A579" s="102">
        <v>1.0</v>
      </c>
      <c r="B579" s="102">
        <v>1.0</v>
      </c>
    </row>
    <row r="580">
      <c r="A580" s="102">
        <v>1.0</v>
      </c>
      <c r="B580" s="102">
        <v>1.0</v>
      </c>
    </row>
    <row r="581">
      <c r="A581" s="102">
        <v>1.0</v>
      </c>
      <c r="B581" s="102">
        <v>1.0</v>
      </c>
    </row>
    <row r="582">
      <c r="A582" s="102">
        <v>1.0</v>
      </c>
      <c r="B582" s="102">
        <v>1.0</v>
      </c>
    </row>
    <row r="583">
      <c r="A583" s="102">
        <v>1.0</v>
      </c>
      <c r="B583" s="102">
        <v>1.0</v>
      </c>
    </row>
    <row r="584">
      <c r="A584" s="102">
        <v>1.0</v>
      </c>
      <c r="B584" s="102">
        <v>1.0</v>
      </c>
    </row>
    <row r="585">
      <c r="A585" s="102">
        <v>1.0</v>
      </c>
      <c r="B585" s="102">
        <v>1.0</v>
      </c>
    </row>
    <row r="586">
      <c r="A586" s="102">
        <v>1.0</v>
      </c>
      <c r="B586" s="102">
        <v>1.0</v>
      </c>
    </row>
    <row r="587">
      <c r="A587" s="102">
        <v>1.0</v>
      </c>
      <c r="B587" s="102">
        <v>1.0</v>
      </c>
    </row>
    <row r="588">
      <c r="A588" s="102">
        <v>1.0</v>
      </c>
      <c r="B588" s="102">
        <v>1.0</v>
      </c>
    </row>
    <row r="589">
      <c r="A589" s="107">
        <v>1.0</v>
      </c>
      <c r="B589" s="107">
        <v>1.0</v>
      </c>
    </row>
    <row r="590">
      <c r="A590" s="107">
        <v>1.0</v>
      </c>
      <c r="B590" s="107">
        <v>1.0</v>
      </c>
    </row>
    <row r="591">
      <c r="A591" s="107">
        <v>1.0</v>
      </c>
      <c r="B591" s="107">
        <v>1.0</v>
      </c>
    </row>
    <row r="592">
      <c r="A592" s="107">
        <v>1.0</v>
      </c>
      <c r="B592" s="107">
        <v>1.0</v>
      </c>
    </row>
    <row r="593">
      <c r="A593" s="107">
        <v>1.0</v>
      </c>
      <c r="B593" s="107">
        <v>1.0</v>
      </c>
    </row>
    <row r="594">
      <c r="A594" s="107">
        <v>1.0</v>
      </c>
      <c r="B594" s="107">
        <v>1.0</v>
      </c>
    </row>
    <row r="595">
      <c r="A595" s="107">
        <v>1.0</v>
      </c>
      <c r="B595" s="107">
        <v>1.0</v>
      </c>
    </row>
    <row r="596">
      <c r="A596" s="107">
        <v>1.0</v>
      </c>
      <c r="B596" s="107">
        <v>1.0</v>
      </c>
    </row>
    <row r="597">
      <c r="A597" s="107">
        <v>1.0</v>
      </c>
      <c r="B597" s="107">
        <v>1.0</v>
      </c>
    </row>
    <row r="598">
      <c r="A598" s="107">
        <v>1.0</v>
      </c>
      <c r="B598" s="107">
        <v>1.0</v>
      </c>
    </row>
    <row r="599">
      <c r="A599" s="107">
        <v>1.0</v>
      </c>
      <c r="B599" s="107">
        <v>1.0</v>
      </c>
    </row>
    <row r="600">
      <c r="A600" s="107">
        <v>1.0</v>
      </c>
      <c r="B600" s="107">
        <v>1.0</v>
      </c>
    </row>
    <row r="601">
      <c r="A601" s="107">
        <v>1.0</v>
      </c>
      <c r="B601" s="107">
        <v>1.0</v>
      </c>
    </row>
    <row r="602">
      <c r="A602" s="107">
        <v>1.0</v>
      </c>
      <c r="B602" s="107">
        <v>1.0</v>
      </c>
    </row>
    <row r="603">
      <c r="A603" s="107">
        <v>1.0</v>
      </c>
      <c r="B603" s="107">
        <v>1.0</v>
      </c>
    </row>
    <row r="604">
      <c r="A604" s="107">
        <v>1.0</v>
      </c>
      <c r="B604" s="107">
        <v>1.0</v>
      </c>
    </row>
    <row r="605">
      <c r="A605" s="107">
        <v>1.0</v>
      </c>
      <c r="B605" s="107">
        <v>1.0</v>
      </c>
    </row>
    <row r="606">
      <c r="A606" s="107">
        <v>1.0</v>
      </c>
      <c r="B606" s="107">
        <v>1.0</v>
      </c>
    </row>
    <row r="607">
      <c r="A607" s="107">
        <v>1.0</v>
      </c>
      <c r="B607" s="107">
        <v>1.0</v>
      </c>
    </row>
    <row r="608">
      <c r="A608" s="107">
        <v>1.0</v>
      </c>
      <c r="B608" s="107">
        <v>1.0</v>
      </c>
    </row>
    <row r="609">
      <c r="A609" s="107">
        <v>1.0</v>
      </c>
      <c r="B609" s="107">
        <v>1.0</v>
      </c>
    </row>
    <row r="610">
      <c r="A610" s="102">
        <v>1.0</v>
      </c>
      <c r="B610" s="102">
        <v>1.0</v>
      </c>
    </row>
    <row r="611">
      <c r="A611" s="102">
        <v>1.0</v>
      </c>
      <c r="B611" s="102">
        <v>1.0</v>
      </c>
    </row>
    <row r="612">
      <c r="A612" s="102">
        <v>1.0</v>
      </c>
      <c r="B612" s="102">
        <v>1.0</v>
      </c>
    </row>
    <row r="613">
      <c r="A613" s="102">
        <v>1.0</v>
      </c>
      <c r="B613" s="102">
        <v>1.0</v>
      </c>
    </row>
    <row r="614">
      <c r="A614" s="102">
        <v>1.0</v>
      </c>
      <c r="B614" s="102">
        <v>1.0</v>
      </c>
    </row>
    <row r="615">
      <c r="A615" s="102">
        <v>1.0</v>
      </c>
      <c r="B615" s="102">
        <v>1.0</v>
      </c>
    </row>
    <row r="616">
      <c r="A616" s="102">
        <v>1.0</v>
      </c>
      <c r="B616" s="102">
        <v>1.0</v>
      </c>
    </row>
    <row r="617">
      <c r="A617" s="102">
        <v>1.0</v>
      </c>
      <c r="B617" s="102">
        <v>1.0</v>
      </c>
    </row>
    <row r="618">
      <c r="A618" s="102">
        <v>1.0</v>
      </c>
      <c r="B618" s="102">
        <v>1.0</v>
      </c>
    </row>
    <row r="619">
      <c r="A619" s="102">
        <v>1.0</v>
      </c>
      <c r="B619" s="102">
        <v>1.0</v>
      </c>
    </row>
    <row r="620">
      <c r="A620" s="102">
        <v>1.0</v>
      </c>
      <c r="B620" s="102">
        <v>1.0</v>
      </c>
    </row>
    <row r="621">
      <c r="A621" s="102">
        <v>1.0</v>
      </c>
      <c r="B621" s="102">
        <v>1.0</v>
      </c>
    </row>
    <row r="622">
      <c r="A622" s="102">
        <v>1.0</v>
      </c>
      <c r="B622" s="102">
        <v>1.0</v>
      </c>
    </row>
    <row r="623">
      <c r="A623" s="102">
        <v>1.0</v>
      </c>
      <c r="B623" s="102">
        <v>1.0</v>
      </c>
    </row>
    <row r="624">
      <c r="A624" s="102">
        <v>1.0</v>
      </c>
      <c r="B624" s="102">
        <v>1.0</v>
      </c>
    </row>
    <row r="625">
      <c r="A625" s="102">
        <v>1.0</v>
      </c>
      <c r="B625" s="102">
        <v>1.0</v>
      </c>
    </row>
    <row r="626">
      <c r="A626" s="102">
        <v>1.0</v>
      </c>
      <c r="B626" s="102">
        <v>1.0</v>
      </c>
    </row>
    <row r="627">
      <c r="A627" s="102">
        <v>1.0</v>
      </c>
      <c r="B627" s="102">
        <v>1.0</v>
      </c>
    </row>
    <row r="628">
      <c r="A628" s="102">
        <v>1.0</v>
      </c>
      <c r="B628" s="102">
        <v>1.0</v>
      </c>
    </row>
    <row r="629">
      <c r="A629" s="102">
        <v>1.0</v>
      </c>
      <c r="B629" s="102">
        <v>1.0</v>
      </c>
    </row>
    <row r="630">
      <c r="A630" s="102">
        <v>1.0</v>
      </c>
      <c r="B630" s="102">
        <v>1.0</v>
      </c>
    </row>
    <row r="631">
      <c r="A631" s="107">
        <v>1.0</v>
      </c>
      <c r="B631" s="107">
        <v>1.0</v>
      </c>
    </row>
    <row r="632">
      <c r="A632" s="107">
        <v>1.0</v>
      </c>
      <c r="B632" s="107">
        <v>1.0</v>
      </c>
    </row>
    <row r="633">
      <c r="A633" s="107">
        <v>0.0</v>
      </c>
      <c r="B633" s="107">
        <v>0.0</v>
      </c>
    </row>
    <row r="634">
      <c r="A634" s="107">
        <v>1.0</v>
      </c>
      <c r="B634" s="107">
        <v>1.0</v>
      </c>
    </row>
    <row r="635">
      <c r="A635" s="107">
        <v>1.0</v>
      </c>
      <c r="B635" s="107">
        <v>1.0</v>
      </c>
    </row>
    <row r="636">
      <c r="A636" s="107">
        <v>1.0</v>
      </c>
      <c r="B636" s="107">
        <v>1.0</v>
      </c>
    </row>
    <row r="637">
      <c r="A637" s="107">
        <v>1.0</v>
      </c>
      <c r="B637" s="107">
        <v>1.0</v>
      </c>
    </row>
    <row r="638">
      <c r="A638" s="107">
        <v>1.0</v>
      </c>
      <c r="B638" s="107">
        <v>1.0</v>
      </c>
    </row>
    <row r="639">
      <c r="A639" s="107">
        <v>1.0</v>
      </c>
      <c r="B639" s="107">
        <v>1.0</v>
      </c>
    </row>
    <row r="640">
      <c r="A640" s="107">
        <v>0.0</v>
      </c>
      <c r="B640" s="107">
        <v>0.0</v>
      </c>
    </row>
    <row r="641">
      <c r="A641" s="107">
        <v>1.0</v>
      </c>
      <c r="B641" s="107">
        <v>1.0</v>
      </c>
    </row>
    <row r="642">
      <c r="A642" s="107">
        <v>1.0</v>
      </c>
      <c r="B642" s="107">
        <v>1.0</v>
      </c>
    </row>
    <row r="643">
      <c r="A643" s="107">
        <v>1.0</v>
      </c>
      <c r="B643" s="107">
        <v>1.0</v>
      </c>
    </row>
    <row r="644">
      <c r="A644" s="107">
        <v>1.0</v>
      </c>
      <c r="B644" s="107">
        <v>1.0</v>
      </c>
    </row>
    <row r="645">
      <c r="A645" s="107">
        <v>1.0</v>
      </c>
      <c r="B645" s="107">
        <v>1.0</v>
      </c>
    </row>
    <row r="646">
      <c r="A646" s="107">
        <v>1.0</v>
      </c>
      <c r="B646" s="107">
        <v>1.0</v>
      </c>
    </row>
    <row r="647">
      <c r="A647" s="107">
        <v>0.0</v>
      </c>
      <c r="B647" s="107">
        <v>0.0</v>
      </c>
    </row>
    <row r="648">
      <c r="A648" s="107">
        <v>1.0</v>
      </c>
      <c r="B648" s="107">
        <v>1.0</v>
      </c>
    </row>
    <row r="649">
      <c r="A649" s="107">
        <v>1.0</v>
      </c>
      <c r="B649" s="107">
        <v>1.0</v>
      </c>
    </row>
    <row r="650">
      <c r="A650" s="107">
        <v>1.0</v>
      </c>
      <c r="B650" s="107">
        <v>1.0</v>
      </c>
    </row>
    <row r="651">
      <c r="A651" s="107">
        <v>1.0</v>
      </c>
      <c r="B651" s="107">
        <v>1.0</v>
      </c>
    </row>
    <row r="652">
      <c r="A652" s="102">
        <v>1.0</v>
      </c>
      <c r="B652" s="102">
        <v>1.0</v>
      </c>
    </row>
    <row r="653">
      <c r="A653" s="102">
        <v>1.0</v>
      </c>
      <c r="B653" s="102">
        <v>1.0</v>
      </c>
    </row>
    <row r="654">
      <c r="A654" s="102">
        <v>1.0</v>
      </c>
      <c r="B654" s="102">
        <v>1.0</v>
      </c>
    </row>
    <row r="655">
      <c r="A655" s="102">
        <v>1.0</v>
      </c>
      <c r="B655" s="102">
        <v>1.0</v>
      </c>
    </row>
    <row r="656">
      <c r="A656" s="102">
        <v>1.0</v>
      </c>
      <c r="B656" s="102">
        <v>1.0</v>
      </c>
    </row>
    <row r="657">
      <c r="A657" s="102">
        <v>1.0</v>
      </c>
      <c r="B657" s="102">
        <v>1.0</v>
      </c>
    </row>
    <row r="658">
      <c r="A658" s="102">
        <v>1.0</v>
      </c>
      <c r="B658" s="102">
        <v>1.0</v>
      </c>
    </row>
    <row r="659">
      <c r="A659" s="102">
        <v>1.0</v>
      </c>
      <c r="B659" s="102">
        <v>1.0</v>
      </c>
    </row>
    <row r="660">
      <c r="A660" s="102">
        <v>1.0</v>
      </c>
      <c r="B660" s="102">
        <v>1.0</v>
      </c>
    </row>
    <row r="661">
      <c r="A661" s="102">
        <v>1.0</v>
      </c>
      <c r="B661" s="102">
        <v>1.0</v>
      </c>
    </row>
    <row r="662">
      <c r="A662" s="102">
        <v>1.0</v>
      </c>
      <c r="B662" s="102">
        <v>1.0</v>
      </c>
    </row>
    <row r="663">
      <c r="A663" s="102">
        <v>1.0</v>
      </c>
      <c r="B663" s="102">
        <v>1.0</v>
      </c>
    </row>
    <row r="664">
      <c r="A664" s="102">
        <v>1.0</v>
      </c>
      <c r="B664" s="102">
        <v>1.0</v>
      </c>
    </row>
    <row r="665">
      <c r="A665" s="102">
        <v>1.0</v>
      </c>
      <c r="B665" s="102">
        <v>1.0</v>
      </c>
    </row>
    <row r="666">
      <c r="A666" s="102">
        <v>1.0</v>
      </c>
      <c r="B666" s="102">
        <v>1.0</v>
      </c>
    </row>
    <row r="667">
      <c r="A667" s="102">
        <v>1.0</v>
      </c>
      <c r="B667" s="102">
        <v>1.0</v>
      </c>
    </row>
    <row r="668">
      <c r="A668" s="102">
        <v>1.0</v>
      </c>
      <c r="B668" s="102">
        <v>1.0</v>
      </c>
    </row>
    <row r="669">
      <c r="A669" s="102">
        <v>1.0</v>
      </c>
      <c r="B669" s="102">
        <v>1.0</v>
      </c>
    </row>
    <row r="670">
      <c r="A670" s="102">
        <v>1.0</v>
      </c>
      <c r="B670" s="102">
        <v>1.0</v>
      </c>
    </row>
    <row r="671">
      <c r="A671" s="102">
        <v>1.0</v>
      </c>
      <c r="B671" s="102">
        <v>1.0</v>
      </c>
    </row>
    <row r="672">
      <c r="A672" s="102">
        <v>1.0</v>
      </c>
      <c r="B672" s="102">
        <v>1.0</v>
      </c>
    </row>
    <row r="673">
      <c r="A673" s="107">
        <v>1.0</v>
      </c>
      <c r="B673" s="107">
        <v>1.0</v>
      </c>
    </row>
    <row r="674">
      <c r="A674" s="107">
        <v>1.0</v>
      </c>
      <c r="B674" s="107">
        <v>1.0</v>
      </c>
    </row>
    <row r="675">
      <c r="A675" s="107">
        <v>1.0</v>
      </c>
      <c r="B675" s="107">
        <v>1.0</v>
      </c>
    </row>
    <row r="676">
      <c r="A676" s="107">
        <v>1.0</v>
      </c>
      <c r="B676" s="107">
        <v>1.0</v>
      </c>
    </row>
    <row r="677">
      <c r="A677" s="107">
        <v>1.0</v>
      </c>
      <c r="B677" s="107">
        <v>1.0</v>
      </c>
    </row>
    <row r="678">
      <c r="A678" s="107">
        <v>1.0</v>
      </c>
      <c r="B678" s="107">
        <v>1.0</v>
      </c>
    </row>
    <row r="679">
      <c r="A679" s="107">
        <v>1.0</v>
      </c>
      <c r="B679" s="107">
        <v>1.0</v>
      </c>
    </row>
    <row r="680">
      <c r="A680" s="107">
        <v>1.0</v>
      </c>
      <c r="B680" s="107">
        <v>1.0</v>
      </c>
    </row>
    <row r="681">
      <c r="A681" s="107">
        <v>1.0</v>
      </c>
      <c r="B681" s="107">
        <v>1.0</v>
      </c>
    </row>
    <row r="682">
      <c r="A682" s="107">
        <v>1.0</v>
      </c>
      <c r="B682" s="107">
        <v>1.0</v>
      </c>
    </row>
    <row r="683">
      <c r="A683" s="107">
        <v>1.0</v>
      </c>
      <c r="B683" s="107">
        <v>1.0</v>
      </c>
    </row>
    <row r="684">
      <c r="A684" s="107">
        <v>1.0</v>
      </c>
      <c r="B684" s="107">
        <v>1.0</v>
      </c>
    </row>
    <row r="685">
      <c r="A685" s="107">
        <v>1.0</v>
      </c>
      <c r="B685" s="107">
        <v>1.0</v>
      </c>
    </row>
    <row r="686">
      <c r="A686" s="107">
        <v>1.0</v>
      </c>
      <c r="B686" s="107">
        <v>1.0</v>
      </c>
    </row>
    <row r="687">
      <c r="A687" s="107">
        <v>1.0</v>
      </c>
      <c r="B687" s="107">
        <v>1.0</v>
      </c>
    </row>
    <row r="688">
      <c r="A688" s="107">
        <v>1.0</v>
      </c>
      <c r="B688" s="107">
        <v>1.0</v>
      </c>
    </row>
    <row r="689">
      <c r="A689" s="107">
        <v>1.0</v>
      </c>
      <c r="B689" s="107">
        <v>1.0</v>
      </c>
    </row>
    <row r="690">
      <c r="A690" s="107">
        <v>1.0</v>
      </c>
      <c r="B690" s="107">
        <v>1.0</v>
      </c>
    </row>
    <row r="691">
      <c r="A691" s="107">
        <v>1.0</v>
      </c>
      <c r="B691" s="107">
        <v>1.0</v>
      </c>
    </row>
    <row r="692">
      <c r="A692" s="107">
        <v>1.0</v>
      </c>
      <c r="B692" s="107">
        <v>1.0</v>
      </c>
    </row>
    <row r="693">
      <c r="A693" s="107">
        <v>1.0</v>
      </c>
      <c r="B693" s="107">
        <v>1.0</v>
      </c>
    </row>
    <row r="694">
      <c r="A694" s="102">
        <v>1.0</v>
      </c>
      <c r="B694" s="102">
        <v>1.0</v>
      </c>
    </row>
    <row r="695">
      <c r="A695" s="102">
        <v>1.0</v>
      </c>
      <c r="B695" s="102">
        <v>1.0</v>
      </c>
    </row>
    <row r="696">
      <c r="A696" s="102">
        <v>1.0</v>
      </c>
      <c r="B696" s="102">
        <v>1.0</v>
      </c>
    </row>
    <row r="697">
      <c r="A697" s="102">
        <v>1.0</v>
      </c>
      <c r="B697" s="102">
        <v>1.0</v>
      </c>
    </row>
    <row r="698">
      <c r="A698" s="102">
        <v>1.0</v>
      </c>
      <c r="B698" s="102">
        <v>1.0</v>
      </c>
    </row>
    <row r="699">
      <c r="A699" s="102">
        <v>1.0</v>
      </c>
      <c r="B699" s="102">
        <v>1.0</v>
      </c>
    </row>
    <row r="700">
      <c r="A700" s="102">
        <v>1.0</v>
      </c>
      <c r="B700" s="102">
        <v>1.0</v>
      </c>
    </row>
    <row r="701">
      <c r="A701" s="102">
        <v>1.0</v>
      </c>
      <c r="B701" s="102">
        <v>0.0</v>
      </c>
    </row>
    <row r="702">
      <c r="A702" s="102">
        <v>1.0</v>
      </c>
      <c r="B702" s="102">
        <v>0.0</v>
      </c>
    </row>
    <row r="703">
      <c r="A703" s="102">
        <v>1.0</v>
      </c>
      <c r="B703" s="102">
        <v>1.0</v>
      </c>
    </row>
    <row r="704">
      <c r="A704" s="102">
        <v>1.0</v>
      </c>
      <c r="B704" s="102">
        <v>1.0</v>
      </c>
    </row>
    <row r="705">
      <c r="A705" s="102">
        <v>1.0</v>
      </c>
      <c r="B705" s="102">
        <v>0.0</v>
      </c>
    </row>
    <row r="706">
      <c r="A706" s="102">
        <v>1.0</v>
      </c>
      <c r="B706" s="102">
        <v>0.0</v>
      </c>
    </row>
    <row r="707">
      <c r="A707" s="102">
        <v>1.0</v>
      </c>
      <c r="B707" s="102">
        <v>1.0</v>
      </c>
    </row>
    <row r="708">
      <c r="A708" s="102">
        <v>1.0</v>
      </c>
      <c r="B708" s="102">
        <v>1.0</v>
      </c>
    </row>
    <row r="709">
      <c r="A709" s="102">
        <v>1.0</v>
      </c>
      <c r="B709" s="102">
        <v>1.0</v>
      </c>
    </row>
    <row r="710">
      <c r="A710" s="102">
        <v>1.0</v>
      </c>
      <c r="B710" s="102">
        <v>1.0</v>
      </c>
    </row>
    <row r="711">
      <c r="A711" s="102">
        <v>1.0</v>
      </c>
      <c r="B711" s="102">
        <v>1.0</v>
      </c>
    </row>
    <row r="712">
      <c r="A712" s="102">
        <v>1.0</v>
      </c>
      <c r="B712" s="102">
        <v>1.0</v>
      </c>
    </row>
    <row r="713">
      <c r="A713" s="102">
        <v>1.0</v>
      </c>
      <c r="B713" s="102">
        <v>1.0</v>
      </c>
    </row>
    <row r="714">
      <c r="A714" s="102">
        <v>1.0</v>
      </c>
      <c r="B714" s="102">
        <v>1.0</v>
      </c>
    </row>
    <row r="715">
      <c r="A715" s="107">
        <v>0.0</v>
      </c>
      <c r="B715" s="107">
        <v>0.0</v>
      </c>
    </row>
    <row r="716">
      <c r="A716" s="107">
        <v>1.0</v>
      </c>
      <c r="B716" s="107">
        <v>0.0</v>
      </c>
    </row>
    <row r="717">
      <c r="A717" s="107">
        <v>1.0</v>
      </c>
      <c r="B717" s="107">
        <v>1.0</v>
      </c>
    </row>
    <row r="718">
      <c r="A718" s="107">
        <v>1.0</v>
      </c>
      <c r="B718" s="107">
        <v>1.0</v>
      </c>
    </row>
    <row r="719">
      <c r="A719" s="107">
        <v>1.0</v>
      </c>
      <c r="B719" s="107">
        <v>0.0</v>
      </c>
    </row>
    <row r="720">
      <c r="A720" s="107">
        <v>1.0</v>
      </c>
      <c r="B720" s="107">
        <v>1.0</v>
      </c>
    </row>
    <row r="721">
      <c r="A721" s="107">
        <v>1.0</v>
      </c>
      <c r="B721" s="107">
        <v>1.0</v>
      </c>
    </row>
    <row r="722">
      <c r="A722" s="107">
        <v>1.0</v>
      </c>
      <c r="B722" s="107">
        <v>1.0</v>
      </c>
    </row>
    <row r="723">
      <c r="A723" s="107">
        <v>1.0</v>
      </c>
      <c r="B723" s="107">
        <v>1.0</v>
      </c>
    </row>
    <row r="724">
      <c r="A724" s="107">
        <v>1.0</v>
      </c>
      <c r="B724" s="107">
        <v>1.0</v>
      </c>
    </row>
    <row r="725">
      <c r="A725" s="107">
        <v>1.0</v>
      </c>
      <c r="B725" s="107">
        <v>1.0</v>
      </c>
    </row>
    <row r="726">
      <c r="A726" s="107">
        <v>1.0</v>
      </c>
      <c r="B726" s="107">
        <v>1.0</v>
      </c>
    </row>
    <row r="727">
      <c r="A727" s="107">
        <v>1.0</v>
      </c>
      <c r="B727" s="107">
        <v>1.0</v>
      </c>
    </row>
    <row r="728">
      <c r="A728" s="107">
        <v>1.0</v>
      </c>
      <c r="B728" s="107">
        <v>1.0</v>
      </c>
    </row>
    <row r="729">
      <c r="A729" s="107">
        <v>1.0</v>
      </c>
      <c r="B729" s="107">
        <v>1.0</v>
      </c>
    </row>
    <row r="730">
      <c r="A730" s="107">
        <v>1.0</v>
      </c>
      <c r="B730" s="107">
        <v>1.0</v>
      </c>
    </row>
    <row r="731">
      <c r="A731" s="107">
        <v>1.0</v>
      </c>
      <c r="B731" s="107">
        <v>1.0</v>
      </c>
    </row>
    <row r="732">
      <c r="A732" s="107">
        <v>1.0</v>
      </c>
      <c r="B732" s="107">
        <v>1.0</v>
      </c>
    </row>
    <row r="733">
      <c r="A733" s="107">
        <v>1.0</v>
      </c>
      <c r="B733" s="107">
        <v>1.0</v>
      </c>
    </row>
    <row r="734">
      <c r="A734" s="107">
        <v>1.0</v>
      </c>
      <c r="B734" s="107">
        <v>1.0</v>
      </c>
    </row>
    <row r="735">
      <c r="A735" s="107">
        <v>1.0</v>
      </c>
      <c r="B735" s="107">
        <v>1.0</v>
      </c>
    </row>
    <row r="736">
      <c r="A736" s="102">
        <v>0.0</v>
      </c>
      <c r="B736" s="102">
        <v>1.0</v>
      </c>
    </row>
    <row r="737">
      <c r="A737" s="102">
        <v>1.0</v>
      </c>
      <c r="B737" s="102">
        <v>1.0</v>
      </c>
    </row>
    <row r="738">
      <c r="A738" s="102">
        <v>0.0</v>
      </c>
      <c r="B738" s="102">
        <v>1.0</v>
      </c>
    </row>
    <row r="739">
      <c r="A739" s="102">
        <v>1.0</v>
      </c>
      <c r="B739" s="102">
        <v>1.0</v>
      </c>
    </row>
    <row r="740">
      <c r="A740" s="102">
        <v>1.0</v>
      </c>
      <c r="B740" s="102">
        <v>1.0</v>
      </c>
    </row>
    <row r="741">
      <c r="A741" s="102">
        <v>1.0</v>
      </c>
      <c r="B741" s="102">
        <v>1.0</v>
      </c>
    </row>
    <row r="742">
      <c r="A742" s="102">
        <v>1.0</v>
      </c>
      <c r="B742" s="102">
        <v>1.0</v>
      </c>
    </row>
    <row r="743">
      <c r="A743" s="102">
        <v>1.0</v>
      </c>
      <c r="B743" s="102">
        <v>1.0</v>
      </c>
    </row>
    <row r="744">
      <c r="A744" s="102">
        <v>1.0</v>
      </c>
      <c r="B744" s="102">
        <v>1.0</v>
      </c>
    </row>
    <row r="745">
      <c r="A745" s="102">
        <v>1.0</v>
      </c>
      <c r="B745" s="102">
        <v>1.0</v>
      </c>
    </row>
    <row r="746">
      <c r="A746" s="102">
        <v>1.0</v>
      </c>
      <c r="B746" s="102">
        <v>1.0</v>
      </c>
    </row>
    <row r="747">
      <c r="A747" s="102">
        <v>1.0</v>
      </c>
      <c r="B747" s="102">
        <v>1.0</v>
      </c>
    </row>
    <row r="748">
      <c r="A748" s="102">
        <v>1.0</v>
      </c>
      <c r="B748" s="102">
        <v>1.0</v>
      </c>
    </row>
    <row r="749">
      <c r="A749" s="102">
        <v>1.0</v>
      </c>
      <c r="B749" s="102">
        <v>1.0</v>
      </c>
    </row>
    <row r="750">
      <c r="A750" s="102">
        <v>1.0</v>
      </c>
      <c r="B750" s="102">
        <v>1.0</v>
      </c>
    </row>
    <row r="751">
      <c r="A751" s="102">
        <v>1.0</v>
      </c>
      <c r="B751" s="102">
        <v>1.0</v>
      </c>
    </row>
    <row r="752">
      <c r="A752" s="102">
        <v>1.0</v>
      </c>
      <c r="B752" s="102">
        <v>1.0</v>
      </c>
    </row>
    <row r="753">
      <c r="A753" s="102">
        <v>1.0</v>
      </c>
      <c r="B753" s="102">
        <v>1.0</v>
      </c>
    </row>
    <row r="754">
      <c r="A754" s="102">
        <v>1.0</v>
      </c>
      <c r="B754" s="102">
        <v>1.0</v>
      </c>
    </row>
    <row r="755">
      <c r="A755" s="102">
        <v>1.0</v>
      </c>
      <c r="B755" s="102">
        <v>1.0</v>
      </c>
    </row>
    <row r="756">
      <c r="A756" s="102">
        <v>1.0</v>
      </c>
      <c r="B756" s="102">
        <v>1.0</v>
      </c>
    </row>
    <row r="757">
      <c r="A757" s="107">
        <v>1.0</v>
      </c>
      <c r="B757" s="107">
        <v>1.0</v>
      </c>
    </row>
    <row r="758">
      <c r="A758" s="107">
        <v>1.0</v>
      </c>
      <c r="B758" s="107">
        <v>1.0</v>
      </c>
    </row>
    <row r="759">
      <c r="A759" s="107">
        <v>0.0</v>
      </c>
      <c r="B759" s="107">
        <v>0.0</v>
      </c>
    </row>
    <row r="760">
      <c r="A760" s="107">
        <v>1.0</v>
      </c>
      <c r="B760" s="107">
        <v>1.0</v>
      </c>
    </row>
    <row r="761">
      <c r="A761" s="107">
        <v>1.0</v>
      </c>
      <c r="B761" s="107">
        <v>1.0</v>
      </c>
    </row>
    <row r="762">
      <c r="A762" s="107">
        <v>1.0</v>
      </c>
      <c r="B762" s="107">
        <v>1.0</v>
      </c>
    </row>
    <row r="763">
      <c r="A763" s="107">
        <v>1.0</v>
      </c>
      <c r="B763" s="107">
        <v>1.0</v>
      </c>
    </row>
    <row r="764">
      <c r="A764" s="107">
        <v>1.0</v>
      </c>
      <c r="B764" s="107">
        <v>1.0</v>
      </c>
    </row>
    <row r="765">
      <c r="A765" s="107">
        <v>1.0</v>
      </c>
      <c r="B765" s="107">
        <v>1.0</v>
      </c>
    </row>
    <row r="766">
      <c r="A766" s="107">
        <v>1.0</v>
      </c>
      <c r="B766" s="107">
        <v>1.0</v>
      </c>
    </row>
    <row r="767">
      <c r="A767" s="107">
        <v>1.0</v>
      </c>
      <c r="B767" s="107">
        <v>1.0</v>
      </c>
    </row>
    <row r="768">
      <c r="A768" s="107">
        <v>1.0</v>
      </c>
      <c r="B768" s="107">
        <v>1.0</v>
      </c>
    </row>
    <row r="769">
      <c r="A769" s="107">
        <v>1.0</v>
      </c>
      <c r="B769" s="107">
        <v>1.0</v>
      </c>
    </row>
    <row r="770">
      <c r="A770" s="107">
        <v>1.0</v>
      </c>
      <c r="B770" s="107">
        <v>1.0</v>
      </c>
    </row>
    <row r="771">
      <c r="A771" s="107">
        <v>1.0</v>
      </c>
      <c r="B771" s="107">
        <v>1.0</v>
      </c>
    </row>
    <row r="772">
      <c r="A772" s="107">
        <v>1.0</v>
      </c>
      <c r="B772" s="107">
        <v>1.0</v>
      </c>
    </row>
    <row r="773">
      <c r="A773" s="107">
        <v>1.0</v>
      </c>
      <c r="B773" s="107">
        <v>1.0</v>
      </c>
    </row>
    <row r="774">
      <c r="A774" s="107">
        <v>1.0</v>
      </c>
      <c r="B774" s="107">
        <v>1.0</v>
      </c>
    </row>
    <row r="775">
      <c r="A775" s="107">
        <v>1.0</v>
      </c>
      <c r="B775" s="107">
        <v>1.0</v>
      </c>
    </row>
    <row r="776">
      <c r="A776" s="107">
        <v>1.0</v>
      </c>
      <c r="B776" s="107">
        <v>1.0</v>
      </c>
    </row>
    <row r="777">
      <c r="A777" s="107">
        <v>1.0</v>
      </c>
      <c r="B777" s="107">
        <v>1.0</v>
      </c>
    </row>
    <row r="778">
      <c r="A778" s="102">
        <v>1.0</v>
      </c>
      <c r="B778" s="102">
        <v>1.0</v>
      </c>
    </row>
    <row r="779">
      <c r="A779" s="102">
        <v>1.0</v>
      </c>
      <c r="B779" s="102">
        <v>1.0</v>
      </c>
    </row>
    <row r="780">
      <c r="A780" s="102">
        <v>1.0</v>
      </c>
      <c r="B780" s="102">
        <v>1.0</v>
      </c>
    </row>
    <row r="781">
      <c r="A781" s="102">
        <v>1.0</v>
      </c>
      <c r="B781" s="102">
        <v>1.0</v>
      </c>
    </row>
    <row r="782">
      <c r="A782" s="102">
        <v>1.0</v>
      </c>
      <c r="B782" s="102">
        <v>1.0</v>
      </c>
    </row>
    <row r="783">
      <c r="A783" s="102">
        <v>1.0</v>
      </c>
      <c r="B783" s="102">
        <v>1.0</v>
      </c>
    </row>
    <row r="784">
      <c r="A784" s="102">
        <v>1.0</v>
      </c>
      <c r="B784" s="102">
        <v>1.0</v>
      </c>
    </row>
    <row r="785">
      <c r="A785" s="102">
        <v>1.0</v>
      </c>
      <c r="B785" s="102">
        <v>1.0</v>
      </c>
    </row>
    <row r="786">
      <c r="A786" s="102">
        <v>1.0</v>
      </c>
      <c r="B786" s="102">
        <v>1.0</v>
      </c>
    </row>
    <row r="787">
      <c r="A787" s="102">
        <v>1.0</v>
      </c>
      <c r="B787" s="102">
        <v>1.0</v>
      </c>
    </row>
    <row r="788">
      <c r="A788" s="102">
        <v>1.0</v>
      </c>
      <c r="B788" s="102">
        <v>1.0</v>
      </c>
    </row>
    <row r="789">
      <c r="A789" s="102">
        <v>1.0</v>
      </c>
      <c r="B789" s="102">
        <v>1.0</v>
      </c>
    </row>
    <row r="790">
      <c r="A790" s="102">
        <v>1.0</v>
      </c>
      <c r="B790" s="102">
        <v>1.0</v>
      </c>
    </row>
    <row r="791">
      <c r="A791" s="102">
        <v>1.0</v>
      </c>
      <c r="B791" s="102">
        <v>1.0</v>
      </c>
    </row>
    <row r="792">
      <c r="A792" s="102">
        <v>1.0</v>
      </c>
      <c r="B792" s="102">
        <v>1.0</v>
      </c>
    </row>
    <row r="793">
      <c r="A793" s="102">
        <v>1.0</v>
      </c>
      <c r="B793" s="102">
        <v>1.0</v>
      </c>
    </row>
    <row r="794">
      <c r="A794" s="102">
        <v>1.0</v>
      </c>
      <c r="B794" s="102">
        <v>1.0</v>
      </c>
    </row>
    <row r="795">
      <c r="A795" s="102">
        <v>1.0</v>
      </c>
      <c r="B795" s="102">
        <v>1.0</v>
      </c>
    </row>
    <row r="796">
      <c r="A796" s="102">
        <v>1.0</v>
      </c>
      <c r="B796" s="102">
        <v>1.0</v>
      </c>
    </row>
    <row r="797">
      <c r="A797" s="102">
        <v>1.0</v>
      </c>
      <c r="B797" s="102">
        <v>1.0</v>
      </c>
    </row>
    <row r="798">
      <c r="A798" s="102">
        <v>1.0</v>
      </c>
      <c r="B798" s="102">
        <v>1.0</v>
      </c>
    </row>
    <row r="799">
      <c r="A799" s="107">
        <v>1.0</v>
      </c>
      <c r="B799" s="107">
        <v>1.0</v>
      </c>
    </row>
    <row r="800">
      <c r="A800" s="107">
        <v>1.0</v>
      </c>
      <c r="B800" s="107">
        <v>1.0</v>
      </c>
    </row>
    <row r="801">
      <c r="A801" s="107">
        <v>1.0</v>
      </c>
      <c r="B801" s="107">
        <v>1.0</v>
      </c>
    </row>
    <row r="802">
      <c r="A802" s="107">
        <v>1.0</v>
      </c>
      <c r="B802" s="107">
        <v>1.0</v>
      </c>
    </row>
    <row r="803">
      <c r="A803" s="107">
        <v>1.0</v>
      </c>
      <c r="B803" s="107">
        <v>1.0</v>
      </c>
    </row>
    <row r="804">
      <c r="A804" s="107">
        <v>1.0</v>
      </c>
      <c r="B804" s="107">
        <v>1.0</v>
      </c>
    </row>
    <row r="805">
      <c r="A805" s="107">
        <v>1.0</v>
      </c>
      <c r="B805" s="107">
        <v>1.0</v>
      </c>
    </row>
    <row r="806">
      <c r="A806" s="107">
        <v>1.0</v>
      </c>
      <c r="B806" s="107">
        <v>1.0</v>
      </c>
    </row>
    <row r="807">
      <c r="A807" s="107">
        <v>1.0</v>
      </c>
      <c r="B807" s="107">
        <v>1.0</v>
      </c>
    </row>
    <row r="808">
      <c r="A808" s="107">
        <v>1.0</v>
      </c>
      <c r="B808" s="107">
        <v>1.0</v>
      </c>
    </row>
    <row r="809">
      <c r="A809" s="107">
        <v>1.0</v>
      </c>
      <c r="B809" s="107">
        <v>1.0</v>
      </c>
    </row>
    <row r="810">
      <c r="A810" s="107">
        <v>1.0</v>
      </c>
      <c r="B810" s="107">
        <v>1.0</v>
      </c>
    </row>
    <row r="811">
      <c r="A811" s="107">
        <v>1.0</v>
      </c>
      <c r="B811" s="107">
        <v>1.0</v>
      </c>
    </row>
    <row r="812">
      <c r="A812" s="107">
        <v>1.0</v>
      </c>
      <c r="B812" s="107">
        <v>1.0</v>
      </c>
    </row>
    <row r="813">
      <c r="A813" s="107">
        <v>1.0</v>
      </c>
      <c r="B813" s="107">
        <v>1.0</v>
      </c>
    </row>
    <row r="814">
      <c r="A814" s="107">
        <v>1.0</v>
      </c>
      <c r="B814" s="107">
        <v>1.0</v>
      </c>
    </row>
    <row r="815">
      <c r="A815" s="107">
        <v>1.0</v>
      </c>
      <c r="B815" s="107">
        <v>1.0</v>
      </c>
    </row>
    <row r="816">
      <c r="A816" s="107">
        <v>1.0</v>
      </c>
      <c r="B816" s="107">
        <v>1.0</v>
      </c>
    </row>
    <row r="817">
      <c r="A817" s="107">
        <v>1.0</v>
      </c>
      <c r="B817" s="107">
        <v>1.0</v>
      </c>
    </row>
    <row r="818">
      <c r="A818" s="107">
        <v>1.0</v>
      </c>
      <c r="B818" s="107">
        <v>1.0</v>
      </c>
    </row>
    <row r="819">
      <c r="A819" s="107">
        <v>1.0</v>
      </c>
      <c r="B819" s="107">
        <v>1.0</v>
      </c>
    </row>
    <row r="820">
      <c r="A820" s="102">
        <v>1.0</v>
      </c>
      <c r="B820" s="102">
        <v>1.0</v>
      </c>
    </row>
    <row r="821">
      <c r="A821" s="102">
        <v>1.0</v>
      </c>
      <c r="B821" s="102">
        <v>1.0</v>
      </c>
    </row>
    <row r="822">
      <c r="A822" s="102">
        <v>1.0</v>
      </c>
      <c r="B822" s="102">
        <v>1.0</v>
      </c>
    </row>
    <row r="823">
      <c r="A823" s="102">
        <v>1.0</v>
      </c>
      <c r="B823" s="102">
        <v>1.0</v>
      </c>
    </row>
    <row r="824">
      <c r="A824" s="102">
        <v>1.0</v>
      </c>
      <c r="B824" s="102">
        <v>1.0</v>
      </c>
    </row>
    <row r="825">
      <c r="A825" s="102">
        <v>1.0</v>
      </c>
      <c r="B825" s="102">
        <v>1.0</v>
      </c>
    </row>
    <row r="826">
      <c r="A826" s="102">
        <v>1.0</v>
      </c>
      <c r="B826" s="102">
        <v>1.0</v>
      </c>
    </row>
    <row r="827">
      <c r="A827" s="102">
        <v>1.0</v>
      </c>
      <c r="B827" s="102">
        <v>1.0</v>
      </c>
    </row>
    <row r="828">
      <c r="A828" s="102">
        <v>1.0</v>
      </c>
      <c r="B828" s="102">
        <v>1.0</v>
      </c>
    </row>
    <row r="829">
      <c r="A829" s="102">
        <v>1.0</v>
      </c>
      <c r="B829" s="102">
        <v>1.0</v>
      </c>
    </row>
    <row r="830">
      <c r="A830" s="102">
        <v>1.0</v>
      </c>
      <c r="B830" s="102">
        <v>1.0</v>
      </c>
    </row>
    <row r="831">
      <c r="A831" s="102">
        <v>0.0</v>
      </c>
      <c r="B831" s="102">
        <v>0.0</v>
      </c>
    </row>
    <row r="832">
      <c r="A832" s="102">
        <v>1.0</v>
      </c>
      <c r="B832" s="102">
        <v>1.0</v>
      </c>
    </row>
    <row r="833">
      <c r="A833" s="102">
        <v>1.0</v>
      </c>
      <c r="B833" s="102">
        <v>1.0</v>
      </c>
    </row>
    <row r="834">
      <c r="A834" s="102">
        <v>1.0</v>
      </c>
      <c r="B834" s="102">
        <v>1.0</v>
      </c>
    </row>
    <row r="835">
      <c r="A835" s="102">
        <v>1.0</v>
      </c>
      <c r="B835" s="102">
        <v>1.0</v>
      </c>
    </row>
    <row r="836">
      <c r="A836" s="102">
        <v>1.0</v>
      </c>
      <c r="B836" s="102">
        <v>1.0</v>
      </c>
    </row>
    <row r="837">
      <c r="A837" s="102">
        <v>1.0</v>
      </c>
      <c r="B837" s="102">
        <v>1.0</v>
      </c>
    </row>
    <row r="838">
      <c r="A838" s="102">
        <v>1.0</v>
      </c>
      <c r="B838" s="102">
        <v>1.0</v>
      </c>
    </row>
    <row r="839">
      <c r="A839" s="102">
        <v>1.0</v>
      </c>
      <c r="B839" s="102">
        <v>1.0</v>
      </c>
    </row>
    <row r="840">
      <c r="A840" s="102">
        <v>1.0</v>
      </c>
      <c r="B840" s="102">
        <v>1.0</v>
      </c>
    </row>
    <row r="841">
      <c r="A841" s="107">
        <v>1.0</v>
      </c>
      <c r="B841" s="107">
        <v>1.0</v>
      </c>
    </row>
    <row r="842">
      <c r="A842" s="107">
        <v>1.0</v>
      </c>
      <c r="B842" s="107">
        <v>1.0</v>
      </c>
    </row>
    <row r="843">
      <c r="A843" s="107">
        <v>1.0</v>
      </c>
      <c r="B843" s="107">
        <v>1.0</v>
      </c>
    </row>
    <row r="844">
      <c r="A844" s="107">
        <v>1.0</v>
      </c>
      <c r="B844" s="107">
        <v>1.0</v>
      </c>
    </row>
    <row r="845">
      <c r="A845" s="107">
        <v>0.0</v>
      </c>
      <c r="B845" s="107">
        <v>0.0</v>
      </c>
    </row>
    <row r="846">
      <c r="A846" s="107">
        <v>1.0</v>
      </c>
      <c r="B846" s="107">
        <v>1.0</v>
      </c>
    </row>
    <row r="847">
      <c r="A847" s="107">
        <v>1.0</v>
      </c>
      <c r="B847" s="107">
        <v>1.0</v>
      </c>
    </row>
    <row r="848">
      <c r="A848" s="107">
        <v>1.0</v>
      </c>
      <c r="B848" s="107">
        <v>1.0</v>
      </c>
    </row>
    <row r="849">
      <c r="A849" s="107">
        <v>1.0</v>
      </c>
      <c r="B849" s="107">
        <v>1.0</v>
      </c>
    </row>
    <row r="850">
      <c r="A850" s="107">
        <v>1.0</v>
      </c>
      <c r="B850" s="107">
        <v>1.0</v>
      </c>
    </row>
    <row r="851">
      <c r="A851" s="107">
        <v>1.0</v>
      </c>
      <c r="B851" s="107">
        <v>1.0</v>
      </c>
    </row>
    <row r="852">
      <c r="A852" s="107">
        <v>1.0</v>
      </c>
      <c r="B852" s="107">
        <v>1.0</v>
      </c>
    </row>
    <row r="853">
      <c r="A853" s="107">
        <v>1.0</v>
      </c>
      <c r="B853" s="107">
        <v>1.0</v>
      </c>
    </row>
    <row r="854">
      <c r="A854" s="107">
        <v>1.0</v>
      </c>
      <c r="B854" s="107">
        <v>1.0</v>
      </c>
    </row>
    <row r="855">
      <c r="A855" s="107">
        <v>1.0</v>
      </c>
      <c r="B855" s="107">
        <v>1.0</v>
      </c>
    </row>
    <row r="856">
      <c r="A856" s="107">
        <v>1.0</v>
      </c>
      <c r="B856" s="107">
        <v>1.0</v>
      </c>
    </row>
    <row r="857">
      <c r="A857" s="107">
        <v>1.0</v>
      </c>
      <c r="B857" s="107">
        <v>1.0</v>
      </c>
    </row>
    <row r="858">
      <c r="A858" s="107">
        <v>1.0</v>
      </c>
      <c r="B858" s="107">
        <v>1.0</v>
      </c>
    </row>
    <row r="859">
      <c r="A859" s="107">
        <v>1.0</v>
      </c>
      <c r="B859" s="107">
        <v>1.0</v>
      </c>
    </row>
    <row r="860">
      <c r="A860" s="107">
        <v>1.0</v>
      </c>
      <c r="B860" s="107">
        <v>1.0</v>
      </c>
    </row>
    <row r="861">
      <c r="A861" s="107">
        <v>1.0</v>
      </c>
      <c r="B861" s="107">
        <v>1.0</v>
      </c>
    </row>
    <row r="862">
      <c r="A862" s="109">
        <v>1.0</v>
      </c>
      <c r="B862" s="109">
        <v>1.0</v>
      </c>
    </row>
    <row r="863">
      <c r="A863" s="109">
        <v>1.0</v>
      </c>
      <c r="B863" s="109">
        <v>1.0</v>
      </c>
    </row>
    <row r="864">
      <c r="A864" s="109">
        <v>1.0</v>
      </c>
      <c r="B864" s="109">
        <v>1.0</v>
      </c>
    </row>
    <row r="865">
      <c r="A865" s="109">
        <v>1.0</v>
      </c>
      <c r="B865" s="109">
        <v>1.0</v>
      </c>
    </row>
    <row r="866">
      <c r="A866" s="109">
        <v>1.0</v>
      </c>
      <c r="B866" s="109">
        <v>1.0</v>
      </c>
    </row>
    <row r="867">
      <c r="A867" s="109">
        <v>1.0</v>
      </c>
      <c r="B867" s="109">
        <v>1.0</v>
      </c>
    </row>
    <row r="868">
      <c r="A868" s="109">
        <v>1.0</v>
      </c>
      <c r="B868" s="109">
        <v>1.0</v>
      </c>
    </row>
    <row r="869">
      <c r="A869" s="109">
        <v>1.0</v>
      </c>
      <c r="B869" s="109">
        <v>1.0</v>
      </c>
    </row>
    <row r="870">
      <c r="A870" s="109">
        <v>1.0</v>
      </c>
      <c r="B870" s="109">
        <v>1.0</v>
      </c>
    </row>
    <row r="871">
      <c r="A871" s="109">
        <v>1.0</v>
      </c>
      <c r="B871" s="109">
        <v>1.0</v>
      </c>
    </row>
    <row r="872">
      <c r="A872" s="109">
        <v>1.0</v>
      </c>
      <c r="B872" s="109">
        <v>1.0</v>
      </c>
    </row>
    <row r="873">
      <c r="A873" s="110">
        <v>0.0</v>
      </c>
      <c r="B873" s="110">
        <v>0.0</v>
      </c>
    </row>
    <row r="874">
      <c r="A874" s="109">
        <v>1.0</v>
      </c>
      <c r="B874" s="109">
        <v>1.0</v>
      </c>
    </row>
    <row r="875">
      <c r="A875" s="109">
        <v>1.0</v>
      </c>
      <c r="B875" s="109">
        <v>1.0</v>
      </c>
    </row>
    <row r="876">
      <c r="A876" s="109">
        <v>1.0</v>
      </c>
      <c r="B876" s="109">
        <v>1.0</v>
      </c>
    </row>
    <row r="877">
      <c r="A877" s="109">
        <v>1.0</v>
      </c>
      <c r="B877" s="109">
        <v>1.0</v>
      </c>
    </row>
    <row r="878">
      <c r="A878" s="109">
        <v>1.0</v>
      </c>
      <c r="B878" s="109">
        <v>1.0</v>
      </c>
    </row>
    <row r="879">
      <c r="A879" s="109">
        <v>1.0</v>
      </c>
      <c r="B879" s="109">
        <v>1.0</v>
      </c>
    </row>
    <row r="880">
      <c r="A880" s="109">
        <v>1.0</v>
      </c>
      <c r="B880" s="109">
        <v>1.0</v>
      </c>
    </row>
    <row r="881">
      <c r="A881" s="109">
        <v>1.0</v>
      </c>
      <c r="B881" s="109">
        <v>1.0</v>
      </c>
    </row>
    <row r="882">
      <c r="A882" s="109">
        <v>1.0</v>
      </c>
      <c r="B882" s="109">
        <v>1.0</v>
      </c>
    </row>
    <row r="883">
      <c r="A883" s="107">
        <v>1.0</v>
      </c>
      <c r="B883" s="107">
        <v>1.0</v>
      </c>
    </row>
    <row r="884">
      <c r="A884" s="107">
        <v>1.0</v>
      </c>
      <c r="B884" s="107">
        <v>1.0</v>
      </c>
    </row>
    <row r="885">
      <c r="A885" s="107">
        <v>1.0</v>
      </c>
      <c r="B885" s="107">
        <v>1.0</v>
      </c>
    </row>
    <row r="886">
      <c r="A886" s="107">
        <v>1.0</v>
      </c>
      <c r="B886" s="107">
        <v>1.0</v>
      </c>
    </row>
    <row r="887">
      <c r="A887" s="107">
        <v>1.0</v>
      </c>
      <c r="B887" s="107">
        <v>1.0</v>
      </c>
    </row>
    <row r="888">
      <c r="A888" s="107">
        <v>1.0</v>
      </c>
      <c r="B888" s="107">
        <v>1.0</v>
      </c>
    </row>
    <row r="889">
      <c r="A889" s="107">
        <v>1.0</v>
      </c>
      <c r="B889" s="107">
        <v>1.0</v>
      </c>
    </row>
    <row r="890">
      <c r="A890" s="107">
        <v>1.0</v>
      </c>
      <c r="B890" s="107">
        <v>1.0</v>
      </c>
    </row>
    <row r="891">
      <c r="A891" s="107">
        <v>1.0</v>
      </c>
      <c r="B891" s="107">
        <v>1.0</v>
      </c>
    </row>
    <row r="892">
      <c r="A892" s="107">
        <v>1.0</v>
      </c>
      <c r="B892" s="107">
        <v>1.0</v>
      </c>
    </row>
    <row r="893">
      <c r="A893" s="107">
        <v>1.0</v>
      </c>
      <c r="B893" s="107">
        <v>1.0</v>
      </c>
    </row>
    <row r="894">
      <c r="A894" s="107">
        <v>1.0</v>
      </c>
      <c r="B894" s="107">
        <v>1.0</v>
      </c>
    </row>
    <row r="895">
      <c r="A895" s="107">
        <v>1.0</v>
      </c>
      <c r="B895" s="107">
        <v>1.0</v>
      </c>
    </row>
    <row r="896">
      <c r="A896" s="107">
        <v>1.0</v>
      </c>
      <c r="B896" s="107">
        <v>1.0</v>
      </c>
    </row>
    <row r="897">
      <c r="A897" s="107">
        <v>1.0</v>
      </c>
      <c r="B897" s="107">
        <v>1.0</v>
      </c>
    </row>
    <row r="898">
      <c r="A898" s="107">
        <v>1.0</v>
      </c>
      <c r="B898" s="107">
        <v>1.0</v>
      </c>
    </row>
    <row r="899">
      <c r="A899" s="107">
        <v>1.0</v>
      </c>
      <c r="B899" s="107">
        <v>1.0</v>
      </c>
    </row>
    <row r="900">
      <c r="A900" s="107">
        <v>1.0</v>
      </c>
      <c r="B900" s="107">
        <v>1.0</v>
      </c>
    </row>
    <row r="901">
      <c r="A901" s="107">
        <v>1.0</v>
      </c>
      <c r="B901" s="107">
        <v>1.0</v>
      </c>
    </row>
    <row r="902">
      <c r="A902" s="107">
        <v>1.0</v>
      </c>
      <c r="B902" s="107">
        <v>1.0</v>
      </c>
    </row>
    <row r="903">
      <c r="A903" s="107">
        <v>1.0</v>
      </c>
      <c r="B903" s="107">
        <v>1.0</v>
      </c>
    </row>
    <row r="904">
      <c r="A904" s="102">
        <v>1.0</v>
      </c>
      <c r="B904" s="102">
        <v>1.0</v>
      </c>
    </row>
    <row r="905">
      <c r="A905" s="102">
        <v>1.0</v>
      </c>
      <c r="B905" s="102">
        <v>1.0</v>
      </c>
    </row>
    <row r="906">
      <c r="A906" s="102">
        <v>1.0</v>
      </c>
      <c r="B906" s="102">
        <v>1.0</v>
      </c>
    </row>
    <row r="907">
      <c r="A907" s="102">
        <v>1.0</v>
      </c>
      <c r="B907" s="102">
        <v>1.0</v>
      </c>
    </row>
    <row r="908">
      <c r="A908" s="102">
        <v>1.0</v>
      </c>
      <c r="B908" s="102">
        <v>1.0</v>
      </c>
    </row>
    <row r="909">
      <c r="A909" s="102">
        <v>1.0</v>
      </c>
      <c r="B909" s="102">
        <v>1.0</v>
      </c>
    </row>
    <row r="910">
      <c r="A910" s="102">
        <v>1.0</v>
      </c>
      <c r="B910" s="102">
        <v>1.0</v>
      </c>
    </row>
    <row r="911">
      <c r="A911" s="102">
        <v>1.0</v>
      </c>
      <c r="B911" s="102">
        <v>1.0</v>
      </c>
    </row>
    <row r="912">
      <c r="A912" s="102">
        <v>1.0</v>
      </c>
      <c r="B912" s="102">
        <v>1.0</v>
      </c>
    </row>
    <row r="913">
      <c r="A913" s="102">
        <v>1.0</v>
      </c>
      <c r="B913" s="102">
        <v>1.0</v>
      </c>
    </row>
    <row r="914">
      <c r="A914" s="102">
        <v>1.0</v>
      </c>
      <c r="B914" s="102">
        <v>1.0</v>
      </c>
    </row>
    <row r="915">
      <c r="A915" s="102">
        <v>1.0</v>
      </c>
      <c r="B915" s="102">
        <v>1.0</v>
      </c>
    </row>
    <row r="916">
      <c r="A916" s="102">
        <v>1.0</v>
      </c>
      <c r="B916" s="102">
        <v>1.0</v>
      </c>
    </row>
    <row r="917">
      <c r="A917" s="102">
        <v>1.0</v>
      </c>
      <c r="B917" s="102">
        <v>1.0</v>
      </c>
    </row>
    <row r="918">
      <c r="A918" s="102">
        <v>1.0</v>
      </c>
      <c r="B918" s="102">
        <v>1.0</v>
      </c>
    </row>
    <row r="919">
      <c r="A919" s="102">
        <v>1.0</v>
      </c>
      <c r="B919" s="102">
        <v>1.0</v>
      </c>
    </row>
    <row r="920">
      <c r="A920" s="102">
        <v>1.0</v>
      </c>
      <c r="B920" s="102">
        <v>1.0</v>
      </c>
    </row>
    <row r="921">
      <c r="A921" s="102">
        <v>1.0</v>
      </c>
      <c r="B921" s="102">
        <v>1.0</v>
      </c>
    </row>
    <row r="922">
      <c r="A922" s="102">
        <v>1.0</v>
      </c>
      <c r="B922" s="102">
        <v>1.0</v>
      </c>
    </row>
    <row r="923">
      <c r="A923" s="102">
        <v>1.0</v>
      </c>
      <c r="B923" s="102">
        <v>1.0</v>
      </c>
    </row>
    <row r="924">
      <c r="A924" s="102">
        <v>1.0</v>
      </c>
      <c r="B924" s="102">
        <v>1.0</v>
      </c>
    </row>
    <row r="925">
      <c r="A925" s="107">
        <v>1.0</v>
      </c>
      <c r="B925" s="107">
        <v>1.0</v>
      </c>
    </row>
    <row r="926">
      <c r="A926" s="107">
        <v>1.0</v>
      </c>
      <c r="B926" s="107">
        <v>1.0</v>
      </c>
    </row>
    <row r="927">
      <c r="A927" s="107">
        <v>1.0</v>
      </c>
      <c r="B927" s="107">
        <v>1.0</v>
      </c>
    </row>
    <row r="928">
      <c r="A928" s="107">
        <v>1.0</v>
      </c>
      <c r="B928" s="107">
        <v>1.0</v>
      </c>
    </row>
    <row r="929">
      <c r="A929" s="107">
        <v>1.0</v>
      </c>
      <c r="B929" s="107">
        <v>0.0</v>
      </c>
    </row>
    <row r="930">
      <c r="A930" s="107">
        <v>1.0</v>
      </c>
      <c r="B930" s="107">
        <v>1.0</v>
      </c>
    </row>
    <row r="931">
      <c r="A931" s="107">
        <v>1.0</v>
      </c>
      <c r="B931" s="107">
        <v>1.0</v>
      </c>
    </row>
    <row r="932">
      <c r="A932" s="107">
        <v>1.0</v>
      </c>
      <c r="B932" s="107">
        <v>1.0</v>
      </c>
    </row>
    <row r="933">
      <c r="A933" s="107">
        <v>1.0</v>
      </c>
      <c r="B933" s="107">
        <v>1.0</v>
      </c>
    </row>
    <row r="934">
      <c r="A934" s="107">
        <v>0.0</v>
      </c>
      <c r="B934" s="107">
        <v>1.0</v>
      </c>
    </row>
    <row r="935">
      <c r="A935" s="107">
        <v>1.0</v>
      </c>
      <c r="B935" s="107">
        <v>1.0</v>
      </c>
    </row>
    <row r="936">
      <c r="A936" s="107">
        <v>1.0</v>
      </c>
      <c r="B936" s="107">
        <v>1.0</v>
      </c>
    </row>
    <row r="937">
      <c r="A937" s="107">
        <v>1.0</v>
      </c>
      <c r="B937" s="107">
        <v>1.0</v>
      </c>
    </row>
    <row r="938">
      <c r="A938" s="107">
        <v>1.0</v>
      </c>
      <c r="B938" s="107">
        <v>1.0</v>
      </c>
    </row>
    <row r="939">
      <c r="A939" s="107">
        <v>1.0</v>
      </c>
      <c r="B939" s="107">
        <v>1.0</v>
      </c>
    </row>
    <row r="940">
      <c r="A940" s="107">
        <v>1.0</v>
      </c>
      <c r="B940" s="107">
        <v>1.0</v>
      </c>
    </row>
    <row r="941">
      <c r="A941" s="107">
        <v>1.0</v>
      </c>
      <c r="B941" s="107">
        <v>1.0</v>
      </c>
    </row>
    <row r="942">
      <c r="A942" s="107">
        <v>1.0</v>
      </c>
      <c r="B942" s="107">
        <v>1.0</v>
      </c>
    </row>
    <row r="943">
      <c r="A943" s="107">
        <v>1.0</v>
      </c>
      <c r="B943" s="107">
        <v>0.0</v>
      </c>
    </row>
    <row r="944">
      <c r="A944" s="107">
        <v>1.0</v>
      </c>
      <c r="B944" s="107">
        <v>1.0</v>
      </c>
    </row>
    <row r="945">
      <c r="A945" s="107">
        <v>1.0</v>
      </c>
      <c r="B945" s="107">
        <v>1.0</v>
      </c>
    </row>
    <row r="946">
      <c r="A946" s="102">
        <v>1.0</v>
      </c>
      <c r="B946" s="107">
        <v>1.0</v>
      </c>
    </row>
    <row r="947">
      <c r="A947" s="102">
        <v>1.0</v>
      </c>
      <c r="B947" s="107">
        <v>1.0</v>
      </c>
    </row>
    <row r="948">
      <c r="A948" s="102">
        <v>0.0</v>
      </c>
      <c r="B948" s="107">
        <v>1.0</v>
      </c>
    </row>
    <row r="949">
      <c r="A949" s="102">
        <v>1.0</v>
      </c>
      <c r="B949" s="107">
        <v>1.0</v>
      </c>
    </row>
    <row r="950">
      <c r="A950" s="102">
        <v>1.0</v>
      </c>
      <c r="B950" s="107">
        <v>1.0</v>
      </c>
    </row>
    <row r="951">
      <c r="A951" s="102">
        <v>1.0</v>
      </c>
      <c r="B951" s="107">
        <v>1.0</v>
      </c>
    </row>
    <row r="952">
      <c r="A952" s="102">
        <v>1.0</v>
      </c>
      <c r="B952" s="107">
        <v>1.0</v>
      </c>
    </row>
    <row r="953">
      <c r="A953" s="102">
        <v>1.0</v>
      </c>
      <c r="B953" s="107">
        <v>1.0</v>
      </c>
    </row>
    <row r="954">
      <c r="A954" s="102">
        <v>1.0</v>
      </c>
      <c r="B954" s="107">
        <v>1.0</v>
      </c>
    </row>
    <row r="955">
      <c r="A955" s="102">
        <v>0.0</v>
      </c>
      <c r="B955" s="107">
        <v>1.0</v>
      </c>
    </row>
    <row r="956">
      <c r="A956" s="102">
        <v>1.0</v>
      </c>
      <c r="B956" s="107">
        <v>1.0</v>
      </c>
    </row>
    <row r="957">
      <c r="A957" s="102">
        <v>1.0</v>
      </c>
      <c r="B957" s="107">
        <v>1.0</v>
      </c>
    </row>
    <row r="958">
      <c r="A958" s="102">
        <v>1.0</v>
      </c>
      <c r="B958" s="107">
        <v>1.0</v>
      </c>
    </row>
    <row r="959">
      <c r="A959" s="102">
        <v>1.0</v>
      </c>
      <c r="B959" s="107">
        <v>1.0</v>
      </c>
    </row>
    <row r="960">
      <c r="A960" s="102">
        <v>1.0</v>
      </c>
      <c r="B960" s="107">
        <v>1.0</v>
      </c>
    </row>
    <row r="961">
      <c r="A961" s="102">
        <v>1.0</v>
      </c>
      <c r="B961" s="107">
        <v>1.0</v>
      </c>
    </row>
    <row r="962">
      <c r="A962" s="102">
        <v>0.0</v>
      </c>
      <c r="B962" s="107">
        <v>1.0</v>
      </c>
    </row>
    <row r="963">
      <c r="A963" s="102">
        <v>1.0</v>
      </c>
      <c r="B963" s="107">
        <v>1.0</v>
      </c>
    </row>
    <row r="964">
      <c r="A964" s="102">
        <v>1.0</v>
      </c>
      <c r="B964" s="107">
        <v>1.0</v>
      </c>
    </row>
    <row r="965">
      <c r="A965" s="102">
        <v>1.0</v>
      </c>
      <c r="B965" s="107">
        <v>1.0</v>
      </c>
    </row>
    <row r="966">
      <c r="A966" s="102">
        <v>1.0</v>
      </c>
      <c r="B966" s="107">
        <v>1.0</v>
      </c>
    </row>
    <row r="967">
      <c r="A967" s="107">
        <v>1.0</v>
      </c>
      <c r="B967" s="107">
        <v>0.0</v>
      </c>
    </row>
    <row r="968">
      <c r="A968" s="107">
        <v>1.0</v>
      </c>
      <c r="B968" s="107">
        <v>1.0</v>
      </c>
    </row>
    <row r="969">
      <c r="A969" s="107">
        <v>1.0</v>
      </c>
      <c r="B969" s="107">
        <v>0.0</v>
      </c>
    </row>
    <row r="970">
      <c r="A970" s="107">
        <v>1.0</v>
      </c>
      <c r="B970" s="107">
        <v>1.0</v>
      </c>
    </row>
    <row r="971">
      <c r="A971" s="107">
        <v>1.0</v>
      </c>
      <c r="B971" s="107">
        <v>0.0</v>
      </c>
    </row>
    <row r="972">
      <c r="A972" s="107">
        <v>1.0</v>
      </c>
      <c r="B972" s="107">
        <v>0.0</v>
      </c>
    </row>
    <row r="973">
      <c r="A973" s="107">
        <v>1.0</v>
      </c>
      <c r="B973" s="107">
        <v>1.0</v>
      </c>
    </row>
    <row r="974">
      <c r="A974" s="107">
        <v>1.0</v>
      </c>
      <c r="B974" s="107">
        <v>1.0</v>
      </c>
    </row>
    <row r="975">
      <c r="A975" s="107">
        <v>1.0</v>
      </c>
      <c r="B975" s="107">
        <v>1.0</v>
      </c>
    </row>
    <row r="976">
      <c r="A976" s="107">
        <v>0.0</v>
      </c>
      <c r="B976" s="107">
        <v>0.0</v>
      </c>
    </row>
    <row r="977">
      <c r="A977" s="107">
        <v>1.0</v>
      </c>
      <c r="B977" s="107">
        <v>1.0</v>
      </c>
    </row>
    <row r="978">
      <c r="A978" s="107">
        <v>1.0</v>
      </c>
      <c r="B978" s="107">
        <v>0.0</v>
      </c>
    </row>
    <row r="979">
      <c r="A979" s="107">
        <v>1.0</v>
      </c>
      <c r="B979" s="107">
        <v>0.0</v>
      </c>
    </row>
    <row r="980">
      <c r="A980" s="107">
        <v>1.0</v>
      </c>
      <c r="B980" s="107">
        <v>1.0</v>
      </c>
    </row>
    <row r="981">
      <c r="A981" s="107">
        <v>0.0</v>
      </c>
      <c r="B981" s="107">
        <v>1.0</v>
      </c>
    </row>
    <row r="982">
      <c r="A982" s="107">
        <v>0.0</v>
      </c>
      <c r="B982" s="107">
        <v>1.0</v>
      </c>
    </row>
    <row r="983">
      <c r="A983" s="107">
        <v>1.0</v>
      </c>
      <c r="B983" s="107">
        <v>1.0</v>
      </c>
    </row>
    <row r="984">
      <c r="A984" s="107">
        <v>1.0</v>
      </c>
      <c r="B984" s="107">
        <v>1.0</v>
      </c>
    </row>
    <row r="985">
      <c r="A985" s="107">
        <v>1.0</v>
      </c>
      <c r="B985" s="107">
        <v>1.0</v>
      </c>
    </row>
    <row r="986">
      <c r="A986" s="107">
        <v>0.0</v>
      </c>
      <c r="B986" s="107">
        <v>1.0</v>
      </c>
    </row>
    <row r="987">
      <c r="A987" s="107">
        <v>1.0</v>
      </c>
      <c r="B987" s="107">
        <v>1.0</v>
      </c>
    </row>
    <row r="988">
      <c r="A988" s="102">
        <v>1.0</v>
      </c>
      <c r="B988" s="107">
        <v>1.0</v>
      </c>
    </row>
    <row r="989">
      <c r="A989" s="102">
        <v>1.0</v>
      </c>
      <c r="B989" s="107">
        <v>1.0</v>
      </c>
    </row>
    <row r="990">
      <c r="A990" s="102">
        <v>1.0</v>
      </c>
      <c r="B990" s="107">
        <v>1.0</v>
      </c>
    </row>
    <row r="991">
      <c r="A991" s="102">
        <v>1.0</v>
      </c>
      <c r="B991" s="107">
        <v>1.0</v>
      </c>
    </row>
    <row r="992">
      <c r="A992" s="102">
        <v>1.0</v>
      </c>
      <c r="B992" s="107">
        <v>1.0</v>
      </c>
    </row>
    <row r="993">
      <c r="A993" s="102">
        <v>1.0</v>
      </c>
      <c r="B993" s="107">
        <v>1.0</v>
      </c>
    </row>
    <row r="994">
      <c r="A994" s="102">
        <v>1.0</v>
      </c>
      <c r="B994" s="107">
        <v>1.0</v>
      </c>
    </row>
    <row r="995">
      <c r="A995" s="102">
        <v>0.0</v>
      </c>
      <c r="B995" s="107">
        <v>0.0</v>
      </c>
    </row>
    <row r="996">
      <c r="A996" s="102">
        <v>1.0</v>
      </c>
      <c r="B996" s="107">
        <v>0.0</v>
      </c>
    </row>
    <row r="997">
      <c r="A997" s="102">
        <v>0.0</v>
      </c>
      <c r="B997" s="107">
        <v>0.0</v>
      </c>
    </row>
    <row r="998">
      <c r="A998" s="102">
        <v>1.0</v>
      </c>
      <c r="B998" s="107">
        <v>1.0</v>
      </c>
    </row>
    <row r="999">
      <c r="A999" s="102">
        <v>0.0</v>
      </c>
      <c r="B999" s="107">
        <v>0.0</v>
      </c>
    </row>
    <row r="1000">
      <c r="A1000" s="102">
        <v>1.0</v>
      </c>
      <c r="B1000" s="107">
        <v>0.0</v>
      </c>
    </row>
    <row r="1001">
      <c r="A1001" s="102">
        <v>1.0</v>
      </c>
      <c r="B1001" s="107">
        <v>1.0</v>
      </c>
    </row>
    <row r="1002">
      <c r="A1002" s="102">
        <v>1.0</v>
      </c>
      <c r="B1002" s="107">
        <v>1.0</v>
      </c>
    </row>
    <row r="1003">
      <c r="A1003" s="102">
        <v>1.0</v>
      </c>
      <c r="B1003" s="107">
        <v>1.0</v>
      </c>
    </row>
    <row r="1004">
      <c r="A1004" s="102">
        <v>1.0</v>
      </c>
      <c r="B1004" s="107">
        <v>1.0</v>
      </c>
    </row>
    <row r="1005">
      <c r="A1005" s="102">
        <v>1.0</v>
      </c>
      <c r="B1005" s="107">
        <v>1.0</v>
      </c>
    </row>
    <row r="1006">
      <c r="A1006" s="102">
        <v>1.0</v>
      </c>
      <c r="B1006" s="107">
        <v>1.0</v>
      </c>
    </row>
    <row r="1007">
      <c r="A1007" s="102">
        <v>1.0</v>
      </c>
      <c r="B1007" s="107">
        <v>1.0</v>
      </c>
    </row>
    <row r="1008">
      <c r="A1008" s="102">
        <v>1.0</v>
      </c>
      <c r="B1008" s="107">
        <v>1.0</v>
      </c>
    </row>
    <row r="1009">
      <c r="A1009" s="107">
        <v>0.0</v>
      </c>
      <c r="B1009" s="107">
        <v>1.0</v>
      </c>
    </row>
    <row r="1010">
      <c r="A1010" s="107">
        <v>0.0</v>
      </c>
      <c r="B1010" s="107">
        <v>1.0</v>
      </c>
    </row>
    <row r="1011">
      <c r="A1011" s="107">
        <v>1.0</v>
      </c>
      <c r="B1011" s="107">
        <v>0.0</v>
      </c>
    </row>
    <row r="1012">
      <c r="A1012" s="107">
        <v>1.0</v>
      </c>
      <c r="B1012" s="107">
        <v>1.0</v>
      </c>
    </row>
    <row r="1013">
      <c r="A1013" s="107">
        <v>1.0</v>
      </c>
      <c r="B1013" s="107">
        <v>0.0</v>
      </c>
    </row>
    <row r="1014">
      <c r="A1014" s="107">
        <v>0.0</v>
      </c>
      <c r="B1014" s="107">
        <v>1.0</v>
      </c>
    </row>
    <row r="1015">
      <c r="A1015" s="107">
        <v>1.0</v>
      </c>
      <c r="B1015" s="107">
        <v>1.0</v>
      </c>
    </row>
    <row r="1016">
      <c r="A1016" s="107">
        <v>1.0</v>
      </c>
      <c r="B1016" s="107">
        <v>1.0</v>
      </c>
    </row>
    <row r="1017">
      <c r="A1017" s="107">
        <v>1.0</v>
      </c>
      <c r="B1017" s="107">
        <v>1.0</v>
      </c>
    </row>
    <row r="1018">
      <c r="A1018" s="107">
        <v>1.0</v>
      </c>
      <c r="B1018" s="107">
        <v>1.0</v>
      </c>
    </row>
    <row r="1019">
      <c r="A1019" s="107">
        <v>1.0</v>
      </c>
      <c r="B1019" s="107">
        <v>1.0</v>
      </c>
    </row>
    <row r="1020">
      <c r="A1020" s="107">
        <v>1.0</v>
      </c>
      <c r="B1020" s="107">
        <v>1.0</v>
      </c>
    </row>
    <row r="1021">
      <c r="A1021" s="107">
        <v>1.0</v>
      </c>
      <c r="B1021" s="107">
        <v>1.0</v>
      </c>
    </row>
    <row r="1022">
      <c r="A1022" s="107">
        <v>1.0</v>
      </c>
      <c r="B1022" s="107">
        <v>1.0</v>
      </c>
    </row>
    <row r="1023">
      <c r="A1023" s="107">
        <v>1.0</v>
      </c>
      <c r="B1023" s="107">
        <v>1.0</v>
      </c>
    </row>
    <row r="1024">
      <c r="A1024" s="107">
        <v>1.0</v>
      </c>
      <c r="B1024" s="107">
        <v>1.0</v>
      </c>
    </row>
    <row r="1025">
      <c r="A1025" s="107">
        <v>1.0</v>
      </c>
      <c r="B1025" s="107">
        <v>1.0</v>
      </c>
    </row>
    <row r="1026">
      <c r="A1026" s="107">
        <v>1.0</v>
      </c>
      <c r="B1026" s="107">
        <v>1.0</v>
      </c>
    </row>
    <row r="1027">
      <c r="A1027" s="107">
        <v>1.0</v>
      </c>
      <c r="B1027" s="107">
        <v>1.0</v>
      </c>
    </row>
    <row r="1028">
      <c r="A1028" s="107">
        <v>1.0</v>
      </c>
      <c r="B1028" s="107">
        <v>1.0</v>
      </c>
    </row>
    <row r="1029">
      <c r="A1029" s="107">
        <v>1.0</v>
      </c>
      <c r="B1029" s="107">
        <v>1.0</v>
      </c>
    </row>
    <row r="1030">
      <c r="A1030" s="102">
        <v>1.0</v>
      </c>
      <c r="B1030" s="107">
        <v>0.0</v>
      </c>
    </row>
    <row r="1031">
      <c r="A1031" s="102">
        <v>1.0</v>
      </c>
      <c r="B1031" s="107">
        <v>0.0</v>
      </c>
    </row>
    <row r="1032">
      <c r="A1032" s="102">
        <v>0.0</v>
      </c>
      <c r="B1032" s="107">
        <v>0.0</v>
      </c>
    </row>
    <row r="1033">
      <c r="A1033" s="102">
        <v>1.0</v>
      </c>
      <c r="B1033" s="107">
        <v>1.0</v>
      </c>
    </row>
    <row r="1034">
      <c r="A1034" s="102">
        <v>0.0</v>
      </c>
      <c r="B1034" s="107">
        <v>0.0</v>
      </c>
    </row>
    <row r="1035">
      <c r="A1035" s="102">
        <v>1.0</v>
      </c>
      <c r="B1035" s="107">
        <v>0.0</v>
      </c>
    </row>
    <row r="1036">
      <c r="A1036" s="102">
        <v>1.0</v>
      </c>
      <c r="B1036" s="107">
        <v>1.0</v>
      </c>
    </row>
    <row r="1037">
      <c r="A1037" s="102">
        <v>1.0</v>
      </c>
      <c r="B1037" s="107">
        <v>1.0</v>
      </c>
    </row>
    <row r="1038">
      <c r="A1038" s="102">
        <v>1.0</v>
      </c>
      <c r="B1038" s="107">
        <v>1.0</v>
      </c>
    </row>
    <row r="1039">
      <c r="A1039" s="102">
        <v>0.0</v>
      </c>
      <c r="B1039" s="107">
        <v>1.0</v>
      </c>
    </row>
    <row r="1040">
      <c r="A1040" s="102">
        <v>1.0</v>
      </c>
      <c r="B1040" s="107">
        <v>1.0</v>
      </c>
    </row>
    <row r="1041">
      <c r="A1041" s="102">
        <v>1.0</v>
      </c>
      <c r="B1041" s="107">
        <v>1.0</v>
      </c>
    </row>
    <row r="1042">
      <c r="A1042" s="102">
        <v>1.0</v>
      </c>
      <c r="B1042" s="107">
        <v>1.0</v>
      </c>
    </row>
    <row r="1043">
      <c r="A1043" s="102">
        <v>1.0</v>
      </c>
      <c r="B1043" s="107">
        <v>1.0</v>
      </c>
    </row>
    <row r="1044">
      <c r="A1044" s="102">
        <v>1.0</v>
      </c>
      <c r="B1044" s="102">
        <v>1.0</v>
      </c>
    </row>
    <row r="1045">
      <c r="A1045" s="102">
        <v>1.0</v>
      </c>
      <c r="B1045" s="102">
        <v>1.0</v>
      </c>
    </row>
    <row r="1046">
      <c r="A1046" s="102">
        <v>0.0</v>
      </c>
      <c r="B1046" s="102">
        <v>0.0</v>
      </c>
    </row>
    <row r="1047">
      <c r="A1047" s="102">
        <v>1.0</v>
      </c>
      <c r="B1047" s="102">
        <v>1.0</v>
      </c>
    </row>
    <row r="1048">
      <c r="A1048" s="102">
        <v>1.0</v>
      </c>
      <c r="B1048" s="102">
        <v>1.0</v>
      </c>
    </row>
    <row r="1049">
      <c r="A1049" s="102">
        <v>1.0</v>
      </c>
      <c r="B1049" s="102">
        <v>1.0</v>
      </c>
    </row>
    <row r="1050">
      <c r="A1050" s="102">
        <v>1.0</v>
      </c>
      <c r="B1050" s="102">
        <v>1.0</v>
      </c>
    </row>
    <row r="1051">
      <c r="A1051" s="102">
        <v>1.0</v>
      </c>
      <c r="B1051" s="107">
        <v>1.0</v>
      </c>
    </row>
    <row r="1052">
      <c r="A1052" s="102">
        <v>1.0</v>
      </c>
      <c r="B1052" s="107">
        <v>1.0</v>
      </c>
    </row>
    <row r="1053">
      <c r="A1053" s="102">
        <v>1.0</v>
      </c>
      <c r="B1053" s="107">
        <v>1.0</v>
      </c>
    </row>
    <row r="1054">
      <c r="A1054" s="102">
        <v>1.0</v>
      </c>
      <c r="B1054" s="107">
        <v>1.0</v>
      </c>
    </row>
    <row r="1055">
      <c r="A1055" s="102">
        <v>1.0</v>
      </c>
      <c r="B1055" s="107">
        <v>1.0</v>
      </c>
    </row>
    <row r="1056">
      <c r="A1056" s="102">
        <v>1.0</v>
      </c>
      <c r="B1056" s="107">
        <v>1.0</v>
      </c>
    </row>
    <row r="1057">
      <c r="A1057" s="102">
        <v>1.0</v>
      </c>
      <c r="B1057" s="107">
        <v>1.0</v>
      </c>
    </row>
    <row r="1058">
      <c r="A1058" s="102">
        <v>1.0</v>
      </c>
      <c r="B1058" s="107">
        <v>1.0</v>
      </c>
    </row>
    <row r="1059">
      <c r="A1059" s="102">
        <v>1.0</v>
      </c>
      <c r="B1059" s="107">
        <v>1.0</v>
      </c>
    </row>
    <row r="1060">
      <c r="A1060" s="102">
        <v>1.0</v>
      </c>
      <c r="B1060" s="107">
        <v>1.0</v>
      </c>
    </row>
    <row r="1061">
      <c r="A1061" s="102">
        <v>1.0</v>
      </c>
      <c r="B1061" s="107">
        <v>1.0</v>
      </c>
    </row>
    <row r="1062">
      <c r="A1062" s="102">
        <v>1.0</v>
      </c>
      <c r="B1062" s="107">
        <v>1.0</v>
      </c>
    </row>
    <row r="1063">
      <c r="A1063" s="102">
        <v>1.0</v>
      </c>
      <c r="B1063" s="107">
        <v>1.0</v>
      </c>
    </row>
    <row r="1064">
      <c r="A1064" s="102">
        <v>1.0</v>
      </c>
      <c r="B1064" s="107">
        <v>1.0</v>
      </c>
    </row>
    <row r="1065">
      <c r="A1065" s="102">
        <v>1.0</v>
      </c>
      <c r="B1065" s="107">
        <v>1.0</v>
      </c>
    </row>
    <row r="1066">
      <c r="A1066" s="102">
        <v>1.0</v>
      </c>
      <c r="B1066" s="107">
        <v>1.0</v>
      </c>
    </row>
    <row r="1067">
      <c r="A1067" s="102">
        <v>1.0</v>
      </c>
      <c r="B1067" s="107">
        <v>1.0</v>
      </c>
    </row>
    <row r="1068">
      <c r="A1068" s="102">
        <v>1.0</v>
      </c>
      <c r="B1068" s="107">
        <v>1.0</v>
      </c>
    </row>
    <row r="1069">
      <c r="A1069" s="102">
        <v>1.0</v>
      </c>
      <c r="B1069" s="107">
        <v>1.0</v>
      </c>
    </row>
    <row r="1070">
      <c r="A1070" s="102">
        <v>1.0</v>
      </c>
      <c r="B1070" s="107">
        <v>1.0</v>
      </c>
    </row>
    <row r="1071">
      <c r="A1071" s="102">
        <v>1.0</v>
      </c>
      <c r="B1071" s="107">
        <v>1.0</v>
      </c>
    </row>
    <row r="1072">
      <c r="A1072" s="107">
        <v>1.0</v>
      </c>
      <c r="B1072" s="107">
        <v>1.0</v>
      </c>
    </row>
    <row r="1073">
      <c r="A1073" s="107">
        <v>1.0</v>
      </c>
      <c r="B1073" s="107">
        <v>1.0</v>
      </c>
    </row>
    <row r="1074">
      <c r="A1074" s="107">
        <v>1.0</v>
      </c>
      <c r="B1074" s="107">
        <v>1.0</v>
      </c>
    </row>
    <row r="1075">
      <c r="A1075" s="107">
        <v>1.0</v>
      </c>
      <c r="B1075" s="107">
        <v>1.0</v>
      </c>
    </row>
    <row r="1076">
      <c r="A1076" s="107">
        <v>1.0</v>
      </c>
      <c r="B1076" s="107">
        <v>1.0</v>
      </c>
    </row>
    <row r="1077">
      <c r="A1077" s="107">
        <v>1.0</v>
      </c>
      <c r="B1077" s="107">
        <v>1.0</v>
      </c>
    </row>
    <row r="1078">
      <c r="A1078" s="107">
        <v>1.0</v>
      </c>
      <c r="B1078" s="107">
        <v>1.0</v>
      </c>
    </row>
    <row r="1079">
      <c r="A1079" s="107">
        <v>0.0</v>
      </c>
      <c r="B1079" s="107">
        <v>0.0</v>
      </c>
    </row>
    <row r="1080">
      <c r="A1080" s="107">
        <v>0.0</v>
      </c>
      <c r="B1080" s="107">
        <v>0.0</v>
      </c>
    </row>
    <row r="1081">
      <c r="A1081" s="107">
        <v>0.0</v>
      </c>
      <c r="B1081" s="107">
        <v>0.0</v>
      </c>
    </row>
    <row r="1082">
      <c r="A1082" s="107">
        <v>1.0</v>
      </c>
      <c r="B1082" s="107">
        <v>1.0</v>
      </c>
    </row>
    <row r="1083">
      <c r="A1083" s="107">
        <v>0.0</v>
      </c>
      <c r="B1083" s="107">
        <v>0.0</v>
      </c>
    </row>
    <row r="1084">
      <c r="A1084" s="107">
        <v>0.0</v>
      </c>
      <c r="B1084" s="107">
        <v>0.0</v>
      </c>
    </row>
    <row r="1085">
      <c r="A1085" s="107">
        <v>1.0</v>
      </c>
      <c r="B1085" s="107">
        <v>1.0</v>
      </c>
    </row>
    <row r="1086">
      <c r="A1086" s="107">
        <v>1.0</v>
      </c>
      <c r="B1086" s="107">
        <v>1.0</v>
      </c>
    </row>
    <row r="1087">
      <c r="A1087" s="107">
        <v>1.0</v>
      </c>
      <c r="B1087" s="107">
        <v>1.0</v>
      </c>
    </row>
    <row r="1088">
      <c r="A1088" s="107">
        <v>1.0</v>
      </c>
      <c r="B1088" s="107">
        <v>1.0</v>
      </c>
    </row>
    <row r="1089">
      <c r="A1089" s="107">
        <v>1.0</v>
      </c>
      <c r="B1089" s="107">
        <v>1.0</v>
      </c>
    </row>
    <row r="1090">
      <c r="A1090" s="107">
        <v>1.0</v>
      </c>
      <c r="B1090" s="107">
        <v>1.0</v>
      </c>
    </row>
    <row r="1091">
      <c r="A1091" s="107">
        <v>1.0</v>
      </c>
      <c r="B1091" s="107">
        <v>1.0</v>
      </c>
    </row>
    <row r="1092">
      <c r="A1092" s="107">
        <v>1.0</v>
      </c>
      <c r="B1092" s="107">
        <v>1.0</v>
      </c>
    </row>
    <row r="1093">
      <c r="A1093" s="102">
        <v>1.0</v>
      </c>
      <c r="B1093" s="107">
        <v>1.0</v>
      </c>
    </row>
    <row r="1094">
      <c r="A1094" s="102">
        <v>1.0</v>
      </c>
      <c r="B1094" s="107">
        <v>1.0</v>
      </c>
    </row>
    <row r="1095">
      <c r="A1095" s="102">
        <v>1.0</v>
      </c>
      <c r="B1095" s="107">
        <v>1.0</v>
      </c>
    </row>
    <row r="1096">
      <c r="A1096" s="102">
        <v>1.0</v>
      </c>
      <c r="B1096" s="107">
        <v>1.0</v>
      </c>
    </row>
    <row r="1097">
      <c r="A1097" s="102">
        <v>1.0</v>
      </c>
      <c r="B1097" s="107">
        <v>1.0</v>
      </c>
    </row>
    <row r="1098">
      <c r="A1098" s="102">
        <v>1.0</v>
      </c>
      <c r="B1098" s="107">
        <v>1.0</v>
      </c>
    </row>
    <row r="1099">
      <c r="A1099" s="102">
        <v>1.0</v>
      </c>
      <c r="B1099" s="107">
        <v>1.0</v>
      </c>
    </row>
    <row r="1100">
      <c r="A1100" s="102">
        <v>1.0</v>
      </c>
      <c r="B1100" s="107">
        <v>1.0</v>
      </c>
    </row>
    <row r="1101">
      <c r="A1101" s="102">
        <v>1.0</v>
      </c>
      <c r="B1101" s="107">
        <v>1.0</v>
      </c>
    </row>
    <row r="1102">
      <c r="A1102" s="102">
        <v>0.0</v>
      </c>
      <c r="B1102" s="107">
        <v>0.0</v>
      </c>
    </row>
    <row r="1103">
      <c r="A1103" s="102">
        <v>1.0</v>
      </c>
      <c r="B1103" s="107">
        <v>1.0</v>
      </c>
    </row>
    <row r="1104">
      <c r="A1104" s="102">
        <v>1.0</v>
      </c>
      <c r="B1104" s="107">
        <v>1.0</v>
      </c>
    </row>
    <row r="1105">
      <c r="A1105" s="102">
        <v>1.0</v>
      </c>
      <c r="B1105" s="107">
        <v>1.0</v>
      </c>
    </row>
    <row r="1106">
      <c r="A1106" s="102">
        <v>1.0</v>
      </c>
      <c r="B1106" s="107">
        <v>1.0</v>
      </c>
    </row>
    <row r="1107">
      <c r="A1107" s="102">
        <v>1.0</v>
      </c>
      <c r="B1107" s="107">
        <v>1.0</v>
      </c>
    </row>
    <row r="1108">
      <c r="A1108" s="102">
        <v>1.0</v>
      </c>
      <c r="B1108" s="107">
        <v>1.0</v>
      </c>
    </row>
    <row r="1109">
      <c r="A1109" s="102">
        <v>1.0</v>
      </c>
      <c r="B1109" s="107">
        <v>1.0</v>
      </c>
    </row>
    <row r="1110">
      <c r="A1110" s="102">
        <v>1.0</v>
      </c>
      <c r="B1110" s="107">
        <v>1.0</v>
      </c>
    </row>
    <row r="1111">
      <c r="A1111" s="102">
        <v>1.0</v>
      </c>
      <c r="B1111" s="107">
        <v>1.0</v>
      </c>
    </row>
    <row r="1112">
      <c r="A1112" s="102">
        <v>1.0</v>
      </c>
      <c r="B1112" s="107">
        <v>1.0</v>
      </c>
    </row>
    <row r="1113">
      <c r="A1113" s="102">
        <v>1.0</v>
      </c>
      <c r="B1113" s="107">
        <v>1.0</v>
      </c>
    </row>
    <row r="1114">
      <c r="A1114" s="107">
        <v>1.0</v>
      </c>
      <c r="B1114" s="107">
        <v>0.0</v>
      </c>
    </row>
    <row r="1115">
      <c r="A1115" s="107">
        <v>1.0</v>
      </c>
      <c r="B1115" s="107">
        <v>0.0</v>
      </c>
    </row>
    <row r="1116">
      <c r="A1116" s="107">
        <v>0.0</v>
      </c>
      <c r="B1116" s="107">
        <v>0.0</v>
      </c>
    </row>
    <row r="1117">
      <c r="A1117" s="107">
        <v>1.0</v>
      </c>
      <c r="B1117" s="107">
        <v>1.0</v>
      </c>
    </row>
    <row r="1118">
      <c r="A1118" s="107">
        <v>1.0</v>
      </c>
      <c r="B1118" s="107">
        <v>0.0</v>
      </c>
    </row>
    <row r="1119">
      <c r="A1119" s="107">
        <v>1.0</v>
      </c>
      <c r="B1119" s="107">
        <v>0.0</v>
      </c>
    </row>
    <row r="1120">
      <c r="A1120" s="107">
        <v>1.0</v>
      </c>
      <c r="B1120" s="107">
        <v>1.0</v>
      </c>
    </row>
    <row r="1121">
      <c r="A1121" s="107">
        <v>1.0</v>
      </c>
      <c r="B1121" s="107">
        <v>1.0</v>
      </c>
    </row>
    <row r="1122">
      <c r="A1122" s="107">
        <v>1.0</v>
      </c>
      <c r="B1122" s="107">
        <v>1.0</v>
      </c>
    </row>
    <row r="1123">
      <c r="A1123" s="107">
        <v>0.0</v>
      </c>
      <c r="B1123" s="107">
        <v>0.0</v>
      </c>
    </row>
    <row r="1124">
      <c r="A1124" s="107">
        <v>1.0</v>
      </c>
      <c r="B1124" s="107">
        <v>1.0</v>
      </c>
    </row>
    <row r="1125">
      <c r="A1125" s="107">
        <v>1.0</v>
      </c>
      <c r="B1125" s="107">
        <v>1.0</v>
      </c>
    </row>
    <row r="1126">
      <c r="A1126" s="107">
        <v>1.0</v>
      </c>
      <c r="B1126" s="107">
        <v>1.0</v>
      </c>
    </row>
    <row r="1127">
      <c r="A1127" s="107">
        <v>1.0</v>
      </c>
      <c r="B1127" s="107">
        <v>1.0</v>
      </c>
    </row>
    <row r="1128">
      <c r="A1128" s="107">
        <v>1.0</v>
      </c>
      <c r="B1128" s="107">
        <v>0.0</v>
      </c>
    </row>
    <row r="1129">
      <c r="A1129" s="107">
        <v>1.0</v>
      </c>
      <c r="B1129" s="107">
        <v>0.0</v>
      </c>
    </row>
    <row r="1130">
      <c r="A1130" s="107">
        <v>1.0</v>
      </c>
      <c r="B1130" s="107">
        <v>0.0</v>
      </c>
    </row>
    <row r="1131">
      <c r="A1131" s="107">
        <v>1.0</v>
      </c>
      <c r="B1131" s="107">
        <v>1.0</v>
      </c>
    </row>
    <row r="1132">
      <c r="A1132" s="107">
        <v>1.0</v>
      </c>
      <c r="B1132" s="107">
        <v>0.0</v>
      </c>
    </row>
    <row r="1133">
      <c r="A1133" s="107">
        <v>1.0</v>
      </c>
      <c r="B1133" s="107">
        <v>0.0</v>
      </c>
    </row>
    <row r="1134">
      <c r="A1134" s="107">
        <v>1.0</v>
      </c>
      <c r="B1134" s="107">
        <v>1.0</v>
      </c>
    </row>
    <row r="1135">
      <c r="A1135" s="102">
        <v>1.0</v>
      </c>
      <c r="B1135" s="102">
        <v>1.0</v>
      </c>
    </row>
    <row r="1136">
      <c r="A1136" s="102">
        <v>1.0</v>
      </c>
      <c r="B1136" s="102">
        <v>1.0</v>
      </c>
    </row>
    <row r="1137">
      <c r="A1137" s="102">
        <v>1.0</v>
      </c>
      <c r="B1137" s="102">
        <v>1.0</v>
      </c>
    </row>
    <row r="1138">
      <c r="A1138" s="102">
        <v>1.0</v>
      </c>
      <c r="B1138" s="102">
        <v>1.0</v>
      </c>
    </row>
    <row r="1139">
      <c r="A1139" s="102">
        <v>1.0</v>
      </c>
      <c r="B1139" s="102">
        <v>1.0</v>
      </c>
    </row>
    <row r="1140">
      <c r="A1140" s="102">
        <v>1.0</v>
      </c>
      <c r="B1140" s="102">
        <v>1.0</v>
      </c>
    </row>
    <row r="1141">
      <c r="A1141" s="102">
        <v>1.0</v>
      </c>
      <c r="B1141" s="102">
        <v>1.0</v>
      </c>
    </row>
    <row r="1142">
      <c r="A1142" s="102">
        <v>1.0</v>
      </c>
      <c r="B1142" s="102">
        <v>1.0</v>
      </c>
    </row>
    <row r="1143">
      <c r="A1143" s="102">
        <v>1.0</v>
      </c>
      <c r="B1143" s="102">
        <v>1.0</v>
      </c>
    </row>
    <row r="1144">
      <c r="A1144" s="102">
        <v>1.0</v>
      </c>
      <c r="B1144" s="102">
        <v>1.0</v>
      </c>
    </row>
    <row r="1145">
      <c r="A1145" s="102">
        <v>1.0</v>
      </c>
      <c r="B1145" s="102">
        <v>1.0</v>
      </c>
    </row>
    <row r="1146">
      <c r="A1146" s="102">
        <v>1.0</v>
      </c>
      <c r="B1146" s="102">
        <v>1.0</v>
      </c>
    </row>
    <row r="1147">
      <c r="A1147" s="102">
        <v>1.0</v>
      </c>
      <c r="B1147" s="102">
        <v>1.0</v>
      </c>
    </row>
    <row r="1148">
      <c r="A1148" s="102">
        <v>1.0</v>
      </c>
      <c r="B1148" s="102">
        <v>1.0</v>
      </c>
    </row>
    <row r="1149">
      <c r="A1149" s="102">
        <v>1.0</v>
      </c>
      <c r="B1149" s="102">
        <v>1.0</v>
      </c>
    </row>
    <row r="1150">
      <c r="A1150" s="102">
        <v>1.0</v>
      </c>
      <c r="B1150" s="102">
        <v>1.0</v>
      </c>
    </row>
    <row r="1151">
      <c r="A1151" s="102">
        <v>1.0</v>
      </c>
      <c r="B1151" s="102">
        <v>1.0</v>
      </c>
    </row>
    <row r="1152">
      <c r="A1152" s="102">
        <v>1.0</v>
      </c>
      <c r="B1152" s="102">
        <v>1.0</v>
      </c>
    </row>
    <row r="1153">
      <c r="A1153" s="102">
        <v>1.0</v>
      </c>
      <c r="B1153" s="102">
        <v>1.0</v>
      </c>
    </row>
    <row r="1154">
      <c r="A1154" s="102">
        <v>1.0</v>
      </c>
      <c r="B1154" s="102">
        <v>1.0</v>
      </c>
    </row>
    <row r="1155">
      <c r="A1155" s="102">
        <v>1.0</v>
      </c>
      <c r="B1155" s="102">
        <v>1.0</v>
      </c>
    </row>
    <row r="1156">
      <c r="A1156" s="107">
        <v>1.0</v>
      </c>
      <c r="B1156" s="107">
        <v>1.0</v>
      </c>
    </row>
    <row r="1157">
      <c r="A1157" s="107">
        <v>1.0</v>
      </c>
      <c r="B1157" s="107">
        <v>1.0</v>
      </c>
    </row>
    <row r="1158">
      <c r="A1158" s="107">
        <v>1.0</v>
      </c>
      <c r="B1158" s="107">
        <v>1.0</v>
      </c>
    </row>
    <row r="1159">
      <c r="A1159" s="107">
        <v>1.0</v>
      </c>
      <c r="B1159" s="107">
        <v>1.0</v>
      </c>
    </row>
    <row r="1160">
      <c r="A1160" s="107">
        <v>1.0</v>
      </c>
      <c r="B1160" s="107">
        <v>1.0</v>
      </c>
    </row>
    <row r="1161">
      <c r="A1161" s="107">
        <v>1.0</v>
      </c>
      <c r="B1161" s="107">
        <v>1.0</v>
      </c>
    </row>
    <row r="1162">
      <c r="A1162" s="107">
        <v>1.0</v>
      </c>
      <c r="B1162" s="107">
        <v>1.0</v>
      </c>
    </row>
    <row r="1163">
      <c r="A1163" s="107">
        <v>1.0</v>
      </c>
      <c r="B1163" s="107">
        <v>1.0</v>
      </c>
    </row>
    <row r="1164">
      <c r="A1164" s="107">
        <v>1.0</v>
      </c>
      <c r="B1164" s="107">
        <v>1.0</v>
      </c>
    </row>
    <row r="1165">
      <c r="A1165" s="107">
        <v>1.0</v>
      </c>
      <c r="B1165" s="107">
        <v>1.0</v>
      </c>
    </row>
    <row r="1166">
      <c r="A1166" s="107">
        <v>1.0</v>
      </c>
      <c r="B1166" s="107">
        <v>1.0</v>
      </c>
    </row>
    <row r="1167">
      <c r="A1167" s="107">
        <v>1.0</v>
      </c>
      <c r="B1167" s="107">
        <v>1.0</v>
      </c>
    </row>
    <row r="1168">
      <c r="A1168" s="107">
        <v>1.0</v>
      </c>
      <c r="B1168" s="107">
        <v>1.0</v>
      </c>
    </row>
    <row r="1169">
      <c r="A1169" s="107">
        <v>1.0</v>
      </c>
      <c r="B1169" s="107">
        <v>1.0</v>
      </c>
    </row>
    <row r="1170">
      <c r="A1170" s="107">
        <v>1.0</v>
      </c>
      <c r="B1170" s="107">
        <v>1.0</v>
      </c>
    </row>
    <row r="1171">
      <c r="A1171" s="107">
        <v>1.0</v>
      </c>
      <c r="B1171" s="107">
        <v>1.0</v>
      </c>
    </row>
    <row r="1172">
      <c r="A1172" s="107">
        <v>1.0</v>
      </c>
      <c r="B1172" s="107">
        <v>1.0</v>
      </c>
    </row>
    <row r="1173">
      <c r="A1173" s="107">
        <v>1.0</v>
      </c>
      <c r="B1173" s="107">
        <v>1.0</v>
      </c>
    </row>
    <row r="1174">
      <c r="A1174" s="107">
        <v>1.0</v>
      </c>
      <c r="B1174" s="107">
        <v>1.0</v>
      </c>
    </row>
    <row r="1175">
      <c r="A1175" s="107">
        <v>1.0</v>
      </c>
      <c r="B1175" s="107">
        <v>1.0</v>
      </c>
    </row>
    <row r="1176">
      <c r="A1176" s="107">
        <v>1.0</v>
      </c>
      <c r="B1176" s="107">
        <v>1.0</v>
      </c>
    </row>
    <row r="1177">
      <c r="A1177" s="102">
        <v>1.0</v>
      </c>
      <c r="B1177" s="102">
        <v>1.0</v>
      </c>
    </row>
    <row r="1178">
      <c r="A1178" s="102">
        <v>1.0</v>
      </c>
      <c r="B1178" s="102">
        <v>1.0</v>
      </c>
    </row>
    <row r="1179">
      <c r="A1179" s="102">
        <v>1.0</v>
      </c>
      <c r="B1179" s="102">
        <v>1.0</v>
      </c>
    </row>
    <row r="1180">
      <c r="A1180" s="102">
        <v>1.0</v>
      </c>
      <c r="B1180" s="102">
        <v>1.0</v>
      </c>
    </row>
    <row r="1181">
      <c r="A1181" s="102">
        <v>1.0</v>
      </c>
      <c r="B1181" s="102">
        <v>1.0</v>
      </c>
    </row>
    <row r="1182">
      <c r="A1182" s="102">
        <v>1.0</v>
      </c>
      <c r="B1182" s="102">
        <v>1.0</v>
      </c>
    </row>
    <row r="1183">
      <c r="A1183" s="102">
        <v>1.0</v>
      </c>
      <c r="B1183" s="102">
        <v>1.0</v>
      </c>
    </row>
    <row r="1184">
      <c r="A1184" s="102">
        <v>1.0</v>
      </c>
      <c r="B1184" s="102">
        <v>1.0</v>
      </c>
    </row>
    <row r="1185">
      <c r="A1185" s="102">
        <v>1.0</v>
      </c>
      <c r="B1185" s="102">
        <v>1.0</v>
      </c>
    </row>
    <row r="1186">
      <c r="A1186" s="102">
        <v>1.0</v>
      </c>
      <c r="B1186" s="102">
        <v>1.0</v>
      </c>
    </row>
    <row r="1187">
      <c r="A1187" s="102">
        <v>1.0</v>
      </c>
      <c r="B1187" s="102">
        <v>1.0</v>
      </c>
    </row>
    <row r="1188">
      <c r="A1188" s="102">
        <v>1.0</v>
      </c>
      <c r="B1188" s="102">
        <v>1.0</v>
      </c>
    </row>
    <row r="1189">
      <c r="A1189" s="102">
        <v>1.0</v>
      </c>
      <c r="B1189" s="102">
        <v>1.0</v>
      </c>
    </row>
    <row r="1190">
      <c r="A1190" s="102">
        <v>1.0</v>
      </c>
      <c r="B1190" s="102">
        <v>1.0</v>
      </c>
    </row>
    <row r="1191">
      <c r="A1191" s="102">
        <v>1.0</v>
      </c>
      <c r="B1191" s="102">
        <v>1.0</v>
      </c>
    </row>
    <row r="1192">
      <c r="A1192" s="102">
        <v>1.0</v>
      </c>
      <c r="B1192" s="102">
        <v>1.0</v>
      </c>
    </row>
    <row r="1193">
      <c r="A1193" s="102">
        <v>1.0</v>
      </c>
      <c r="B1193" s="102">
        <v>1.0</v>
      </c>
    </row>
    <row r="1194">
      <c r="A1194" s="102">
        <v>1.0</v>
      </c>
      <c r="B1194" s="102">
        <v>1.0</v>
      </c>
    </row>
    <row r="1195">
      <c r="A1195" s="102">
        <v>1.0</v>
      </c>
      <c r="B1195" s="102">
        <v>1.0</v>
      </c>
    </row>
    <row r="1196">
      <c r="A1196" s="102">
        <v>1.0</v>
      </c>
      <c r="B1196" s="102">
        <v>1.0</v>
      </c>
    </row>
    <row r="1197">
      <c r="A1197" s="102">
        <v>1.0</v>
      </c>
      <c r="B1197" s="102">
        <v>1.0</v>
      </c>
    </row>
    <row r="1198">
      <c r="A1198" s="107">
        <v>1.0</v>
      </c>
      <c r="B1198" s="107">
        <v>1.0</v>
      </c>
    </row>
    <row r="1199">
      <c r="A1199" s="107">
        <v>1.0</v>
      </c>
      <c r="B1199" s="107">
        <v>1.0</v>
      </c>
    </row>
    <row r="1200">
      <c r="A1200" s="107">
        <v>0.0</v>
      </c>
      <c r="B1200" s="107">
        <v>0.0</v>
      </c>
    </row>
    <row r="1201">
      <c r="A1201" s="107">
        <v>1.0</v>
      </c>
      <c r="B1201" s="107">
        <v>1.0</v>
      </c>
    </row>
    <row r="1202">
      <c r="A1202" s="107">
        <v>1.0</v>
      </c>
      <c r="B1202" s="107">
        <v>1.0</v>
      </c>
    </row>
    <row r="1203">
      <c r="A1203" s="107">
        <v>1.0</v>
      </c>
      <c r="B1203" s="107">
        <v>1.0</v>
      </c>
    </row>
    <row r="1204">
      <c r="A1204" s="107">
        <v>1.0</v>
      </c>
      <c r="B1204" s="107">
        <v>1.0</v>
      </c>
    </row>
    <row r="1205">
      <c r="A1205" s="107">
        <v>1.0</v>
      </c>
      <c r="B1205" s="107">
        <v>1.0</v>
      </c>
    </row>
    <row r="1206">
      <c r="A1206" s="107">
        <v>1.0</v>
      </c>
      <c r="B1206" s="107">
        <v>1.0</v>
      </c>
    </row>
    <row r="1207">
      <c r="A1207" s="107">
        <v>0.0</v>
      </c>
      <c r="B1207" s="107">
        <v>0.0</v>
      </c>
    </row>
    <row r="1208">
      <c r="A1208" s="107">
        <v>1.0</v>
      </c>
      <c r="B1208" s="107">
        <v>1.0</v>
      </c>
    </row>
    <row r="1209">
      <c r="A1209" s="107">
        <v>1.0</v>
      </c>
      <c r="B1209" s="107">
        <v>1.0</v>
      </c>
    </row>
    <row r="1210">
      <c r="A1210" s="107">
        <v>1.0</v>
      </c>
      <c r="B1210" s="107">
        <v>1.0</v>
      </c>
    </row>
    <row r="1211">
      <c r="A1211" s="107">
        <v>1.0</v>
      </c>
      <c r="B1211" s="107">
        <v>1.0</v>
      </c>
    </row>
    <row r="1212">
      <c r="A1212" s="107">
        <v>1.0</v>
      </c>
      <c r="B1212" s="107">
        <v>0.0</v>
      </c>
    </row>
    <row r="1213">
      <c r="A1213" s="107">
        <v>1.0</v>
      </c>
      <c r="B1213" s="107">
        <v>0.0</v>
      </c>
    </row>
    <row r="1214">
      <c r="A1214" s="107">
        <v>0.0</v>
      </c>
      <c r="B1214" s="107">
        <v>0.0</v>
      </c>
    </row>
    <row r="1215">
      <c r="A1215" s="107">
        <v>1.0</v>
      </c>
      <c r="B1215" s="107">
        <v>1.0</v>
      </c>
    </row>
    <row r="1216">
      <c r="A1216" s="107">
        <v>1.0</v>
      </c>
      <c r="B1216" s="107">
        <v>0.0</v>
      </c>
    </row>
    <row r="1217">
      <c r="A1217" s="107">
        <v>1.0</v>
      </c>
      <c r="B1217" s="107">
        <v>0.0</v>
      </c>
    </row>
    <row r="1218">
      <c r="A1218" s="107">
        <v>1.0</v>
      </c>
      <c r="B1218" s="107">
        <v>1.0</v>
      </c>
    </row>
    <row r="1219">
      <c r="A1219" s="102">
        <v>0.0</v>
      </c>
      <c r="B1219" s="102">
        <v>0.0</v>
      </c>
    </row>
    <row r="1220">
      <c r="A1220" s="102">
        <v>1.0</v>
      </c>
      <c r="B1220" s="102">
        <v>0.0</v>
      </c>
    </row>
    <row r="1221">
      <c r="A1221" s="102">
        <v>0.0</v>
      </c>
      <c r="B1221" s="102">
        <v>0.0</v>
      </c>
    </row>
    <row r="1222">
      <c r="A1222" s="102">
        <v>1.0</v>
      </c>
      <c r="B1222" s="102">
        <v>1.0</v>
      </c>
    </row>
    <row r="1223">
      <c r="A1223" s="102">
        <v>1.0</v>
      </c>
      <c r="B1223" s="102">
        <v>0.0</v>
      </c>
    </row>
    <row r="1224">
      <c r="A1224" s="102">
        <v>0.0</v>
      </c>
      <c r="B1224" s="102">
        <v>0.0</v>
      </c>
    </row>
    <row r="1225">
      <c r="A1225" s="102">
        <v>1.0</v>
      </c>
      <c r="B1225" s="102">
        <v>1.0</v>
      </c>
    </row>
    <row r="1226">
      <c r="A1226" s="102">
        <v>1.0</v>
      </c>
      <c r="B1226" s="102">
        <v>1.0</v>
      </c>
    </row>
    <row r="1227">
      <c r="A1227" s="102">
        <v>0.0</v>
      </c>
      <c r="B1227" s="102">
        <v>1.0</v>
      </c>
    </row>
    <row r="1228">
      <c r="A1228" s="102">
        <v>0.0</v>
      </c>
      <c r="B1228" s="102">
        <v>0.0</v>
      </c>
    </row>
    <row r="1229">
      <c r="A1229" s="102">
        <v>1.0</v>
      </c>
      <c r="B1229" s="102">
        <v>1.0</v>
      </c>
    </row>
    <row r="1230">
      <c r="A1230" s="102">
        <v>1.0</v>
      </c>
      <c r="B1230" s="102">
        <v>1.0</v>
      </c>
    </row>
    <row r="1231">
      <c r="A1231" s="102">
        <v>1.0</v>
      </c>
      <c r="B1231" s="102">
        <v>1.0</v>
      </c>
    </row>
    <row r="1232">
      <c r="A1232" s="102">
        <v>1.0</v>
      </c>
      <c r="B1232" s="102">
        <v>1.0</v>
      </c>
    </row>
    <row r="1233">
      <c r="A1233" s="102">
        <v>1.0</v>
      </c>
      <c r="B1233" s="102">
        <v>1.0</v>
      </c>
    </row>
    <row r="1234">
      <c r="A1234" s="102">
        <v>1.0</v>
      </c>
      <c r="B1234" s="102">
        <v>1.0</v>
      </c>
    </row>
    <row r="1235">
      <c r="A1235" s="102">
        <v>1.0</v>
      </c>
      <c r="B1235" s="102">
        <v>1.0</v>
      </c>
    </row>
    <row r="1236">
      <c r="A1236" s="102">
        <v>1.0</v>
      </c>
      <c r="B1236" s="102">
        <v>1.0</v>
      </c>
    </row>
    <row r="1237">
      <c r="A1237" s="102">
        <v>1.0</v>
      </c>
      <c r="B1237" s="102">
        <v>1.0</v>
      </c>
    </row>
    <row r="1238">
      <c r="A1238" s="102">
        <v>1.0</v>
      </c>
      <c r="B1238" s="102">
        <v>1.0</v>
      </c>
    </row>
    <row r="1239">
      <c r="A1239" s="102">
        <v>1.0</v>
      </c>
      <c r="B1239" s="102">
        <v>1.0</v>
      </c>
    </row>
    <row r="1240">
      <c r="A1240" s="107">
        <v>1.0</v>
      </c>
      <c r="B1240" s="107">
        <v>1.0</v>
      </c>
    </row>
    <row r="1241">
      <c r="A1241" s="107">
        <v>1.0</v>
      </c>
      <c r="B1241" s="107">
        <v>0.0</v>
      </c>
    </row>
    <row r="1242">
      <c r="A1242" s="107">
        <v>1.0</v>
      </c>
      <c r="B1242" s="107">
        <v>1.0</v>
      </c>
    </row>
    <row r="1243">
      <c r="A1243" s="107">
        <v>1.0</v>
      </c>
      <c r="B1243" s="107">
        <v>1.0</v>
      </c>
    </row>
    <row r="1244">
      <c r="A1244" s="107">
        <v>1.0</v>
      </c>
      <c r="B1244" s="107">
        <v>0.0</v>
      </c>
    </row>
    <row r="1245">
      <c r="A1245" s="107">
        <v>1.0</v>
      </c>
      <c r="B1245" s="107">
        <v>0.0</v>
      </c>
    </row>
    <row r="1246">
      <c r="A1246" s="107">
        <v>1.0</v>
      </c>
      <c r="B1246" s="107">
        <v>1.0</v>
      </c>
    </row>
    <row r="1247">
      <c r="A1247" s="107">
        <v>1.0</v>
      </c>
      <c r="B1247" s="107">
        <v>1.0</v>
      </c>
    </row>
    <row r="1248">
      <c r="A1248" s="107">
        <v>1.0</v>
      </c>
      <c r="B1248" s="107">
        <v>1.0</v>
      </c>
    </row>
    <row r="1249">
      <c r="A1249" s="107">
        <v>0.0</v>
      </c>
      <c r="B1249" s="107">
        <v>0.0</v>
      </c>
    </row>
    <row r="1250">
      <c r="A1250" s="107">
        <v>1.0</v>
      </c>
      <c r="B1250" s="107">
        <v>1.0</v>
      </c>
    </row>
    <row r="1251">
      <c r="A1251" s="107">
        <v>1.0</v>
      </c>
      <c r="B1251" s="107">
        <v>1.0</v>
      </c>
    </row>
    <row r="1252">
      <c r="A1252" s="107">
        <v>1.0</v>
      </c>
      <c r="B1252" s="107">
        <v>0.0</v>
      </c>
    </row>
    <row r="1253">
      <c r="A1253" s="107">
        <v>1.0</v>
      </c>
      <c r="B1253" s="107">
        <v>1.0</v>
      </c>
    </row>
    <row r="1254">
      <c r="A1254" s="107">
        <v>1.0</v>
      </c>
      <c r="B1254" s="107">
        <v>1.0</v>
      </c>
    </row>
    <row r="1255">
      <c r="A1255" s="107">
        <v>1.0</v>
      </c>
      <c r="B1255" s="107">
        <v>0.0</v>
      </c>
    </row>
    <row r="1256">
      <c r="A1256" s="107">
        <v>1.0</v>
      </c>
      <c r="B1256" s="107">
        <v>1.0</v>
      </c>
    </row>
    <row r="1257">
      <c r="A1257" s="107">
        <v>1.0</v>
      </c>
      <c r="B1257" s="107">
        <v>1.0</v>
      </c>
    </row>
    <row r="1258">
      <c r="A1258" s="107">
        <v>1.0</v>
      </c>
      <c r="B1258" s="107">
        <v>0.0</v>
      </c>
    </row>
    <row r="1259">
      <c r="A1259" s="107">
        <v>1.0</v>
      </c>
      <c r="B1259" s="107">
        <v>1.0</v>
      </c>
    </row>
    <row r="1260">
      <c r="A1260" s="107">
        <v>1.0</v>
      </c>
      <c r="B1260" s="107">
        <v>1.0</v>
      </c>
    </row>
    <row r="1261">
      <c r="A1261" s="102">
        <v>1.0</v>
      </c>
      <c r="B1261" s="102">
        <v>1.0</v>
      </c>
    </row>
    <row r="1262">
      <c r="A1262" s="102">
        <v>1.0</v>
      </c>
      <c r="B1262" s="102">
        <v>1.0</v>
      </c>
    </row>
    <row r="1263">
      <c r="A1263" s="102">
        <v>0.0</v>
      </c>
      <c r="B1263" s="102">
        <v>0.0</v>
      </c>
    </row>
    <row r="1264">
      <c r="A1264" s="102">
        <v>1.0</v>
      </c>
      <c r="B1264" s="102">
        <v>1.0</v>
      </c>
    </row>
    <row r="1265">
      <c r="A1265" s="102">
        <v>1.0</v>
      </c>
      <c r="B1265" s="102">
        <v>1.0</v>
      </c>
    </row>
    <row r="1266">
      <c r="A1266" s="102">
        <v>1.0</v>
      </c>
      <c r="B1266" s="102">
        <v>1.0</v>
      </c>
    </row>
    <row r="1267">
      <c r="A1267" s="102">
        <v>1.0</v>
      </c>
      <c r="B1267" s="102">
        <v>1.0</v>
      </c>
    </row>
    <row r="1268">
      <c r="A1268" s="102">
        <v>1.0</v>
      </c>
      <c r="B1268" s="102">
        <v>1.0</v>
      </c>
    </row>
    <row r="1269">
      <c r="A1269" s="102">
        <v>1.0</v>
      </c>
      <c r="B1269" s="102">
        <v>1.0</v>
      </c>
    </row>
    <row r="1270">
      <c r="A1270" s="102">
        <v>0.0</v>
      </c>
      <c r="B1270" s="102">
        <v>0.0</v>
      </c>
    </row>
    <row r="1271">
      <c r="A1271" s="102">
        <v>1.0</v>
      </c>
      <c r="B1271" s="102">
        <v>1.0</v>
      </c>
    </row>
    <row r="1272">
      <c r="A1272" s="102">
        <v>1.0</v>
      </c>
      <c r="B1272" s="102">
        <v>1.0</v>
      </c>
    </row>
    <row r="1273">
      <c r="A1273" s="102">
        <v>1.0</v>
      </c>
      <c r="B1273" s="102">
        <v>1.0</v>
      </c>
    </row>
    <row r="1274">
      <c r="A1274" s="102">
        <v>1.0</v>
      </c>
      <c r="B1274" s="102">
        <v>1.0</v>
      </c>
    </row>
    <row r="1275">
      <c r="A1275" s="102">
        <v>1.0</v>
      </c>
      <c r="B1275" s="102">
        <v>1.0</v>
      </c>
    </row>
    <row r="1276">
      <c r="A1276" s="102">
        <v>1.0</v>
      </c>
      <c r="B1276" s="102">
        <v>1.0</v>
      </c>
    </row>
    <row r="1277">
      <c r="A1277" s="102">
        <v>0.0</v>
      </c>
      <c r="B1277" s="102">
        <v>0.0</v>
      </c>
    </row>
    <row r="1278">
      <c r="A1278" s="102">
        <v>1.0</v>
      </c>
      <c r="B1278" s="102">
        <v>1.0</v>
      </c>
    </row>
    <row r="1279">
      <c r="A1279" s="102">
        <v>1.0</v>
      </c>
      <c r="B1279" s="102">
        <v>1.0</v>
      </c>
    </row>
    <row r="1280">
      <c r="A1280" s="102">
        <v>1.0</v>
      </c>
      <c r="B1280" s="102">
        <v>1.0</v>
      </c>
    </row>
    <row r="1281">
      <c r="A1281" s="102">
        <v>1.0</v>
      </c>
      <c r="B1281" s="102">
        <v>1.0</v>
      </c>
    </row>
    <row r="1282">
      <c r="A1282" s="107">
        <v>0.0</v>
      </c>
      <c r="B1282" s="107">
        <v>0.0</v>
      </c>
    </row>
    <row r="1283">
      <c r="A1283" s="107">
        <v>0.0</v>
      </c>
      <c r="B1283" s="107">
        <v>0.0</v>
      </c>
    </row>
    <row r="1284">
      <c r="A1284" s="107">
        <v>1.0</v>
      </c>
      <c r="B1284" s="107">
        <v>1.0</v>
      </c>
    </row>
    <row r="1285">
      <c r="A1285" s="107">
        <v>1.0</v>
      </c>
      <c r="B1285" s="107">
        <v>1.0</v>
      </c>
    </row>
    <row r="1286">
      <c r="A1286" s="107">
        <v>1.0</v>
      </c>
      <c r="B1286" s="107">
        <v>1.0</v>
      </c>
    </row>
    <row r="1287">
      <c r="A1287" s="107">
        <v>0.0</v>
      </c>
      <c r="B1287" s="107">
        <v>0.0</v>
      </c>
    </row>
    <row r="1288">
      <c r="A1288" s="107">
        <v>1.0</v>
      </c>
      <c r="B1288" s="107">
        <v>1.0</v>
      </c>
    </row>
    <row r="1289">
      <c r="A1289" s="107">
        <v>0.0</v>
      </c>
      <c r="B1289" s="107">
        <v>0.0</v>
      </c>
    </row>
    <row r="1290">
      <c r="A1290" s="107">
        <v>0.0</v>
      </c>
      <c r="B1290" s="107">
        <v>0.0</v>
      </c>
    </row>
    <row r="1291">
      <c r="A1291" s="107">
        <v>0.0</v>
      </c>
      <c r="B1291" s="107">
        <v>0.0</v>
      </c>
    </row>
    <row r="1292">
      <c r="A1292" s="107">
        <v>1.0</v>
      </c>
      <c r="B1292" s="107">
        <v>1.0</v>
      </c>
    </row>
    <row r="1293">
      <c r="A1293" s="107">
        <v>1.0</v>
      </c>
      <c r="B1293" s="107">
        <v>1.0</v>
      </c>
    </row>
    <row r="1294">
      <c r="A1294" s="107">
        <v>0.0</v>
      </c>
      <c r="B1294" s="107">
        <v>0.0</v>
      </c>
    </row>
    <row r="1295">
      <c r="A1295" s="107">
        <v>1.0</v>
      </c>
      <c r="B1295" s="107">
        <v>1.0</v>
      </c>
    </row>
    <row r="1296">
      <c r="A1296" s="107">
        <v>0.0</v>
      </c>
      <c r="B1296" s="107">
        <v>0.0</v>
      </c>
    </row>
    <row r="1297">
      <c r="A1297" s="107">
        <v>0.0</v>
      </c>
      <c r="B1297" s="107">
        <v>0.0</v>
      </c>
    </row>
    <row r="1298">
      <c r="A1298" s="107">
        <v>1.0</v>
      </c>
      <c r="B1298" s="107">
        <v>1.0</v>
      </c>
    </row>
    <row r="1299">
      <c r="A1299" s="107">
        <v>1.0</v>
      </c>
      <c r="B1299" s="107">
        <v>1.0</v>
      </c>
    </row>
    <row r="1300">
      <c r="A1300" s="107">
        <v>1.0</v>
      </c>
      <c r="B1300" s="107">
        <v>0.0</v>
      </c>
    </row>
    <row r="1301">
      <c r="A1301" s="107">
        <v>1.0</v>
      </c>
      <c r="B1301" s="107">
        <v>0.0</v>
      </c>
    </row>
    <row r="1302">
      <c r="A1302" s="107">
        <v>1.0</v>
      </c>
      <c r="B1302" s="107">
        <v>1.0</v>
      </c>
    </row>
    <row r="1303">
      <c r="A1303" s="102">
        <v>1.0</v>
      </c>
      <c r="B1303" s="102">
        <v>1.0</v>
      </c>
    </row>
    <row r="1304">
      <c r="A1304" s="102">
        <v>1.0</v>
      </c>
      <c r="B1304" s="102">
        <v>1.0</v>
      </c>
    </row>
    <row r="1305">
      <c r="A1305" s="102">
        <v>1.0</v>
      </c>
      <c r="B1305" s="102">
        <v>1.0</v>
      </c>
    </row>
    <row r="1306">
      <c r="A1306" s="102">
        <v>1.0</v>
      </c>
      <c r="B1306" s="102">
        <v>1.0</v>
      </c>
    </row>
    <row r="1307">
      <c r="A1307" s="102">
        <v>1.0</v>
      </c>
      <c r="B1307" s="102">
        <v>1.0</v>
      </c>
    </row>
    <row r="1308">
      <c r="A1308" s="102">
        <v>1.0</v>
      </c>
      <c r="B1308" s="102">
        <v>1.0</v>
      </c>
    </row>
    <row r="1309">
      <c r="A1309" s="102">
        <v>1.0</v>
      </c>
      <c r="B1309" s="102">
        <v>1.0</v>
      </c>
    </row>
    <row r="1310">
      <c r="A1310" s="102">
        <v>1.0</v>
      </c>
      <c r="B1310" s="102">
        <v>1.0</v>
      </c>
    </row>
    <row r="1311">
      <c r="A1311" s="102">
        <v>1.0</v>
      </c>
      <c r="B1311" s="102">
        <v>1.0</v>
      </c>
    </row>
    <row r="1312">
      <c r="A1312" s="102">
        <v>1.0</v>
      </c>
      <c r="B1312" s="102">
        <v>1.0</v>
      </c>
    </row>
    <row r="1313">
      <c r="A1313" s="102">
        <v>1.0</v>
      </c>
      <c r="B1313" s="102">
        <v>1.0</v>
      </c>
    </row>
    <row r="1314">
      <c r="A1314" s="102">
        <v>1.0</v>
      </c>
      <c r="B1314" s="102">
        <v>1.0</v>
      </c>
    </row>
    <row r="1315">
      <c r="A1315" s="102">
        <v>1.0</v>
      </c>
      <c r="B1315" s="102">
        <v>1.0</v>
      </c>
    </row>
    <row r="1316">
      <c r="A1316" s="102">
        <v>1.0</v>
      </c>
      <c r="B1316" s="102">
        <v>1.0</v>
      </c>
    </row>
    <row r="1317">
      <c r="A1317" s="102">
        <v>1.0</v>
      </c>
      <c r="B1317" s="102">
        <v>1.0</v>
      </c>
    </row>
    <row r="1318">
      <c r="A1318" s="102">
        <v>1.0</v>
      </c>
      <c r="B1318" s="102">
        <v>1.0</v>
      </c>
    </row>
    <row r="1319">
      <c r="A1319" s="102">
        <v>1.0</v>
      </c>
      <c r="B1319" s="102">
        <v>1.0</v>
      </c>
    </row>
    <row r="1320">
      <c r="A1320" s="102">
        <v>1.0</v>
      </c>
      <c r="B1320" s="102">
        <v>1.0</v>
      </c>
    </row>
    <row r="1321">
      <c r="A1321" s="102">
        <v>1.0</v>
      </c>
      <c r="B1321" s="102">
        <v>1.0</v>
      </c>
    </row>
    <row r="1322">
      <c r="A1322" s="102">
        <v>1.0</v>
      </c>
      <c r="B1322" s="102">
        <v>1.0</v>
      </c>
    </row>
    <row r="1323">
      <c r="A1323" s="102">
        <v>1.0</v>
      </c>
      <c r="B1323" s="102">
        <v>1.0</v>
      </c>
    </row>
    <row r="1324">
      <c r="A1324" s="107">
        <v>1.0</v>
      </c>
      <c r="B1324" s="107">
        <v>1.0</v>
      </c>
    </row>
    <row r="1325">
      <c r="A1325" s="107">
        <v>1.0</v>
      </c>
      <c r="B1325" s="107">
        <v>1.0</v>
      </c>
    </row>
    <row r="1326">
      <c r="A1326" s="107">
        <v>0.0</v>
      </c>
      <c r="B1326" s="107">
        <v>0.0</v>
      </c>
    </row>
    <row r="1327">
      <c r="A1327" s="107">
        <v>1.0</v>
      </c>
      <c r="B1327" s="107">
        <v>1.0</v>
      </c>
    </row>
    <row r="1328">
      <c r="A1328" s="107">
        <v>1.0</v>
      </c>
      <c r="B1328" s="107">
        <v>1.0</v>
      </c>
    </row>
    <row r="1329">
      <c r="A1329" s="107">
        <v>1.0</v>
      </c>
      <c r="B1329" s="107">
        <v>1.0</v>
      </c>
    </row>
    <row r="1330">
      <c r="A1330" s="107">
        <v>1.0</v>
      </c>
      <c r="B1330" s="107">
        <v>1.0</v>
      </c>
    </row>
    <row r="1331">
      <c r="A1331" s="107">
        <v>0.0</v>
      </c>
      <c r="B1331" s="107">
        <v>0.0</v>
      </c>
    </row>
    <row r="1332">
      <c r="A1332" s="107">
        <v>0.0</v>
      </c>
      <c r="B1332" s="107">
        <v>0.0</v>
      </c>
    </row>
    <row r="1333">
      <c r="A1333" s="107">
        <v>0.0</v>
      </c>
      <c r="B1333" s="107">
        <v>0.0</v>
      </c>
    </row>
    <row r="1334">
      <c r="A1334" s="107">
        <v>1.0</v>
      </c>
      <c r="B1334" s="107">
        <v>1.0</v>
      </c>
    </row>
    <row r="1335">
      <c r="A1335" s="107">
        <v>1.0</v>
      </c>
      <c r="B1335" s="107">
        <v>1.0</v>
      </c>
    </row>
    <row r="1336">
      <c r="A1336" s="107">
        <v>0.0</v>
      </c>
      <c r="B1336" s="107">
        <v>0.0</v>
      </c>
    </row>
    <row r="1337">
      <c r="A1337" s="107">
        <v>1.0</v>
      </c>
      <c r="B1337" s="107">
        <v>1.0</v>
      </c>
    </row>
    <row r="1338">
      <c r="A1338" s="107">
        <v>1.0</v>
      </c>
      <c r="B1338" s="107">
        <v>1.0</v>
      </c>
    </row>
    <row r="1339">
      <c r="A1339" s="107">
        <v>1.0</v>
      </c>
      <c r="B1339" s="107">
        <v>1.0</v>
      </c>
    </row>
    <row r="1340">
      <c r="A1340" s="107">
        <v>0.0</v>
      </c>
      <c r="B1340" s="107">
        <v>0.0</v>
      </c>
    </row>
    <row r="1341">
      <c r="A1341" s="107">
        <v>1.0</v>
      </c>
      <c r="B1341" s="107">
        <v>1.0</v>
      </c>
    </row>
    <row r="1342">
      <c r="A1342" s="107">
        <v>1.0</v>
      </c>
      <c r="B1342" s="107">
        <v>1.0</v>
      </c>
    </row>
    <row r="1343">
      <c r="A1343" s="107">
        <v>1.0</v>
      </c>
      <c r="B1343" s="107">
        <v>1.0</v>
      </c>
    </row>
    <row r="1344">
      <c r="A1344" s="107">
        <v>1.0</v>
      </c>
      <c r="B1344" s="107">
        <v>1.0</v>
      </c>
    </row>
    <row r="1345">
      <c r="A1345" s="102">
        <v>1.0</v>
      </c>
      <c r="B1345" s="102">
        <v>1.0</v>
      </c>
    </row>
    <row r="1346">
      <c r="A1346" s="102">
        <v>1.0</v>
      </c>
      <c r="B1346" s="102">
        <v>1.0</v>
      </c>
    </row>
    <row r="1347">
      <c r="A1347" s="102">
        <v>1.0</v>
      </c>
      <c r="B1347" s="102">
        <v>1.0</v>
      </c>
    </row>
    <row r="1348">
      <c r="A1348" s="102">
        <v>1.0</v>
      </c>
      <c r="B1348" s="102">
        <v>1.0</v>
      </c>
    </row>
    <row r="1349">
      <c r="A1349" s="102">
        <v>1.0</v>
      </c>
      <c r="B1349" s="102">
        <v>1.0</v>
      </c>
    </row>
    <row r="1350">
      <c r="A1350" s="102">
        <v>1.0</v>
      </c>
      <c r="B1350" s="102">
        <v>1.0</v>
      </c>
    </row>
    <row r="1351">
      <c r="A1351" s="102">
        <v>1.0</v>
      </c>
      <c r="B1351" s="102">
        <v>1.0</v>
      </c>
    </row>
    <row r="1352">
      <c r="A1352" s="102">
        <v>1.0</v>
      </c>
      <c r="B1352" s="102">
        <v>1.0</v>
      </c>
    </row>
    <row r="1353">
      <c r="A1353" s="102">
        <v>1.0</v>
      </c>
      <c r="B1353" s="102">
        <v>1.0</v>
      </c>
    </row>
    <row r="1354">
      <c r="A1354" s="102">
        <v>1.0</v>
      </c>
      <c r="B1354" s="102">
        <v>1.0</v>
      </c>
    </row>
    <row r="1355">
      <c r="A1355" s="102">
        <v>1.0</v>
      </c>
      <c r="B1355" s="102">
        <v>1.0</v>
      </c>
    </row>
    <row r="1356">
      <c r="A1356" s="102">
        <v>1.0</v>
      </c>
      <c r="B1356" s="102">
        <v>1.0</v>
      </c>
    </row>
    <row r="1357">
      <c r="A1357" s="102">
        <v>1.0</v>
      </c>
      <c r="B1357" s="102">
        <v>1.0</v>
      </c>
    </row>
    <row r="1358">
      <c r="A1358" s="102">
        <v>1.0</v>
      </c>
      <c r="B1358" s="102">
        <v>1.0</v>
      </c>
    </row>
    <row r="1359">
      <c r="A1359" s="102">
        <v>1.0</v>
      </c>
      <c r="B1359" s="102">
        <v>1.0</v>
      </c>
    </row>
    <row r="1360">
      <c r="A1360" s="102">
        <v>1.0</v>
      </c>
      <c r="B1360" s="102">
        <v>1.0</v>
      </c>
    </row>
    <row r="1361">
      <c r="A1361" s="102">
        <v>1.0</v>
      </c>
      <c r="B1361" s="102">
        <v>1.0</v>
      </c>
    </row>
    <row r="1362">
      <c r="A1362" s="102">
        <v>1.0</v>
      </c>
      <c r="B1362" s="102">
        <v>1.0</v>
      </c>
    </row>
    <row r="1363">
      <c r="A1363" s="102">
        <v>1.0</v>
      </c>
      <c r="B1363" s="102">
        <v>1.0</v>
      </c>
    </row>
    <row r="1364">
      <c r="A1364" s="102">
        <v>1.0</v>
      </c>
      <c r="B1364" s="102">
        <v>1.0</v>
      </c>
    </row>
    <row r="1365">
      <c r="A1365" s="102">
        <v>1.0</v>
      </c>
      <c r="B1365" s="102">
        <v>1.0</v>
      </c>
    </row>
    <row r="1366">
      <c r="A1366" s="107">
        <v>1.0</v>
      </c>
      <c r="B1366" s="107">
        <v>1.0</v>
      </c>
    </row>
    <row r="1367">
      <c r="A1367" s="107">
        <v>1.0</v>
      </c>
      <c r="B1367" s="107">
        <v>1.0</v>
      </c>
    </row>
    <row r="1368">
      <c r="A1368" s="107">
        <v>1.0</v>
      </c>
      <c r="B1368" s="107">
        <v>1.0</v>
      </c>
    </row>
    <row r="1369">
      <c r="A1369" s="107">
        <v>1.0</v>
      </c>
      <c r="B1369" s="107">
        <v>1.0</v>
      </c>
    </row>
    <row r="1370">
      <c r="A1370" s="107">
        <v>1.0</v>
      </c>
      <c r="B1370" s="107">
        <v>1.0</v>
      </c>
    </row>
    <row r="1371">
      <c r="A1371" s="107">
        <v>1.0</v>
      </c>
      <c r="B1371" s="107">
        <v>1.0</v>
      </c>
    </row>
    <row r="1372">
      <c r="A1372" s="107">
        <v>1.0</v>
      </c>
      <c r="B1372" s="107">
        <v>1.0</v>
      </c>
    </row>
    <row r="1373">
      <c r="A1373" s="107">
        <v>1.0</v>
      </c>
      <c r="B1373" s="107">
        <v>1.0</v>
      </c>
    </row>
    <row r="1374">
      <c r="A1374" s="107">
        <v>1.0</v>
      </c>
      <c r="B1374" s="107">
        <v>1.0</v>
      </c>
    </row>
    <row r="1375">
      <c r="A1375" s="107">
        <v>1.0</v>
      </c>
      <c r="B1375" s="107">
        <v>1.0</v>
      </c>
    </row>
    <row r="1376">
      <c r="A1376" s="107">
        <v>1.0</v>
      </c>
      <c r="B1376" s="107">
        <v>1.0</v>
      </c>
    </row>
    <row r="1377">
      <c r="A1377" s="107">
        <v>1.0</v>
      </c>
      <c r="B1377" s="107">
        <v>1.0</v>
      </c>
    </row>
    <row r="1378">
      <c r="A1378" s="107">
        <v>1.0</v>
      </c>
      <c r="B1378" s="107">
        <v>1.0</v>
      </c>
    </row>
    <row r="1379">
      <c r="A1379" s="107">
        <v>1.0</v>
      </c>
      <c r="B1379" s="107">
        <v>1.0</v>
      </c>
    </row>
    <row r="1380">
      <c r="A1380" s="107">
        <v>1.0</v>
      </c>
      <c r="B1380" s="107">
        <v>1.0</v>
      </c>
    </row>
    <row r="1381">
      <c r="A1381" s="107">
        <v>1.0</v>
      </c>
      <c r="B1381" s="107">
        <v>1.0</v>
      </c>
    </row>
    <row r="1382">
      <c r="A1382" s="107">
        <v>1.0</v>
      </c>
      <c r="B1382" s="107">
        <v>1.0</v>
      </c>
    </row>
    <row r="1383">
      <c r="A1383" s="107">
        <v>1.0</v>
      </c>
      <c r="B1383" s="107">
        <v>1.0</v>
      </c>
    </row>
    <row r="1384">
      <c r="A1384" s="107">
        <v>1.0</v>
      </c>
      <c r="B1384" s="107">
        <v>1.0</v>
      </c>
    </row>
    <row r="1385">
      <c r="A1385" s="107">
        <v>1.0</v>
      </c>
      <c r="B1385" s="107">
        <v>1.0</v>
      </c>
    </row>
    <row r="1386">
      <c r="A1386" s="107">
        <v>1.0</v>
      </c>
      <c r="B1386" s="107">
        <v>1.0</v>
      </c>
    </row>
    <row r="1387">
      <c r="A1387" s="102">
        <v>1.0</v>
      </c>
      <c r="B1387" s="102">
        <v>1.0</v>
      </c>
    </row>
    <row r="1388">
      <c r="A1388" s="102">
        <v>1.0</v>
      </c>
      <c r="B1388" s="102">
        <v>1.0</v>
      </c>
    </row>
    <row r="1389">
      <c r="A1389" s="102">
        <v>1.0</v>
      </c>
      <c r="B1389" s="102">
        <v>1.0</v>
      </c>
    </row>
    <row r="1390">
      <c r="A1390" s="102">
        <v>1.0</v>
      </c>
      <c r="B1390" s="102">
        <v>1.0</v>
      </c>
    </row>
    <row r="1391">
      <c r="A1391" s="102">
        <v>1.0</v>
      </c>
      <c r="B1391" s="102">
        <v>1.0</v>
      </c>
    </row>
    <row r="1392">
      <c r="A1392" s="102">
        <v>1.0</v>
      </c>
      <c r="B1392" s="102">
        <v>1.0</v>
      </c>
    </row>
    <row r="1393">
      <c r="A1393" s="102">
        <v>1.0</v>
      </c>
      <c r="B1393" s="102">
        <v>1.0</v>
      </c>
    </row>
    <row r="1394">
      <c r="A1394" s="102">
        <v>1.0</v>
      </c>
      <c r="B1394" s="102">
        <v>1.0</v>
      </c>
    </row>
    <row r="1395">
      <c r="A1395" s="102">
        <v>1.0</v>
      </c>
      <c r="B1395" s="102">
        <v>1.0</v>
      </c>
    </row>
    <row r="1396">
      <c r="A1396" s="102">
        <v>1.0</v>
      </c>
      <c r="B1396" s="102">
        <v>1.0</v>
      </c>
    </row>
    <row r="1397">
      <c r="A1397" s="102">
        <v>1.0</v>
      </c>
      <c r="B1397" s="102">
        <v>1.0</v>
      </c>
    </row>
    <row r="1398">
      <c r="A1398" s="102">
        <v>1.0</v>
      </c>
      <c r="B1398" s="102">
        <v>1.0</v>
      </c>
    </row>
    <row r="1399">
      <c r="A1399" s="102">
        <v>1.0</v>
      </c>
      <c r="B1399" s="102">
        <v>1.0</v>
      </c>
    </row>
    <row r="1400">
      <c r="A1400" s="102">
        <v>1.0</v>
      </c>
      <c r="B1400" s="102">
        <v>1.0</v>
      </c>
    </row>
    <row r="1401">
      <c r="A1401" s="102">
        <v>1.0</v>
      </c>
      <c r="B1401" s="102">
        <v>1.0</v>
      </c>
    </row>
    <row r="1402">
      <c r="A1402" s="102">
        <v>1.0</v>
      </c>
      <c r="B1402" s="102">
        <v>1.0</v>
      </c>
    </row>
    <row r="1403">
      <c r="A1403" s="102">
        <v>1.0</v>
      </c>
      <c r="B1403" s="102">
        <v>1.0</v>
      </c>
    </row>
    <row r="1404">
      <c r="A1404" s="102">
        <v>1.0</v>
      </c>
      <c r="B1404" s="102">
        <v>1.0</v>
      </c>
    </row>
    <row r="1405">
      <c r="A1405" s="102">
        <v>1.0</v>
      </c>
      <c r="B1405" s="102">
        <v>1.0</v>
      </c>
    </row>
    <row r="1406">
      <c r="A1406" s="102">
        <v>1.0</v>
      </c>
      <c r="B1406" s="102">
        <v>1.0</v>
      </c>
    </row>
    <row r="1407">
      <c r="A1407" s="102">
        <v>1.0</v>
      </c>
      <c r="B1407" s="102">
        <v>1.0</v>
      </c>
    </row>
    <row r="1408">
      <c r="A1408" s="107">
        <v>1.0</v>
      </c>
      <c r="B1408" s="107">
        <v>1.0</v>
      </c>
    </row>
    <row r="1409">
      <c r="A1409" s="107">
        <v>1.0</v>
      </c>
      <c r="B1409" s="107">
        <v>1.0</v>
      </c>
    </row>
    <row r="1410">
      <c r="A1410" s="107">
        <v>1.0</v>
      </c>
      <c r="B1410" s="107">
        <v>1.0</v>
      </c>
    </row>
    <row r="1411">
      <c r="A1411" s="107">
        <v>1.0</v>
      </c>
      <c r="B1411" s="107">
        <v>1.0</v>
      </c>
    </row>
    <row r="1412">
      <c r="A1412" s="107">
        <v>1.0</v>
      </c>
      <c r="B1412" s="107">
        <v>1.0</v>
      </c>
    </row>
    <row r="1413">
      <c r="A1413" s="107">
        <v>1.0</v>
      </c>
      <c r="B1413" s="107">
        <v>1.0</v>
      </c>
    </row>
    <row r="1414">
      <c r="A1414" s="107">
        <v>1.0</v>
      </c>
      <c r="B1414" s="107">
        <v>1.0</v>
      </c>
    </row>
    <row r="1415">
      <c r="A1415" s="107">
        <v>1.0</v>
      </c>
      <c r="B1415" s="107">
        <v>1.0</v>
      </c>
    </row>
    <row r="1416">
      <c r="A1416" s="107">
        <v>1.0</v>
      </c>
      <c r="B1416" s="107">
        <v>1.0</v>
      </c>
    </row>
    <row r="1417">
      <c r="A1417" s="107">
        <v>1.0</v>
      </c>
      <c r="B1417" s="107">
        <v>1.0</v>
      </c>
    </row>
    <row r="1418">
      <c r="A1418" s="107">
        <v>1.0</v>
      </c>
      <c r="B1418" s="107">
        <v>1.0</v>
      </c>
    </row>
    <row r="1419">
      <c r="A1419" s="107">
        <v>1.0</v>
      </c>
      <c r="B1419" s="107">
        <v>1.0</v>
      </c>
    </row>
    <row r="1420">
      <c r="A1420" s="107">
        <v>1.0</v>
      </c>
      <c r="B1420" s="107">
        <v>1.0</v>
      </c>
    </row>
    <row r="1421">
      <c r="A1421" s="107">
        <v>1.0</v>
      </c>
      <c r="B1421" s="107">
        <v>1.0</v>
      </c>
    </row>
    <row r="1422">
      <c r="A1422" s="107">
        <v>1.0</v>
      </c>
      <c r="B1422" s="107">
        <v>1.0</v>
      </c>
    </row>
    <row r="1423">
      <c r="A1423" s="107">
        <v>1.0</v>
      </c>
      <c r="B1423" s="107">
        <v>1.0</v>
      </c>
    </row>
    <row r="1424">
      <c r="A1424" s="107">
        <v>1.0</v>
      </c>
      <c r="B1424" s="107">
        <v>1.0</v>
      </c>
    </row>
    <row r="1425">
      <c r="A1425" s="107">
        <v>1.0</v>
      </c>
      <c r="B1425" s="107">
        <v>1.0</v>
      </c>
    </row>
    <row r="1426">
      <c r="A1426" s="107">
        <v>1.0</v>
      </c>
      <c r="B1426" s="107">
        <v>1.0</v>
      </c>
    </row>
    <row r="1427">
      <c r="A1427" s="107">
        <v>1.0</v>
      </c>
      <c r="B1427" s="107">
        <v>1.0</v>
      </c>
    </row>
    <row r="1428">
      <c r="A1428" s="107">
        <v>1.0</v>
      </c>
      <c r="B1428" s="107">
        <v>1.0</v>
      </c>
    </row>
    <row r="1429">
      <c r="A1429" s="109">
        <v>1.0</v>
      </c>
      <c r="B1429" s="109">
        <v>1.0</v>
      </c>
    </row>
    <row r="1430">
      <c r="A1430" s="109">
        <v>1.0</v>
      </c>
      <c r="B1430" s="109">
        <v>1.0</v>
      </c>
    </row>
    <row r="1431">
      <c r="A1431" s="109">
        <v>1.0</v>
      </c>
      <c r="B1431" s="109">
        <v>1.0</v>
      </c>
    </row>
    <row r="1432">
      <c r="A1432" s="109">
        <v>1.0</v>
      </c>
      <c r="B1432" s="109">
        <v>1.0</v>
      </c>
    </row>
    <row r="1433">
      <c r="A1433" s="109">
        <v>1.0</v>
      </c>
      <c r="B1433" s="109">
        <v>1.0</v>
      </c>
    </row>
    <row r="1434">
      <c r="A1434" s="109">
        <v>1.0</v>
      </c>
      <c r="B1434" s="109">
        <v>1.0</v>
      </c>
    </row>
    <row r="1435">
      <c r="A1435" s="109">
        <v>1.0</v>
      </c>
      <c r="B1435" s="109">
        <v>1.0</v>
      </c>
    </row>
    <row r="1436">
      <c r="A1436" s="109">
        <v>1.0</v>
      </c>
      <c r="B1436" s="109">
        <v>1.0</v>
      </c>
    </row>
    <row r="1437">
      <c r="A1437" s="109">
        <v>1.0</v>
      </c>
      <c r="B1437" s="109">
        <v>1.0</v>
      </c>
    </row>
    <row r="1438">
      <c r="A1438" s="109">
        <v>1.0</v>
      </c>
      <c r="B1438" s="109">
        <v>1.0</v>
      </c>
    </row>
    <row r="1439">
      <c r="A1439" s="109">
        <v>1.0</v>
      </c>
      <c r="B1439" s="109">
        <v>1.0</v>
      </c>
    </row>
    <row r="1440">
      <c r="A1440" s="109">
        <v>1.0</v>
      </c>
      <c r="B1440" s="109">
        <v>1.0</v>
      </c>
    </row>
    <row r="1441">
      <c r="A1441" s="109">
        <v>1.0</v>
      </c>
      <c r="B1441" s="109">
        <v>1.0</v>
      </c>
    </row>
    <row r="1442">
      <c r="A1442" s="109">
        <v>1.0</v>
      </c>
      <c r="B1442" s="109">
        <v>1.0</v>
      </c>
    </row>
    <row r="1443">
      <c r="A1443" s="109">
        <v>1.0</v>
      </c>
      <c r="B1443" s="109">
        <v>1.0</v>
      </c>
    </row>
    <row r="1444">
      <c r="A1444" s="109">
        <v>1.0</v>
      </c>
      <c r="B1444" s="109">
        <v>1.0</v>
      </c>
    </row>
    <row r="1445">
      <c r="A1445" s="109">
        <v>1.0</v>
      </c>
      <c r="B1445" s="109">
        <v>1.0</v>
      </c>
    </row>
    <row r="1446">
      <c r="A1446" s="109">
        <v>1.0</v>
      </c>
      <c r="B1446" s="109">
        <v>1.0</v>
      </c>
    </row>
    <row r="1447">
      <c r="A1447" s="109">
        <v>1.0</v>
      </c>
      <c r="B1447" s="109">
        <v>1.0</v>
      </c>
    </row>
    <row r="1448">
      <c r="A1448" s="109">
        <v>1.0</v>
      </c>
      <c r="B1448" s="109">
        <v>1.0</v>
      </c>
    </row>
    <row r="1449">
      <c r="A1449" s="109">
        <v>1.0</v>
      </c>
      <c r="B1449" s="109">
        <v>1.0</v>
      </c>
    </row>
    <row r="1450">
      <c r="A1450" s="107">
        <v>1.0</v>
      </c>
      <c r="B1450" s="107">
        <v>1.0</v>
      </c>
    </row>
    <row r="1451">
      <c r="A1451" s="107">
        <v>1.0</v>
      </c>
      <c r="B1451" s="107">
        <v>1.0</v>
      </c>
    </row>
    <row r="1452">
      <c r="A1452" s="107">
        <v>0.0</v>
      </c>
      <c r="B1452" s="107">
        <v>0.0</v>
      </c>
    </row>
    <row r="1453">
      <c r="A1453" s="107">
        <v>1.0</v>
      </c>
      <c r="B1453" s="107">
        <v>1.0</v>
      </c>
    </row>
    <row r="1454">
      <c r="A1454" s="107">
        <v>1.0</v>
      </c>
      <c r="B1454" s="107">
        <v>1.0</v>
      </c>
    </row>
    <row r="1455">
      <c r="A1455" s="107">
        <v>1.0</v>
      </c>
      <c r="B1455" s="107">
        <v>1.0</v>
      </c>
    </row>
    <row r="1456">
      <c r="A1456" s="107">
        <v>1.0</v>
      </c>
      <c r="B1456" s="107">
        <v>1.0</v>
      </c>
    </row>
    <row r="1457">
      <c r="A1457" s="107">
        <v>1.0</v>
      </c>
      <c r="B1457" s="107">
        <v>1.0</v>
      </c>
    </row>
    <row r="1458">
      <c r="A1458" s="107">
        <v>1.0</v>
      </c>
      <c r="B1458" s="107">
        <v>1.0</v>
      </c>
    </row>
    <row r="1459">
      <c r="A1459" s="107">
        <v>1.0</v>
      </c>
      <c r="B1459" s="107">
        <v>1.0</v>
      </c>
    </row>
    <row r="1460">
      <c r="A1460" s="107">
        <v>1.0</v>
      </c>
      <c r="B1460" s="107">
        <v>1.0</v>
      </c>
    </row>
    <row r="1461">
      <c r="A1461" s="107">
        <v>1.0</v>
      </c>
      <c r="B1461" s="107">
        <v>1.0</v>
      </c>
    </row>
    <row r="1462">
      <c r="A1462" s="107">
        <v>1.0</v>
      </c>
      <c r="B1462" s="107">
        <v>1.0</v>
      </c>
    </row>
    <row r="1463">
      <c r="A1463" s="107">
        <v>1.0</v>
      </c>
      <c r="B1463" s="107">
        <v>1.0</v>
      </c>
    </row>
    <row r="1464">
      <c r="A1464" s="107">
        <v>1.0</v>
      </c>
      <c r="B1464" s="107">
        <v>1.0</v>
      </c>
    </row>
    <row r="1465">
      <c r="A1465" s="107">
        <v>1.0</v>
      </c>
      <c r="B1465" s="107">
        <v>1.0</v>
      </c>
    </row>
    <row r="1466">
      <c r="A1466" s="107">
        <v>0.0</v>
      </c>
      <c r="B1466" s="107">
        <v>0.0</v>
      </c>
    </row>
    <row r="1467">
      <c r="A1467" s="107">
        <v>1.0</v>
      </c>
      <c r="B1467" s="107">
        <v>1.0</v>
      </c>
    </row>
    <row r="1468">
      <c r="A1468" s="107">
        <v>1.0</v>
      </c>
      <c r="B1468" s="107">
        <v>1.0</v>
      </c>
    </row>
    <row r="1469">
      <c r="A1469" s="107">
        <v>1.0</v>
      </c>
      <c r="B1469" s="107">
        <v>1.0</v>
      </c>
    </row>
    <row r="1470">
      <c r="A1470" s="107">
        <v>1.0</v>
      </c>
      <c r="B1470" s="107">
        <v>1.0</v>
      </c>
    </row>
    <row r="1471">
      <c r="A1471" s="102">
        <v>1.0</v>
      </c>
      <c r="B1471" s="102">
        <v>0.0</v>
      </c>
    </row>
    <row r="1472">
      <c r="A1472" s="102">
        <v>1.0</v>
      </c>
      <c r="B1472" s="102">
        <v>0.0</v>
      </c>
    </row>
    <row r="1473">
      <c r="A1473" s="102">
        <v>0.0</v>
      </c>
      <c r="B1473" s="102">
        <v>0.0</v>
      </c>
    </row>
    <row r="1474">
      <c r="A1474" s="102">
        <v>1.0</v>
      </c>
      <c r="B1474" s="102">
        <v>1.0</v>
      </c>
    </row>
    <row r="1475">
      <c r="A1475" s="102">
        <v>1.0</v>
      </c>
      <c r="B1475" s="102">
        <v>0.0</v>
      </c>
    </row>
    <row r="1476">
      <c r="A1476" s="102">
        <v>1.0</v>
      </c>
      <c r="B1476" s="102">
        <v>0.0</v>
      </c>
    </row>
    <row r="1477">
      <c r="A1477" s="102">
        <v>1.0</v>
      </c>
      <c r="B1477" s="102">
        <v>1.0</v>
      </c>
    </row>
    <row r="1478">
      <c r="A1478" s="102">
        <v>1.0</v>
      </c>
      <c r="B1478" s="102">
        <v>0.0</v>
      </c>
    </row>
    <row r="1479">
      <c r="A1479" s="102">
        <v>1.0</v>
      </c>
      <c r="B1479" s="102">
        <v>0.0</v>
      </c>
    </row>
    <row r="1480">
      <c r="A1480" s="102">
        <v>0.0</v>
      </c>
      <c r="B1480" s="102">
        <v>0.0</v>
      </c>
    </row>
    <row r="1481">
      <c r="A1481" s="102">
        <v>1.0</v>
      </c>
      <c r="B1481" s="102">
        <v>1.0</v>
      </c>
    </row>
    <row r="1482">
      <c r="A1482" s="102">
        <v>1.0</v>
      </c>
      <c r="B1482" s="102">
        <v>0.0</v>
      </c>
    </row>
    <row r="1483">
      <c r="A1483" s="102">
        <v>1.0</v>
      </c>
      <c r="B1483" s="102">
        <v>0.0</v>
      </c>
    </row>
    <row r="1484">
      <c r="A1484" s="102">
        <v>1.0</v>
      </c>
      <c r="B1484" s="102">
        <v>1.0</v>
      </c>
    </row>
    <row r="1485">
      <c r="A1485" s="102">
        <v>1.0</v>
      </c>
      <c r="B1485" s="102">
        <v>0.0</v>
      </c>
    </row>
    <row r="1486">
      <c r="A1486" s="102">
        <v>1.0</v>
      </c>
      <c r="B1486" s="102">
        <v>0.0</v>
      </c>
    </row>
    <row r="1487">
      <c r="A1487" s="102">
        <v>0.0</v>
      </c>
      <c r="B1487" s="102">
        <v>0.0</v>
      </c>
    </row>
    <row r="1488">
      <c r="A1488" s="102">
        <v>1.0</v>
      </c>
      <c r="B1488" s="102">
        <v>1.0</v>
      </c>
    </row>
    <row r="1489">
      <c r="A1489" s="102">
        <v>1.0</v>
      </c>
      <c r="B1489" s="102">
        <v>0.0</v>
      </c>
    </row>
    <row r="1490">
      <c r="A1490" s="102">
        <v>1.0</v>
      </c>
      <c r="B1490" s="102">
        <v>0.0</v>
      </c>
    </row>
    <row r="1491">
      <c r="A1491" s="102">
        <v>1.0</v>
      </c>
      <c r="B1491" s="102">
        <v>1.0</v>
      </c>
    </row>
    <row r="1492">
      <c r="A1492" s="107">
        <v>1.0</v>
      </c>
      <c r="B1492" s="107">
        <v>1.0</v>
      </c>
    </row>
    <row r="1493">
      <c r="A1493" s="107">
        <v>1.0</v>
      </c>
      <c r="B1493" s="107">
        <v>1.0</v>
      </c>
    </row>
    <row r="1494">
      <c r="A1494" s="107">
        <v>1.0</v>
      </c>
      <c r="B1494" s="107">
        <v>1.0</v>
      </c>
    </row>
    <row r="1495">
      <c r="A1495" s="107">
        <v>1.0</v>
      </c>
      <c r="B1495" s="107">
        <v>1.0</v>
      </c>
    </row>
    <row r="1496">
      <c r="A1496" s="107">
        <v>1.0</v>
      </c>
      <c r="B1496" s="107">
        <v>1.0</v>
      </c>
    </row>
    <row r="1497">
      <c r="A1497" s="107">
        <v>1.0</v>
      </c>
      <c r="B1497" s="107">
        <v>1.0</v>
      </c>
    </row>
    <row r="1498">
      <c r="A1498" s="107">
        <v>1.0</v>
      </c>
      <c r="B1498" s="107">
        <v>1.0</v>
      </c>
    </row>
    <row r="1499">
      <c r="A1499" s="107">
        <v>1.0</v>
      </c>
      <c r="B1499" s="107">
        <v>1.0</v>
      </c>
    </row>
    <row r="1500">
      <c r="A1500" s="107">
        <v>1.0</v>
      </c>
      <c r="B1500" s="107">
        <v>1.0</v>
      </c>
    </row>
    <row r="1501">
      <c r="A1501" s="107">
        <v>0.0</v>
      </c>
      <c r="B1501" s="107">
        <v>0.0</v>
      </c>
    </row>
    <row r="1502">
      <c r="A1502" s="107">
        <v>1.0</v>
      </c>
      <c r="B1502" s="107">
        <v>1.0</v>
      </c>
    </row>
    <row r="1503">
      <c r="A1503" s="107">
        <v>1.0</v>
      </c>
      <c r="B1503" s="107">
        <v>1.0</v>
      </c>
    </row>
    <row r="1504">
      <c r="A1504" s="107">
        <v>1.0</v>
      </c>
      <c r="B1504" s="107">
        <v>1.0</v>
      </c>
    </row>
    <row r="1505">
      <c r="A1505" s="107">
        <v>1.0</v>
      </c>
      <c r="B1505" s="107">
        <v>1.0</v>
      </c>
    </row>
    <row r="1506">
      <c r="A1506" s="107">
        <v>1.0</v>
      </c>
      <c r="B1506" s="107">
        <v>1.0</v>
      </c>
    </row>
    <row r="1507">
      <c r="A1507" s="107">
        <v>1.0</v>
      </c>
      <c r="B1507" s="107">
        <v>1.0</v>
      </c>
    </row>
    <row r="1508">
      <c r="A1508" s="107">
        <v>1.0</v>
      </c>
      <c r="B1508" s="107">
        <v>1.0</v>
      </c>
    </row>
    <row r="1509">
      <c r="A1509" s="107">
        <v>1.0</v>
      </c>
      <c r="B1509" s="107">
        <v>1.0</v>
      </c>
    </row>
    <row r="1510">
      <c r="A1510" s="107">
        <v>1.0</v>
      </c>
      <c r="B1510" s="107">
        <v>1.0</v>
      </c>
    </row>
    <row r="1511">
      <c r="A1511" s="107">
        <v>1.0</v>
      </c>
      <c r="B1511" s="107">
        <v>1.0</v>
      </c>
    </row>
    <row r="1512">
      <c r="A1512" s="107">
        <v>1.0</v>
      </c>
      <c r="B1512" s="107">
        <v>1.0</v>
      </c>
    </row>
    <row r="1513">
      <c r="A1513" s="102">
        <v>1.0</v>
      </c>
      <c r="B1513" s="107">
        <v>1.0</v>
      </c>
    </row>
    <row r="1514">
      <c r="A1514" s="102">
        <v>1.0</v>
      </c>
      <c r="B1514" s="107">
        <v>1.0</v>
      </c>
    </row>
    <row r="1515">
      <c r="A1515" s="102">
        <v>1.0</v>
      </c>
      <c r="B1515" s="107">
        <v>1.0</v>
      </c>
    </row>
    <row r="1516">
      <c r="A1516" s="102">
        <v>1.0</v>
      </c>
      <c r="B1516" s="107">
        <v>1.0</v>
      </c>
    </row>
    <row r="1517">
      <c r="A1517" s="102">
        <v>1.0</v>
      </c>
      <c r="B1517" s="107">
        <v>0.0</v>
      </c>
    </row>
    <row r="1518">
      <c r="A1518" s="102">
        <v>1.0</v>
      </c>
      <c r="B1518" s="107">
        <v>1.0</v>
      </c>
    </row>
    <row r="1519">
      <c r="A1519" s="102">
        <v>1.0</v>
      </c>
      <c r="B1519" s="107">
        <v>1.0</v>
      </c>
    </row>
    <row r="1520">
      <c r="A1520" s="102">
        <v>1.0</v>
      </c>
      <c r="B1520" s="107">
        <v>1.0</v>
      </c>
    </row>
    <row r="1521">
      <c r="A1521" s="102">
        <v>1.0</v>
      </c>
      <c r="B1521" s="107">
        <v>1.0</v>
      </c>
    </row>
    <row r="1522">
      <c r="A1522" s="102">
        <v>1.0</v>
      </c>
      <c r="B1522" s="107">
        <v>1.0</v>
      </c>
    </row>
    <row r="1523">
      <c r="A1523" s="102">
        <v>1.0</v>
      </c>
      <c r="B1523" s="107">
        <v>1.0</v>
      </c>
    </row>
    <row r="1524">
      <c r="A1524" s="102">
        <v>1.0</v>
      </c>
      <c r="B1524" s="107">
        <v>1.0</v>
      </c>
    </row>
    <row r="1525">
      <c r="A1525" s="102">
        <v>1.0</v>
      </c>
      <c r="B1525" s="107">
        <v>1.0</v>
      </c>
    </row>
    <row r="1526">
      <c r="A1526" s="102">
        <v>1.0</v>
      </c>
      <c r="B1526" s="107">
        <v>1.0</v>
      </c>
    </row>
    <row r="1527">
      <c r="A1527" s="102">
        <v>1.0</v>
      </c>
      <c r="B1527" s="107">
        <v>1.0</v>
      </c>
    </row>
    <row r="1528">
      <c r="A1528" s="102">
        <v>1.0</v>
      </c>
      <c r="B1528" s="107">
        <v>1.0</v>
      </c>
    </row>
    <row r="1529">
      <c r="A1529" s="102">
        <v>1.0</v>
      </c>
      <c r="B1529" s="107">
        <v>1.0</v>
      </c>
    </row>
    <row r="1530">
      <c r="A1530" s="102">
        <v>1.0</v>
      </c>
      <c r="B1530" s="107">
        <v>1.0</v>
      </c>
    </row>
    <row r="1531">
      <c r="A1531" s="102">
        <v>1.0</v>
      </c>
      <c r="B1531" s="107">
        <v>0.0</v>
      </c>
    </row>
    <row r="1532">
      <c r="A1532" s="102">
        <v>1.0</v>
      </c>
      <c r="B1532" s="107">
        <v>1.0</v>
      </c>
    </row>
    <row r="1533">
      <c r="A1533" s="102">
        <v>1.0</v>
      </c>
      <c r="B1533" s="107">
        <v>1.0</v>
      </c>
    </row>
    <row r="1534">
      <c r="A1534" s="107">
        <v>0.0</v>
      </c>
      <c r="B1534" s="107">
        <v>0.0</v>
      </c>
    </row>
    <row r="1535">
      <c r="A1535" s="107">
        <v>0.0</v>
      </c>
      <c r="B1535" s="107">
        <v>0.0</v>
      </c>
    </row>
    <row r="1536">
      <c r="A1536" s="107">
        <v>1.0</v>
      </c>
      <c r="B1536" s="107">
        <v>1.0</v>
      </c>
    </row>
    <row r="1537">
      <c r="A1537" s="107">
        <v>1.0</v>
      </c>
      <c r="B1537" s="107">
        <v>1.0</v>
      </c>
    </row>
    <row r="1538">
      <c r="A1538" s="107">
        <v>1.0</v>
      </c>
      <c r="B1538" s="107">
        <v>1.0</v>
      </c>
    </row>
    <row r="1539">
      <c r="A1539" s="107">
        <v>0.0</v>
      </c>
      <c r="B1539" s="107">
        <v>0.0</v>
      </c>
    </row>
    <row r="1540">
      <c r="A1540" s="107">
        <v>1.0</v>
      </c>
      <c r="B1540" s="107">
        <v>1.0</v>
      </c>
    </row>
    <row r="1541">
      <c r="A1541" s="107">
        <v>1.0</v>
      </c>
      <c r="B1541" s="107">
        <v>1.0</v>
      </c>
    </row>
    <row r="1542">
      <c r="A1542" s="107">
        <v>1.0</v>
      </c>
      <c r="B1542" s="107">
        <v>1.0</v>
      </c>
    </row>
    <row r="1543">
      <c r="A1543" s="107">
        <v>0.0</v>
      </c>
      <c r="B1543" s="107">
        <v>1.0</v>
      </c>
    </row>
    <row r="1544">
      <c r="A1544" s="107">
        <v>1.0</v>
      </c>
      <c r="B1544" s="107">
        <v>1.0</v>
      </c>
    </row>
    <row r="1545">
      <c r="A1545" s="107">
        <v>1.0</v>
      </c>
      <c r="B1545" s="107">
        <v>1.0</v>
      </c>
    </row>
    <row r="1546">
      <c r="A1546" s="107">
        <v>1.0</v>
      </c>
      <c r="B1546" s="107">
        <v>1.0</v>
      </c>
    </row>
    <row r="1547">
      <c r="A1547" s="107">
        <v>1.0</v>
      </c>
      <c r="B1547" s="107">
        <v>1.0</v>
      </c>
    </row>
    <row r="1548">
      <c r="A1548" s="107">
        <v>0.0</v>
      </c>
      <c r="B1548" s="107">
        <v>0.0</v>
      </c>
    </row>
    <row r="1549">
      <c r="A1549" s="107">
        <v>0.0</v>
      </c>
      <c r="B1549" s="107">
        <v>0.0</v>
      </c>
    </row>
    <row r="1550">
      <c r="A1550" s="107">
        <v>1.0</v>
      </c>
      <c r="B1550" s="107">
        <v>1.0</v>
      </c>
    </row>
    <row r="1551">
      <c r="A1551" s="107">
        <v>1.0</v>
      </c>
      <c r="B1551" s="107">
        <v>1.0</v>
      </c>
    </row>
    <row r="1552">
      <c r="A1552" s="107">
        <v>1.0</v>
      </c>
      <c r="B1552" s="107">
        <v>0.0</v>
      </c>
    </row>
    <row r="1553">
      <c r="A1553" s="107">
        <v>0.0</v>
      </c>
      <c r="B1553" s="107">
        <v>0.0</v>
      </c>
    </row>
    <row r="1554">
      <c r="A1554" s="107">
        <v>1.0</v>
      </c>
      <c r="B1554" s="107">
        <v>1.0</v>
      </c>
    </row>
    <row r="1555">
      <c r="A1555" s="102">
        <v>0.0</v>
      </c>
      <c r="B1555" s="107">
        <v>0.0</v>
      </c>
    </row>
    <row r="1556">
      <c r="A1556" s="102">
        <v>0.0</v>
      </c>
      <c r="B1556" s="107">
        <v>0.0</v>
      </c>
    </row>
    <row r="1557">
      <c r="A1557" s="102">
        <v>0.0</v>
      </c>
      <c r="B1557" s="107">
        <v>0.0</v>
      </c>
    </row>
    <row r="1558">
      <c r="A1558" s="102">
        <v>1.0</v>
      </c>
      <c r="B1558" s="107">
        <v>1.0</v>
      </c>
    </row>
    <row r="1559">
      <c r="A1559" s="102">
        <v>1.0</v>
      </c>
      <c r="B1559" s="107">
        <v>0.0</v>
      </c>
    </row>
    <row r="1560">
      <c r="A1560" s="102">
        <v>0.0</v>
      </c>
      <c r="B1560" s="107">
        <v>0.0</v>
      </c>
    </row>
    <row r="1561">
      <c r="A1561" s="102">
        <v>1.0</v>
      </c>
      <c r="B1561" s="107">
        <v>1.0</v>
      </c>
    </row>
    <row r="1562">
      <c r="A1562" s="102">
        <v>0.0</v>
      </c>
      <c r="B1562" s="107">
        <v>1.0</v>
      </c>
    </row>
    <row r="1563">
      <c r="A1563" s="102">
        <v>1.0</v>
      </c>
      <c r="B1563" s="107">
        <v>1.0</v>
      </c>
    </row>
    <row r="1564">
      <c r="A1564" s="102">
        <v>0.0</v>
      </c>
      <c r="B1564" s="107">
        <v>0.0</v>
      </c>
    </row>
    <row r="1565">
      <c r="A1565" s="102">
        <v>1.0</v>
      </c>
      <c r="B1565" s="107">
        <v>1.0</v>
      </c>
    </row>
    <row r="1566">
      <c r="A1566" s="102">
        <v>1.0</v>
      </c>
      <c r="B1566" s="107">
        <v>1.0</v>
      </c>
    </row>
    <row r="1567">
      <c r="A1567" s="102">
        <v>1.0</v>
      </c>
      <c r="B1567" s="107">
        <v>1.0</v>
      </c>
    </row>
    <row r="1568">
      <c r="A1568" s="102">
        <v>1.0</v>
      </c>
      <c r="B1568" s="107">
        <v>1.0</v>
      </c>
    </row>
    <row r="1569">
      <c r="A1569" s="102">
        <v>1.0</v>
      </c>
      <c r="B1569" s="107">
        <v>1.0</v>
      </c>
    </row>
    <row r="1570">
      <c r="A1570" s="102">
        <v>1.0</v>
      </c>
      <c r="B1570" s="107">
        <v>1.0</v>
      </c>
    </row>
    <row r="1571">
      <c r="A1571" s="102">
        <v>1.0</v>
      </c>
      <c r="B1571" s="107">
        <v>1.0</v>
      </c>
    </row>
    <row r="1572">
      <c r="A1572" s="102">
        <v>1.0</v>
      </c>
      <c r="B1572" s="107">
        <v>1.0</v>
      </c>
    </row>
    <row r="1573">
      <c r="A1573" s="102">
        <v>1.0</v>
      </c>
      <c r="B1573" s="107">
        <v>1.0</v>
      </c>
    </row>
    <row r="1574">
      <c r="A1574" s="102">
        <v>1.0</v>
      </c>
      <c r="B1574" s="107">
        <v>1.0</v>
      </c>
    </row>
    <row r="1575">
      <c r="A1575" s="102">
        <v>1.0</v>
      </c>
      <c r="B1575" s="107">
        <v>1.0</v>
      </c>
    </row>
    <row r="1576">
      <c r="A1576" s="107">
        <v>0.0</v>
      </c>
      <c r="B1576" s="107">
        <v>0.0</v>
      </c>
    </row>
    <row r="1577">
      <c r="A1577" s="107">
        <v>0.0</v>
      </c>
      <c r="B1577" s="107">
        <v>0.0</v>
      </c>
    </row>
    <row r="1578">
      <c r="A1578" s="107">
        <v>0.0</v>
      </c>
      <c r="B1578" s="107">
        <v>0.0</v>
      </c>
    </row>
    <row r="1579">
      <c r="A1579" s="107">
        <v>1.0</v>
      </c>
      <c r="B1579" s="107">
        <v>1.0</v>
      </c>
    </row>
    <row r="1580">
      <c r="A1580" s="107">
        <v>1.0</v>
      </c>
      <c r="B1580" s="107">
        <v>0.0</v>
      </c>
    </row>
    <row r="1581">
      <c r="A1581" s="107">
        <v>0.0</v>
      </c>
      <c r="B1581" s="107">
        <v>0.0</v>
      </c>
    </row>
    <row r="1582">
      <c r="A1582" s="107">
        <v>1.0</v>
      </c>
      <c r="B1582" s="107">
        <v>1.0</v>
      </c>
    </row>
    <row r="1583">
      <c r="A1583" s="107">
        <v>1.0</v>
      </c>
      <c r="B1583" s="107">
        <v>1.0</v>
      </c>
    </row>
    <row r="1584">
      <c r="A1584" s="107">
        <v>1.0</v>
      </c>
      <c r="B1584" s="107">
        <v>1.0</v>
      </c>
    </row>
    <row r="1585">
      <c r="A1585" s="107">
        <v>0.0</v>
      </c>
      <c r="B1585" s="107">
        <v>0.0</v>
      </c>
    </row>
    <row r="1586">
      <c r="A1586" s="107">
        <v>1.0</v>
      </c>
      <c r="B1586" s="107">
        <v>1.0</v>
      </c>
    </row>
    <row r="1587">
      <c r="A1587" s="107">
        <v>1.0</v>
      </c>
      <c r="B1587" s="107">
        <v>0.0</v>
      </c>
    </row>
    <row r="1588">
      <c r="A1588" s="107">
        <v>1.0</v>
      </c>
      <c r="B1588" s="107">
        <v>1.0</v>
      </c>
    </row>
    <row r="1589">
      <c r="A1589" s="107">
        <v>1.0</v>
      </c>
      <c r="B1589" s="107">
        <v>1.0</v>
      </c>
    </row>
    <row r="1590">
      <c r="A1590" s="107">
        <v>1.0</v>
      </c>
      <c r="B1590" s="107">
        <v>1.0</v>
      </c>
    </row>
    <row r="1591">
      <c r="A1591" s="107">
        <v>1.0</v>
      </c>
      <c r="B1591" s="107">
        <v>1.0</v>
      </c>
    </row>
    <row r="1592">
      <c r="A1592" s="107">
        <v>1.0</v>
      </c>
      <c r="B1592" s="107">
        <v>1.0</v>
      </c>
    </row>
    <row r="1593">
      <c r="A1593" s="107">
        <v>1.0</v>
      </c>
      <c r="B1593" s="107">
        <v>1.0</v>
      </c>
    </row>
    <row r="1594">
      <c r="A1594" s="107">
        <v>1.0</v>
      </c>
      <c r="B1594" s="107">
        <v>0.0</v>
      </c>
    </row>
    <row r="1595">
      <c r="A1595" s="107">
        <v>1.0</v>
      </c>
      <c r="B1595" s="107">
        <v>1.0</v>
      </c>
    </row>
    <row r="1596">
      <c r="A1596" s="107">
        <v>1.0</v>
      </c>
      <c r="B1596" s="107">
        <v>1.0</v>
      </c>
    </row>
    <row r="1597">
      <c r="A1597" s="102">
        <v>0.0</v>
      </c>
      <c r="B1597" s="107">
        <v>0.0</v>
      </c>
    </row>
    <row r="1598">
      <c r="A1598" s="102">
        <v>0.0</v>
      </c>
      <c r="B1598" s="107">
        <v>0.0</v>
      </c>
    </row>
    <row r="1599">
      <c r="A1599" s="102">
        <v>0.0</v>
      </c>
      <c r="B1599" s="107">
        <v>0.0</v>
      </c>
    </row>
    <row r="1600">
      <c r="A1600" s="102">
        <v>1.0</v>
      </c>
      <c r="B1600" s="107">
        <v>1.0</v>
      </c>
    </row>
    <row r="1601">
      <c r="A1601" s="102">
        <v>1.0</v>
      </c>
      <c r="B1601" s="107">
        <v>0.0</v>
      </c>
    </row>
    <row r="1602">
      <c r="A1602" s="102">
        <v>0.0</v>
      </c>
      <c r="B1602" s="107">
        <v>0.0</v>
      </c>
    </row>
    <row r="1603">
      <c r="A1603" s="102">
        <v>1.0</v>
      </c>
      <c r="B1603" s="107">
        <v>1.0</v>
      </c>
    </row>
    <row r="1604">
      <c r="A1604" s="102">
        <v>1.0</v>
      </c>
      <c r="B1604" s="107">
        <v>1.0</v>
      </c>
    </row>
    <row r="1605">
      <c r="A1605" s="102">
        <v>1.0</v>
      </c>
      <c r="B1605" s="107">
        <v>1.0</v>
      </c>
    </row>
    <row r="1606">
      <c r="A1606" s="102">
        <v>0.0</v>
      </c>
      <c r="B1606" s="107">
        <v>0.0</v>
      </c>
    </row>
    <row r="1607">
      <c r="A1607" s="102">
        <v>1.0</v>
      </c>
      <c r="B1607" s="107">
        <v>1.0</v>
      </c>
    </row>
    <row r="1608">
      <c r="A1608" s="102">
        <v>1.0</v>
      </c>
      <c r="B1608" s="107">
        <v>1.0</v>
      </c>
    </row>
    <row r="1609">
      <c r="A1609" s="102">
        <v>1.0</v>
      </c>
      <c r="B1609" s="107">
        <v>1.0</v>
      </c>
    </row>
    <row r="1610">
      <c r="A1610" s="102">
        <v>1.0</v>
      </c>
      <c r="B1610" s="107">
        <v>1.0</v>
      </c>
    </row>
    <row r="1611">
      <c r="A1611" s="102">
        <v>1.0</v>
      </c>
      <c r="B1611" s="102">
        <v>1.0</v>
      </c>
    </row>
    <row r="1612">
      <c r="A1612" s="102">
        <v>1.0</v>
      </c>
      <c r="B1612" s="102">
        <v>1.0</v>
      </c>
    </row>
    <row r="1613">
      <c r="A1613" s="102">
        <v>0.0</v>
      </c>
      <c r="B1613" s="102">
        <v>0.0</v>
      </c>
    </row>
    <row r="1614">
      <c r="A1614" s="102">
        <v>1.0</v>
      </c>
      <c r="B1614" s="102">
        <v>1.0</v>
      </c>
    </row>
    <row r="1615">
      <c r="A1615" s="102">
        <v>1.0</v>
      </c>
      <c r="B1615" s="102">
        <v>1.0</v>
      </c>
    </row>
    <row r="1616">
      <c r="A1616" s="102">
        <v>1.0</v>
      </c>
      <c r="B1616" s="102">
        <v>1.0</v>
      </c>
    </row>
    <row r="1617">
      <c r="A1617" s="102">
        <v>1.0</v>
      </c>
      <c r="B1617" s="102">
        <v>1.0</v>
      </c>
    </row>
    <row r="1618">
      <c r="A1618" s="102">
        <v>1.0</v>
      </c>
      <c r="B1618" s="107">
        <v>0.0</v>
      </c>
    </row>
    <row r="1619">
      <c r="A1619" s="102">
        <v>1.0</v>
      </c>
      <c r="B1619" s="107">
        <v>0.0</v>
      </c>
    </row>
    <row r="1620">
      <c r="A1620" s="102">
        <v>0.0</v>
      </c>
      <c r="B1620" s="107">
        <v>0.0</v>
      </c>
    </row>
    <row r="1621">
      <c r="A1621" s="102">
        <v>1.0</v>
      </c>
      <c r="B1621" s="107">
        <v>1.0</v>
      </c>
    </row>
    <row r="1622">
      <c r="A1622" s="102">
        <v>1.0</v>
      </c>
      <c r="B1622" s="107">
        <v>0.0</v>
      </c>
    </row>
    <row r="1623">
      <c r="A1623" s="102">
        <v>1.0</v>
      </c>
      <c r="B1623" s="107">
        <v>1.0</v>
      </c>
    </row>
    <row r="1624">
      <c r="A1624" s="102">
        <v>1.0</v>
      </c>
      <c r="B1624" s="107">
        <v>1.0</v>
      </c>
    </row>
    <row r="1625">
      <c r="A1625" s="102">
        <v>1.0</v>
      </c>
      <c r="B1625" s="107">
        <v>1.0</v>
      </c>
    </row>
    <row r="1626">
      <c r="A1626" s="102">
        <v>1.0</v>
      </c>
      <c r="B1626" s="107">
        <v>1.0</v>
      </c>
    </row>
    <row r="1627">
      <c r="A1627" s="102">
        <v>0.0</v>
      </c>
      <c r="B1627" s="107">
        <v>0.0</v>
      </c>
    </row>
    <row r="1628">
      <c r="A1628" s="102">
        <v>1.0</v>
      </c>
      <c r="B1628" s="107">
        <v>1.0</v>
      </c>
    </row>
    <row r="1629">
      <c r="A1629" s="102">
        <v>1.0</v>
      </c>
      <c r="B1629" s="107">
        <v>1.0</v>
      </c>
    </row>
    <row r="1630">
      <c r="A1630" s="102">
        <v>1.0</v>
      </c>
      <c r="B1630" s="107">
        <v>1.0</v>
      </c>
    </row>
    <row r="1631">
      <c r="A1631" s="102">
        <v>1.0</v>
      </c>
      <c r="B1631" s="107">
        <v>1.0</v>
      </c>
    </row>
    <row r="1632">
      <c r="A1632" s="102">
        <v>1.0</v>
      </c>
      <c r="B1632" s="107">
        <v>1.0</v>
      </c>
    </row>
    <row r="1633">
      <c r="A1633" s="102">
        <v>1.0</v>
      </c>
      <c r="B1633" s="107">
        <v>1.0</v>
      </c>
    </row>
    <row r="1634">
      <c r="A1634" s="102">
        <v>1.0</v>
      </c>
      <c r="B1634" s="107">
        <v>1.0</v>
      </c>
    </row>
    <row r="1635">
      <c r="A1635" s="102">
        <v>1.0</v>
      </c>
      <c r="B1635" s="107">
        <v>1.0</v>
      </c>
    </row>
    <row r="1636">
      <c r="A1636" s="102">
        <v>1.0</v>
      </c>
      <c r="B1636" s="107">
        <v>1.0</v>
      </c>
    </row>
    <row r="1637">
      <c r="A1637" s="102">
        <v>1.0</v>
      </c>
      <c r="B1637" s="107">
        <v>1.0</v>
      </c>
    </row>
    <row r="1638">
      <c r="A1638" s="102">
        <v>1.0</v>
      </c>
      <c r="B1638" s="107">
        <v>1.0</v>
      </c>
    </row>
    <row r="1639">
      <c r="A1639" s="107">
        <v>0.0</v>
      </c>
      <c r="B1639" s="107">
        <v>0.0</v>
      </c>
    </row>
    <row r="1640">
      <c r="A1640" s="107">
        <v>1.0</v>
      </c>
      <c r="B1640" s="107">
        <v>0.0</v>
      </c>
    </row>
    <row r="1641">
      <c r="A1641" s="107">
        <v>0.0</v>
      </c>
      <c r="B1641" s="107">
        <v>0.0</v>
      </c>
    </row>
    <row r="1642">
      <c r="A1642" s="107">
        <v>1.0</v>
      </c>
      <c r="B1642" s="107">
        <v>1.0</v>
      </c>
    </row>
    <row r="1643">
      <c r="A1643" s="107">
        <v>1.0</v>
      </c>
      <c r="B1643" s="107">
        <v>0.0</v>
      </c>
    </row>
    <row r="1644">
      <c r="A1644" s="107">
        <v>1.0</v>
      </c>
      <c r="B1644" s="107">
        <v>0.0</v>
      </c>
    </row>
    <row r="1645">
      <c r="A1645" s="107">
        <v>1.0</v>
      </c>
      <c r="B1645" s="107">
        <v>1.0</v>
      </c>
    </row>
    <row r="1646">
      <c r="A1646" s="107">
        <v>0.0</v>
      </c>
      <c r="B1646" s="107">
        <v>0.0</v>
      </c>
    </row>
    <row r="1647">
      <c r="A1647" s="107">
        <v>1.0</v>
      </c>
      <c r="B1647" s="107">
        <v>0.0</v>
      </c>
    </row>
    <row r="1648">
      <c r="A1648" s="107">
        <v>0.0</v>
      </c>
      <c r="B1648" s="107">
        <v>0.0</v>
      </c>
    </row>
    <row r="1649">
      <c r="A1649" s="107">
        <v>1.0</v>
      </c>
      <c r="B1649" s="107">
        <v>1.0</v>
      </c>
    </row>
    <row r="1650">
      <c r="A1650" s="107">
        <v>1.0</v>
      </c>
      <c r="B1650" s="107">
        <v>1.0</v>
      </c>
    </row>
    <row r="1651">
      <c r="A1651" s="107">
        <v>0.0</v>
      </c>
      <c r="B1651" s="107">
        <v>0.0</v>
      </c>
    </row>
    <row r="1652">
      <c r="A1652" s="107">
        <v>1.0</v>
      </c>
      <c r="B1652" s="107">
        <v>1.0</v>
      </c>
    </row>
    <row r="1653">
      <c r="A1653" s="107">
        <v>1.0</v>
      </c>
      <c r="B1653" s="107">
        <v>1.0</v>
      </c>
    </row>
    <row r="1654">
      <c r="A1654" s="107">
        <v>1.0</v>
      </c>
      <c r="B1654" s="107">
        <v>1.0</v>
      </c>
    </row>
    <row r="1655">
      <c r="A1655" s="107">
        <v>1.0</v>
      </c>
      <c r="B1655" s="107">
        <v>1.0</v>
      </c>
    </row>
    <row r="1656">
      <c r="A1656" s="107">
        <v>1.0</v>
      </c>
      <c r="B1656" s="107">
        <v>1.0</v>
      </c>
    </row>
    <row r="1657">
      <c r="A1657" s="107">
        <v>1.0</v>
      </c>
      <c r="B1657" s="107">
        <v>1.0</v>
      </c>
    </row>
    <row r="1658">
      <c r="A1658" s="107">
        <v>1.0</v>
      </c>
      <c r="B1658" s="107">
        <v>1.0</v>
      </c>
    </row>
    <row r="1659">
      <c r="A1659" s="107">
        <v>1.0</v>
      </c>
      <c r="B1659" s="107">
        <v>1.0</v>
      </c>
    </row>
    <row r="1660">
      <c r="A1660" s="102">
        <v>1.0</v>
      </c>
      <c r="B1660" s="107">
        <v>1.0</v>
      </c>
    </row>
    <row r="1661">
      <c r="A1661" s="102">
        <v>1.0</v>
      </c>
      <c r="B1661" s="107">
        <v>1.0</v>
      </c>
    </row>
    <row r="1662">
      <c r="A1662" s="102">
        <v>1.0</v>
      </c>
      <c r="B1662" s="107">
        <v>0.0</v>
      </c>
    </row>
    <row r="1663">
      <c r="A1663" s="102">
        <v>1.0</v>
      </c>
      <c r="B1663" s="107">
        <v>1.0</v>
      </c>
    </row>
    <row r="1664">
      <c r="A1664" s="102">
        <v>1.0</v>
      </c>
      <c r="B1664" s="107">
        <v>1.0</v>
      </c>
    </row>
    <row r="1665">
      <c r="A1665" s="102">
        <v>1.0</v>
      </c>
      <c r="B1665" s="107">
        <v>1.0</v>
      </c>
    </row>
    <row r="1666">
      <c r="A1666" s="102">
        <v>1.0</v>
      </c>
      <c r="B1666" s="107">
        <v>1.0</v>
      </c>
    </row>
    <row r="1667">
      <c r="A1667" s="102">
        <v>1.0</v>
      </c>
      <c r="B1667" s="107">
        <v>1.0</v>
      </c>
    </row>
    <row r="1668">
      <c r="A1668" s="102">
        <v>1.0</v>
      </c>
      <c r="B1668" s="107">
        <v>1.0</v>
      </c>
    </row>
    <row r="1669">
      <c r="A1669" s="102">
        <v>1.0</v>
      </c>
      <c r="B1669" s="107">
        <v>0.0</v>
      </c>
    </row>
    <row r="1670">
      <c r="A1670" s="102">
        <v>1.0</v>
      </c>
      <c r="B1670" s="107">
        <v>1.0</v>
      </c>
    </row>
    <row r="1671">
      <c r="A1671" s="102">
        <v>1.0</v>
      </c>
      <c r="B1671" s="107">
        <v>1.0</v>
      </c>
    </row>
    <row r="1672">
      <c r="A1672" s="102">
        <v>1.0</v>
      </c>
      <c r="B1672" s="107">
        <v>1.0</v>
      </c>
    </row>
    <row r="1673">
      <c r="A1673" s="102">
        <v>1.0</v>
      </c>
      <c r="B1673" s="107">
        <v>1.0</v>
      </c>
    </row>
    <row r="1674">
      <c r="A1674" s="102">
        <v>1.0</v>
      </c>
      <c r="B1674" s="107">
        <v>1.0</v>
      </c>
    </row>
    <row r="1675">
      <c r="A1675" s="102">
        <v>1.0</v>
      </c>
      <c r="B1675" s="107">
        <v>1.0</v>
      </c>
    </row>
    <row r="1676">
      <c r="A1676" s="102">
        <v>1.0</v>
      </c>
      <c r="B1676" s="107">
        <v>0.0</v>
      </c>
    </row>
    <row r="1677">
      <c r="A1677" s="102">
        <v>1.0</v>
      </c>
      <c r="B1677" s="107">
        <v>1.0</v>
      </c>
    </row>
    <row r="1678">
      <c r="A1678" s="102">
        <v>1.0</v>
      </c>
      <c r="B1678" s="107">
        <v>1.0</v>
      </c>
    </row>
    <row r="1679">
      <c r="A1679" s="102">
        <v>1.0</v>
      </c>
      <c r="B1679" s="107">
        <v>1.0</v>
      </c>
    </row>
    <row r="1680">
      <c r="A1680" s="102">
        <v>1.0</v>
      </c>
      <c r="B1680" s="107">
        <v>1.0</v>
      </c>
    </row>
    <row r="1681">
      <c r="A1681" s="107">
        <v>1.0</v>
      </c>
      <c r="B1681" s="107">
        <v>1.0</v>
      </c>
    </row>
    <row r="1682">
      <c r="A1682" s="107">
        <v>1.0</v>
      </c>
      <c r="B1682" s="107">
        <v>1.0</v>
      </c>
    </row>
    <row r="1683">
      <c r="A1683" s="107">
        <v>0.0</v>
      </c>
      <c r="B1683" s="107">
        <v>0.0</v>
      </c>
    </row>
    <row r="1684">
      <c r="A1684" s="107">
        <v>1.0</v>
      </c>
      <c r="B1684" s="107">
        <v>1.0</v>
      </c>
    </row>
    <row r="1685">
      <c r="A1685" s="107">
        <v>1.0</v>
      </c>
      <c r="B1685" s="107">
        <v>1.0</v>
      </c>
    </row>
    <row r="1686">
      <c r="A1686" s="107">
        <v>1.0</v>
      </c>
      <c r="B1686" s="107">
        <v>1.0</v>
      </c>
    </row>
    <row r="1687">
      <c r="A1687" s="107">
        <v>1.0</v>
      </c>
      <c r="B1687" s="107">
        <v>1.0</v>
      </c>
    </row>
    <row r="1688">
      <c r="A1688" s="107">
        <v>1.0</v>
      </c>
      <c r="B1688" s="107">
        <v>1.0</v>
      </c>
    </row>
    <row r="1689">
      <c r="A1689" s="107">
        <v>1.0</v>
      </c>
      <c r="B1689" s="107">
        <v>1.0</v>
      </c>
    </row>
    <row r="1690">
      <c r="A1690" s="107">
        <v>0.0</v>
      </c>
      <c r="B1690" s="107">
        <v>0.0</v>
      </c>
    </row>
    <row r="1691">
      <c r="A1691" s="107">
        <v>1.0</v>
      </c>
      <c r="B1691" s="107">
        <v>1.0</v>
      </c>
    </row>
    <row r="1692">
      <c r="A1692" s="107">
        <v>1.0</v>
      </c>
      <c r="B1692" s="107">
        <v>1.0</v>
      </c>
    </row>
    <row r="1693">
      <c r="A1693" s="107">
        <v>1.0</v>
      </c>
      <c r="B1693" s="107">
        <v>1.0</v>
      </c>
    </row>
    <row r="1694">
      <c r="A1694" s="107">
        <v>1.0</v>
      </c>
      <c r="B1694" s="107">
        <v>1.0</v>
      </c>
    </row>
    <row r="1695">
      <c r="A1695" s="107">
        <v>1.0</v>
      </c>
      <c r="B1695" s="107">
        <v>1.0</v>
      </c>
    </row>
    <row r="1696">
      <c r="A1696" s="107">
        <v>1.0</v>
      </c>
      <c r="B1696" s="107">
        <v>1.0</v>
      </c>
    </row>
    <row r="1697">
      <c r="A1697" s="107">
        <v>0.0</v>
      </c>
      <c r="B1697" s="107">
        <v>0.0</v>
      </c>
    </row>
    <row r="1698">
      <c r="A1698" s="107">
        <v>1.0</v>
      </c>
      <c r="B1698" s="107">
        <v>1.0</v>
      </c>
    </row>
    <row r="1699">
      <c r="A1699" s="107">
        <v>1.0</v>
      </c>
      <c r="B1699" s="107">
        <v>1.0</v>
      </c>
    </row>
    <row r="1700">
      <c r="A1700" s="107">
        <v>1.0</v>
      </c>
      <c r="B1700" s="107">
        <v>1.0</v>
      </c>
    </row>
    <row r="1701">
      <c r="A1701" s="107">
        <v>1.0</v>
      </c>
      <c r="B1701" s="107">
        <v>1.0</v>
      </c>
    </row>
    <row r="1702">
      <c r="A1702" s="102">
        <v>1.0</v>
      </c>
      <c r="B1702" s="102">
        <v>1.0</v>
      </c>
    </row>
    <row r="1703">
      <c r="A1703" s="102">
        <v>1.0</v>
      </c>
      <c r="B1703" s="102">
        <v>1.0</v>
      </c>
    </row>
    <row r="1704">
      <c r="A1704" s="102">
        <v>1.0</v>
      </c>
      <c r="B1704" s="102">
        <v>1.0</v>
      </c>
    </row>
    <row r="1705">
      <c r="A1705" s="102">
        <v>1.0</v>
      </c>
      <c r="B1705" s="102">
        <v>1.0</v>
      </c>
    </row>
    <row r="1706">
      <c r="A1706" s="102">
        <v>1.0</v>
      </c>
      <c r="B1706" s="102">
        <v>1.0</v>
      </c>
    </row>
    <row r="1707">
      <c r="A1707" s="102">
        <v>1.0</v>
      </c>
      <c r="B1707" s="102">
        <v>1.0</v>
      </c>
    </row>
    <row r="1708">
      <c r="A1708" s="102">
        <v>1.0</v>
      </c>
      <c r="B1708" s="102">
        <v>1.0</v>
      </c>
    </row>
    <row r="1709">
      <c r="A1709" s="102">
        <v>1.0</v>
      </c>
      <c r="B1709" s="102">
        <v>1.0</v>
      </c>
    </row>
    <row r="1710">
      <c r="A1710" s="102">
        <v>1.0</v>
      </c>
      <c r="B1710" s="102">
        <v>1.0</v>
      </c>
    </row>
    <row r="1711">
      <c r="A1711" s="102">
        <v>1.0</v>
      </c>
      <c r="B1711" s="102">
        <v>1.0</v>
      </c>
    </row>
    <row r="1712">
      <c r="A1712" s="102">
        <v>1.0</v>
      </c>
      <c r="B1712" s="102">
        <v>1.0</v>
      </c>
    </row>
    <row r="1713">
      <c r="A1713" s="102">
        <v>0.0</v>
      </c>
      <c r="B1713" s="102">
        <v>0.0</v>
      </c>
    </row>
    <row r="1714">
      <c r="A1714" s="102">
        <v>1.0</v>
      </c>
      <c r="B1714" s="102">
        <v>1.0</v>
      </c>
    </row>
    <row r="1715">
      <c r="A1715" s="102">
        <v>1.0</v>
      </c>
      <c r="B1715" s="102">
        <v>1.0</v>
      </c>
    </row>
    <row r="1716">
      <c r="A1716" s="102">
        <v>1.0</v>
      </c>
      <c r="B1716" s="102">
        <v>1.0</v>
      </c>
    </row>
    <row r="1717">
      <c r="A1717" s="102">
        <v>1.0</v>
      </c>
      <c r="B1717" s="102">
        <v>1.0</v>
      </c>
    </row>
    <row r="1718">
      <c r="A1718" s="102">
        <v>1.0</v>
      </c>
      <c r="B1718" s="102">
        <v>1.0</v>
      </c>
    </row>
    <row r="1719">
      <c r="A1719" s="102">
        <v>1.0</v>
      </c>
      <c r="B1719" s="102">
        <v>1.0</v>
      </c>
    </row>
    <row r="1720">
      <c r="A1720" s="102">
        <v>1.0</v>
      </c>
      <c r="B1720" s="102">
        <v>1.0</v>
      </c>
    </row>
    <row r="1721">
      <c r="A1721" s="102">
        <v>1.0</v>
      </c>
      <c r="B1721" s="102">
        <v>1.0</v>
      </c>
    </row>
    <row r="1722">
      <c r="A1722" s="102">
        <v>1.0</v>
      </c>
      <c r="B1722" s="102">
        <v>1.0</v>
      </c>
    </row>
    <row r="1723">
      <c r="A1723" s="107">
        <v>0.0</v>
      </c>
      <c r="B1723" s="107">
        <v>0.0</v>
      </c>
    </row>
    <row r="1724">
      <c r="A1724" s="107">
        <v>0.0</v>
      </c>
      <c r="B1724" s="107">
        <v>0.0</v>
      </c>
    </row>
    <row r="1725">
      <c r="A1725" s="107">
        <v>1.0</v>
      </c>
      <c r="B1725" s="107">
        <v>1.0</v>
      </c>
    </row>
    <row r="1726">
      <c r="A1726" s="107">
        <v>1.0</v>
      </c>
      <c r="B1726" s="107">
        <v>1.0</v>
      </c>
    </row>
    <row r="1727">
      <c r="A1727" s="107">
        <v>1.0</v>
      </c>
      <c r="B1727" s="107">
        <v>1.0</v>
      </c>
    </row>
    <row r="1728">
      <c r="A1728" s="107">
        <v>0.0</v>
      </c>
      <c r="B1728" s="107">
        <v>0.0</v>
      </c>
    </row>
    <row r="1729">
      <c r="A1729" s="107">
        <v>1.0</v>
      </c>
      <c r="B1729" s="107">
        <v>1.0</v>
      </c>
    </row>
    <row r="1730">
      <c r="A1730" s="107">
        <v>0.0</v>
      </c>
      <c r="B1730" s="107">
        <v>0.0</v>
      </c>
    </row>
    <row r="1731">
      <c r="A1731" s="107">
        <v>0.0</v>
      </c>
      <c r="B1731" s="107">
        <v>0.0</v>
      </c>
    </row>
    <row r="1732">
      <c r="A1732" s="107">
        <v>1.0</v>
      </c>
      <c r="B1732" s="107">
        <v>1.0</v>
      </c>
    </row>
    <row r="1733">
      <c r="A1733" s="107">
        <v>1.0</v>
      </c>
      <c r="B1733" s="107">
        <v>1.0</v>
      </c>
    </row>
    <row r="1734">
      <c r="A1734" s="107">
        <v>0.0</v>
      </c>
      <c r="B1734" s="107">
        <v>0.0</v>
      </c>
    </row>
    <row r="1735">
      <c r="A1735" s="107">
        <v>0.0</v>
      </c>
      <c r="B1735" s="107">
        <v>0.0</v>
      </c>
    </row>
    <row r="1736">
      <c r="A1736" s="107">
        <v>1.0</v>
      </c>
      <c r="B1736" s="107">
        <v>1.0</v>
      </c>
    </row>
    <row r="1737">
      <c r="A1737" s="107">
        <v>0.0</v>
      </c>
      <c r="B1737" s="107">
        <v>0.0</v>
      </c>
    </row>
    <row r="1738">
      <c r="A1738" s="107">
        <v>0.0</v>
      </c>
      <c r="B1738" s="107">
        <v>0.0</v>
      </c>
    </row>
    <row r="1739">
      <c r="A1739" s="107">
        <v>1.0</v>
      </c>
      <c r="B1739" s="107">
        <v>1.0</v>
      </c>
    </row>
    <row r="1740">
      <c r="A1740" s="107">
        <v>1.0</v>
      </c>
      <c r="B1740" s="107">
        <v>1.0</v>
      </c>
    </row>
    <row r="1741">
      <c r="A1741" s="107">
        <v>0.0</v>
      </c>
      <c r="B1741" s="107">
        <v>0.0</v>
      </c>
    </row>
    <row r="1742">
      <c r="A1742" s="107">
        <v>0.0</v>
      </c>
      <c r="B1742" s="107">
        <v>0.0</v>
      </c>
    </row>
    <row r="1743">
      <c r="A1743" s="107">
        <v>1.0</v>
      </c>
      <c r="B1743" s="107">
        <v>1.0</v>
      </c>
    </row>
    <row r="1744">
      <c r="A1744" s="102">
        <v>0.0</v>
      </c>
      <c r="B1744" s="102">
        <v>0.0</v>
      </c>
    </row>
    <row r="1745">
      <c r="A1745" s="102">
        <v>0.0</v>
      </c>
      <c r="B1745" s="102">
        <v>0.0</v>
      </c>
    </row>
    <row r="1746">
      <c r="A1746" s="102">
        <v>1.0</v>
      </c>
      <c r="B1746" s="102">
        <v>1.0</v>
      </c>
    </row>
    <row r="1747">
      <c r="A1747" s="102">
        <v>1.0</v>
      </c>
      <c r="B1747" s="102">
        <v>1.0</v>
      </c>
    </row>
    <row r="1748">
      <c r="A1748" s="102">
        <v>0.0</v>
      </c>
      <c r="B1748" s="102">
        <v>0.0</v>
      </c>
    </row>
    <row r="1749">
      <c r="A1749" s="102">
        <v>0.0</v>
      </c>
      <c r="B1749" s="102">
        <v>0.0</v>
      </c>
    </row>
    <row r="1750">
      <c r="A1750" s="102">
        <v>1.0</v>
      </c>
      <c r="B1750" s="102">
        <v>1.0</v>
      </c>
    </row>
    <row r="1751">
      <c r="A1751" s="102">
        <v>1.0</v>
      </c>
      <c r="B1751" s="102">
        <v>1.0</v>
      </c>
    </row>
    <row r="1752">
      <c r="A1752" s="102">
        <v>1.0</v>
      </c>
      <c r="B1752" s="102">
        <v>1.0</v>
      </c>
    </row>
    <row r="1753">
      <c r="A1753" s="102">
        <v>1.0</v>
      </c>
      <c r="B1753" s="102">
        <v>1.0</v>
      </c>
    </row>
    <row r="1754">
      <c r="A1754" s="102">
        <v>1.0</v>
      </c>
      <c r="B1754" s="102">
        <v>1.0</v>
      </c>
    </row>
    <row r="1755">
      <c r="A1755" s="102">
        <v>1.0</v>
      </c>
      <c r="B1755" s="102">
        <v>1.0</v>
      </c>
    </row>
    <row r="1756">
      <c r="A1756" s="102">
        <v>1.0</v>
      </c>
      <c r="B1756" s="102">
        <v>1.0</v>
      </c>
    </row>
    <row r="1757">
      <c r="A1757" s="102">
        <v>1.0</v>
      </c>
      <c r="B1757" s="102">
        <v>1.0</v>
      </c>
    </row>
    <row r="1758">
      <c r="A1758" s="102">
        <v>0.0</v>
      </c>
      <c r="B1758" s="102">
        <v>0.0</v>
      </c>
    </row>
    <row r="1759">
      <c r="A1759" s="102">
        <v>0.0</v>
      </c>
      <c r="B1759" s="102">
        <v>0.0</v>
      </c>
    </row>
    <row r="1760">
      <c r="A1760" s="102">
        <v>1.0</v>
      </c>
      <c r="B1760" s="102">
        <v>1.0</v>
      </c>
    </row>
    <row r="1761">
      <c r="A1761" s="102">
        <v>1.0</v>
      </c>
      <c r="B1761" s="102">
        <v>1.0</v>
      </c>
    </row>
    <row r="1762">
      <c r="A1762" s="102">
        <v>0.0</v>
      </c>
      <c r="B1762" s="102">
        <v>0.0</v>
      </c>
    </row>
    <row r="1763">
      <c r="A1763" s="102">
        <v>0.0</v>
      </c>
      <c r="B1763" s="102">
        <v>0.0</v>
      </c>
    </row>
    <row r="1764">
      <c r="A1764" s="102">
        <v>1.0</v>
      </c>
      <c r="B1764" s="102">
        <v>1.0</v>
      </c>
    </row>
    <row r="1765">
      <c r="A1765" s="107">
        <v>1.0</v>
      </c>
      <c r="B1765" s="107">
        <v>1.0</v>
      </c>
    </row>
    <row r="1766">
      <c r="A1766" s="107">
        <v>1.0</v>
      </c>
      <c r="B1766" s="107">
        <v>1.0</v>
      </c>
    </row>
    <row r="1767">
      <c r="A1767" s="107">
        <v>0.0</v>
      </c>
      <c r="B1767" s="107">
        <v>0.0</v>
      </c>
    </row>
    <row r="1768">
      <c r="A1768" s="107">
        <v>1.0</v>
      </c>
      <c r="B1768" s="107">
        <v>1.0</v>
      </c>
    </row>
    <row r="1769">
      <c r="A1769" s="107">
        <v>1.0</v>
      </c>
      <c r="B1769" s="107">
        <v>1.0</v>
      </c>
    </row>
    <row r="1770">
      <c r="A1770" s="107">
        <v>1.0</v>
      </c>
      <c r="B1770" s="107">
        <v>1.0</v>
      </c>
    </row>
    <row r="1771">
      <c r="A1771" s="107">
        <v>1.0</v>
      </c>
      <c r="B1771" s="107">
        <v>1.0</v>
      </c>
    </row>
    <row r="1772">
      <c r="A1772" s="107">
        <v>1.0</v>
      </c>
      <c r="B1772" s="107">
        <v>1.0</v>
      </c>
    </row>
    <row r="1773">
      <c r="A1773" s="107">
        <v>1.0</v>
      </c>
      <c r="B1773" s="107">
        <v>1.0</v>
      </c>
    </row>
    <row r="1774">
      <c r="A1774" s="107">
        <v>1.0</v>
      </c>
      <c r="B1774" s="107">
        <v>1.0</v>
      </c>
    </row>
    <row r="1775">
      <c r="A1775" s="107">
        <v>1.0</v>
      </c>
      <c r="B1775" s="107">
        <v>1.0</v>
      </c>
    </row>
    <row r="1776">
      <c r="A1776" s="107">
        <v>1.0</v>
      </c>
      <c r="B1776" s="107">
        <v>1.0</v>
      </c>
    </row>
    <row r="1777">
      <c r="A1777" s="107">
        <v>1.0</v>
      </c>
      <c r="B1777" s="107">
        <v>1.0</v>
      </c>
    </row>
    <row r="1778">
      <c r="A1778" s="107">
        <v>1.0</v>
      </c>
      <c r="B1778" s="107">
        <v>1.0</v>
      </c>
    </row>
    <row r="1779">
      <c r="A1779" s="107">
        <v>1.0</v>
      </c>
      <c r="B1779" s="107">
        <v>1.0</v>
      </c>
    </row>
    <row r="1780">
      <c r="A1780" s="107">
        <v>1.0</v>
      </c>
      <c r="B1780" s="107">
        <v>1.0</v>
      </c>
    </row>
    <row r="1781">
      <c r="A1781" s="107">
        <v>1.0</v>
      </c>
      <c r="B1781" s="107">
        <v>1.0</v>
      </c>
    </row>
    <row r="1782">
      <c r="A1782" s="107">
        <v>1.0</v>
      </c>
      <c r="B1782" s="107">
        <v>1.0</v>
      </c>
    </row>
    <row r="1783">
      <c r="A1783" s="107">
        <v>1.0</v>
      </c>
      <c r="B1783" s="107">
        <v>1.0</v>
      </c>
    </row>
    <row r="1784">
      <c r="A1784" s="107">
        <v>1.0</v>
      </c>
      <c r="B1784" s="107">
        <v>1.0</v>
      </c>
    </row>
    <row r="1785">
      <c r="A1785" s="107">
        <v>1.0</v>
      </c>
      <c r="B1785" s="107">
        <v>1.0</v>
      </c>
    </row>
    <row r="1786">
      <c r="A1786" s="102">
        <v>1.0</v>
      </c>
      <c r="B1786" s="102">
        <v>1.0</v>
      </c>
    </row>
    <row r="1787">
      <c r="A1787" s="102">
        <v>1.0</v>
      </c>
      <c r="B1787" s="102">
        <v>1.0</v>
      </c>
    </row>
    <row r="1788">
      <c r="A1788" s="102">
        <v>1.0</v>
      </c>
      <c r="B1788" s="102">
        <v>1.0</v>
      </c>
    </row>
    <row r="1789">
      <c r="A1789" s="102">
        <v>1.0</v>
      </c>
      <c r="B1789" s="102">
        <v>1.0</v>
      </c>
    </row>
    <row r="1790">
      <c r="A1790" s="102">
        <v>1.0</v>
      </c>
      <c r="B1790" s="102">
        <v>1.0</v>
      </c>
    </row>
    <row r="1791">
      <c r="A1791" s="102">
        <v>1.0</v>
      </c>
      <c r="B1791" s="102">
        <v>1.0</v>
      </c>
    </row>
    <row r="1792">
      <c r="A1792" s="102">
        <v>1.0</v>
      </c>
      <c r="B1792" s="102">
        <v>1.0</v>
      </c>
    </row>
    <row r="1793">
      <c r="A1793" s="102">
        <v>1.0</v>
      </c>
      <c r="B1793" s="102">
        <v>1.0</v>
      </c>
    </row>
    <row r="1794">
      <c r="A1794" s="102">
        <v>1.0</v>
      </c>
      <c r="B1794" s="102">
        <v>1.0</v>
      </c>
    </row>
    <row r="1795">
      <c r="A1795" s="102">
        <v>1.0</v>
      </c>
      <c r="B1795" s="102">
        <v>1.0</v>
      </c>
    </row>
    <row r="1796">
      <c r="A1796" s="102">
        <v>1.0</v>
      </c>
      <c r="B1796" s="102">
        <v>1.0</v>
      </c>
    </row>
    <row r="1797">
      <c r="A1797" s="102">
        <v>1.0</v>
      </c>
      <c r="B1797" s="102">
        <v>1.0</v>
      </c>
    </row>
    <row r="1798">
      <c r="A1798" s="102">
        <v>1.0</v>
      </c>
      <c r="B1798" s="102">
        <v>1.0</v>
      </c>
    </row>
    <row r="1799">
      <c r="A1799" s="102">
        <v>1.0</v>
      </c>
      <c r="B1799" s="102">
        <v>1.0</v>
      </c>
    </row>
    <row r="1800">
      <c r="A1800" s="102">
        <v>1.0</v>
      </c>
      <c r="B1800" s="102">
        <v>1.0</v>
      </c>
    </row>
    <row r="1801">
      <c r="A1801" s="102">
        <v>1.0</v>
      </c>
      <c r="B1801" s="102">
        <v>1.0</v>
      </c>
    </row>
    <row r="1802">
      <c r="A1802" s="102">
        <v>1.0</v>
      </c>
      <c r="B1802" s="102">
        <v>1.0</v>
      </c>
    </row>
    <row r="1803">
      <c r="A1803" s="102">
        <v>1.0</v>
      </c>
      <c r="B1803" s="102">
        <v>1.0</v>
      </c>
    </row>
    <row r="1804">
      <c r="A1804" s="102">
        <v>1.0</v>
      </c>
      <c r="B1804" s="102">
        <v>1.0</v>
      </c>
    </row>
    <row r="1805">
      <c r="A1805" s="102">
        <v>1.0</v>
      </c>
      <c r="B1805" s="102">
        <v>1.0</v>
      </c>
    </row>
    <row r="1806">
      <c r="A1806" s="102">
        <v>1.0</v>
      </c>
      <c r="B1806" s="102">
        <v>1.0</v>
      </c>
    </row>
    <row r="1807">
      <c r="A1807" s="107">
        <v>0.0</v>
      </c>
      <c r="B1807" s="107">
        <v>0.0</v>
      </c>
    </row>
    <row r="1808">
      <c r="A1808" s="107">
        <v>0.0</v>
      </c>
      <c r="B1808" s="107">
        <v>0.0</v>
      </c>
    </row>
    <row r="1809">
      <c r="A1809" s="107">
        <v>0.0</v>
      </c>
      <c r="B1809" s="107">
        <v>0.0</v>
      </c>
    </row>
    <row r="1810">
      <c r="A1810" s="107">
        <v>1.0</v>
      </c>
      <c r="B1810" s="107">
        <v>1.0</v>
      </c>
    </row>
    <row r="1811">
      <c r="A1811" s="107">
        <v>1.0</v>
      </c>
      <c r="B1811" s="107">
        <v>1.0</v>
      </c>
    </row>
    <row r="1812">
      <c r="A1812" s="107">
        <v>0.0</v>
      </c>
      <c r="B1812" s="107">
        <v>0.0</v>
      </c>
    </row>
    <row r="1813">
      <c r="A1813" s="107">
        <v>1.0</v>
      </c>
      <c r="B1813" s="107">
        <v>1.0</v>
      </c>
    </row>
    <row r="1814">
      <c r="A1814" s="107">
        <v>1.0</v>
      </c>
      <c r="B1814" s="107">
        <v>1.0</v>
      </c>
    </row>
    <row r="1815">
      <c r="A1815" s="107">
        <v>1.0</v>
      </c>
      <c r="B1815" s="107">
        <v>1.0</v>
      </c>
    </row>
    <row r="1816">
      <c r="A1816" s="107">
        <v>1.0</v>
      </c>
      <c r="B1816" s="107">
        <v>1.0</v>
      </c>
    </row>
    <row r="1817">
      <c r="A1817" s="107">
        <v>1.0</v>
      </c>
      <c r="B1817" s="107">
        <v>1.0</v>
      </c>
    </row>
    <row r="1818">
      <c r="A1818" s="107">
        <v>1.0</v>
      </c>
      <c r="B1818" s="107">
        <v>1.0</v>
      </c>
    </row>
    <row r="1819">
      <c r="A1819" s="107">
        <v>1.0</v>
      </c>
      <c r="B1819" s="107">
        <v>1.0</v>
      </c>
    </row>
    <row r="1820">
      <c r="A1820" s="107">
        <v>1.0</v>
      </c>
      <c r="B1820" s="107">
        <v>1.0</v>
      </c>
    </row>
    <row r="1821">
      <c r="A1821" s="107">
        <v>1.0</v>
      </c>
      <c r="B1821" s="107">
        <v>1.0</v>
      </c>
    </row>
    <row r="1822">
      <c r="A1822" s="107">
        <v>1.0</v>
      </c>
      <c r="B1822" s="107">
        <v>1.0</v>
      </c>
    </row>
    <row r="1823">
      <c r="A1823" s="107">
        <v>1.0</v>
      </c>
      <c r="B1823" s="107">
        <v>1.0</v>
      </c>
    </row>
    <row r="1824">
      <c r="A1824" s="107">
        <v>1.0</v>
      </c>
      <c r="B1824" s="107">
        <v>1.0</v>
      </c>
    </row>
    <row r="1825">
      <c r="A1825" s="107">
        <v>1.0</v>
      </c>
      <c r="B1825" s="107">
        <v>1.0</v>
      </c>
    </row>
    <row r="1826">
      <c r="A1826" s="107">
        <v>1.0</v>
      </c>
      <c r="B1826" s="107">
        <v>1.0</v>
      </c>
    </row>
    <row r="1827">
      <c r="A1827" s="107">
        <v>1.0</v>
      </c>
      <c r="B1827" s="107">
        <v>1.0</v>
      </c>
    </row>
    <row r="1828">
      <c r="A1828" s="102">
        <v>1.0</v>
      </c>
      <c r="B1828" s="102">
        <v>1.0</v>
      </c>
    </row>
    <row r="1829">
      <c r="A1829" s="102">
        <v>1.0</v>
      </c>
      <c r="B1829" s="102">
        <v>1.0</v>
      </c>
    </row>
    <row r="1830">
      <c r="A1830" s="102">
        <v>0.0</v>
      </c>
      <c r="B1830" s="102">
        <v>1.0</v>
      </c>
    </row>
    <row r="1831">
      <c r="A1831" s="102">
        <v>1.0</v>
      </c>
      <c r="B1831" s="102">
        <v>1.0</v>
      </c>
    </row>
    <row r="1832">
      <c r="A1832" s="102">
        <v>1.0</v>
      </c>
      <c r="B1832" s="102">
        <v>1.0</v>
      </c>
    </row>
    <row r="1833">
      <c r="A1833" s="102">
        <v>1.0</v>
      </c>
      <c r="B1833" s="102">
        <v>1.0</v>
      </c>
    </row>
    <row r="1834">
      <c r="A1834" s="102">
        <v>1.0</v>
      </c>
      <c r="B1834" s="102">
        <v>1.0</v>
      </c>
    </row>
    <row r="1835">
      <c r="A1835" s="102">
        <v>1.0</v>
      </c>
      <c r="B1835" s="102">
        <v>1.0</v>
      </c>
    </row>
    <row r="1836">
      <c r="A1836" s="102">
        <v>1.0</v>
      </c>
      <c r="B1836" s="102">
        <v>1.0</v>
      </c>
    </row>
    <row r="1837">
      <c r="A1837" s="102">
        <v>1.0</v>
      </c>
      <c r="B1837" s="102">
        <v>1.0</v>
      </c>
    </row>
    <row r="1838">
      <c r="A1838" s="102">
        <v>1.0</v>
      </c>
      <c r="B1838" s="102">
        <v>1.0</v>
      </c>
    </row>
    <row r="1839">
      <c r="A1839" s="102">
        <v>1.0</v>
      </c>
      <c r="B1839" s="102">
        <v>1.0</v>
      </c>
    </row>
    <row r="1840">
      <c r="A1840" s="102">
        <v>1.0</v>
      </c>
      <c r="B1840" s="102">
        <v>1.0</v>
      </c>
    </row>
    <row r="1841">
      <c r="A1841" s="102">
        <v>1.0</v>
      </c>
      <c r="B1841" s="102">
        <v>1.0</v>
      </c>
    </row>
    <row r="1842">
      <c r="A1842" s="102">
        <v>1.0</v>
      </c>
      <c r="B1842" s="102">
        <v>1.0</v>
      </c>
    </row>
    <row r="1843">
      <c r="A1843" s="102">
        <v>1.0</v>
      </c>
      <c r="B1843" s="102">
        <v>1.0</v>
      </c>
    </row>
    <row r="1844">
      <c r="A1844" s="102">
        <v>1.0</v>
      </c>
      <c r="B1844" s="102">
        <v>1.0</v>
      </c>
    </row>
    <row r="1845">
      <c r="A1845" s="102">
        <v>1.0</v>
      </c>
      <c r="B1845" s="102">
        <v>1.0</v>
      </c>
    </row>
    <row r="1846">
      <c r="A1846" s="102">
        <v>1.0</v>
      </c>
      <c r="B1846" s="102">
        <v>1.0</v>
      </c>
    </row>
    <row r="1847">
      <c r="A1847" s="102">
        <v>1.0</v>
      </c>
      <c r="B1847" s="102">
        <v>1.0</v>
      </c>
    </row>
    <row r="1848">
      <c r="A1848" s="102">
        <v>1.0</v>
      </c>
      <c r="B1848" s="102">
        <v>1.0</v>
      </c>
    </row>
    <row r="1849">
      <c r="A1849" s="107">
        <v>0.0</v>
      </c>
      <c r="B1849" s="107">
        <v>0.0</v>
      </c>
    </row>
    <row r="1850">
      <c r="A1850" s="107">
        <v>0.0</v>
      </c>
      <c r="B1850" s="107">
        <v>0.0</v>
      </c>
    </row>
    <row r="1851">
      <c r="A1851" s="107">
        <v>1.0</v>
      </c>
      <c r="B1851" s="107">
        <v>1.0</v>
      </c>
    </row>
    <row r="1852">
      <c r="A1852" s="107">
        <v>1.0</v>
      </c>
      <c r="B1852" s="107">
        <v>1.0</v>
      </c>
    </row>
    <row r="1853">
      <c r="A1853" s="107">
        <v>0.0</v>
      </c>
      <c r="B1853" s="107">
        <v>0.0</v>
      </c>
    </row>
    <row r="1854">
      <c r="A1854" s="107">
        <v>1.0</v>
      </c>
      <c r="B1854" s="107">
        <v>0.0</v>
      </c>
    </row>
    <row r="1855">
      <c r="A1855" s="107">
        <v>1.0</v>
      </c>
      <c r="B1855" s="107">
        <v>1.0</v>
      </c>
    </row>
    <row r="1856">
      <c r="A1856" s="107">
        <v>1.0</v>
      </c>
      <c r="B1856" s="107">
        <v>1.0</v>
      </c>
    </row>
    <row r="1857">
      <c r="A1857" s="107">
        <v>1.0</v>
      </c>
      <c r="B1857" s="107">
        <v>1.0</v>
      </c>
    </row>
    <row r="1858">
      <c r="A1858" s="107">
        <v>1.0</v>
      </c>
      <c r="B1858" s="107">
        <v>1.0</v>
      </c>
    </row>
    <row r="1859">
      <c r="A1859" s="107">
        <v>1.0</v>
      </c>
      <c r="B1859" s="107">
        <v>1.0</v>
      </c>
    </row>
    <row r="1860">
      <c r="A1860" s="107">
        <v>1.0</v>
      </c>
      <c r="B1860" s="107">
        <v>1.0</v>
      </c>
    </row>
    <row r="1861">
      <c r="A1861" s="107">
        <v>1.0</v>
      </c>
      <c r="B1861" s="107">
        <v>1.0</v>
      </c>
    </row>
    <row r="1862">
      <c r="A1862" s="107">
        <v>1.0</v>
      </c>
      <c r="B1862" s="107">
        <v>1.0</v>
      </c>
    </row>
    <row r="1863">
      <c r="A1863" s="107">
        <v>0.0</v>
      </c>
      <c r="B1863" s="107">
        <v>0.0</v>
      </c>
    </row>
    <row r="1864">
      <c r="A1864" s="107">
        <v>1.0</v>
      </c>
      <c r="B1864" s="107">
        <v>1.0</v>
      </c>
    </row>
    <row r="1865">
      <c r="A1865" s="107">
        <v>1.0</v>
      </c>
      <c r="B1865" s="107">
        <v>1.0</v>
      </c>
    </row>
    <row r="1866">
      <c r="A1866" s="107">
        <v>1.0</v>
      </c>
      <c r="B1866" s="107">
        <v>1.0</v>
      </c>
    </row>
    <row r="1867">
      <c r="A1867" s="107">
        <v>0.0</v>
      </c>
      <c r="B1867" s="107">
        <v>0.0</v>
      </c>
    </row>
    <row r="1868">
      <c r="A1868" s="107">
        <v>1.0</v>
      </c>
      <c r="B1868" s="107">
        <v>1.0</v>
      </c>
    </row>
    <row r="1869">
      <c r="A1869" s="107">
        <v>1.0</v>
      </c>
      <c r="B1869" s="107">
        <v>1.0</v>
      </c>
    </row>
    <row r="1870">
      <c r="A1870" s="102">
        <v>1.0</v>
      </c>
      <c r="B1870" s="102">
        <v>1.0</v>
      </c>
    </row>
    <row r="1871">
      <c r="A1871" s="102">
        <v>1.0</v>
      </c>
      <c r="B1871" s="102">
        <v>1.0</v>
      </c>
    </row>
    <row r="1872">
      <c r="A1872" s="102">
        <v>1.0</v>
      </c>
      <c r="B1872" s="102">
        <v>1.0</v>
      </c>
    </row>
    <row r="1873">
      <c r="A1873" s="102">
        <v>1.0</v>
      </c>
      <c r="B1873" s="102">
        <v>1.0</v>
      </c>
    </row>
    <row r="1874">
      <c r="A1874" s="102">
        <v>1.0</v>
      </c>
      <c r="B1874" s="102">
        <v>1.0</v>
      </c>
    </row>
    <row r="1875">
      <c r="A1875" s="102">
        <v>1.0</v>
      </c>
      <c r="B1875" s="102">
        <v>1.0</v>
      </c>
    </row>
    <row r="1876">
      <c r="A1876" s="102">
        <v>1.0</v>
      </c>
      <c r="B1876" s="102">
        <v>1.0</v>
      </c>
    </row>
    <row r="1877">
      <c r="A1877" s="102">
        <v>1.0</v>
      </c>
      <c r="B1877" s="102">
        <v>1.0</v>
      </c>
    </row>
    <row r="1878">
      <c r="A1878" s="102">
        <v>1.0</v>
      </c>
      <c r="B1878" s="102">
        <v>1.0</v>
      </c>
    </row>
    <row r="1879">
      <c r="A1879" s="102">
        <v>1.0</v>
      </c>
      <c r="B1879" s="102">
        <v>1.0</v>
      </c>
    </row>
    <row r="1880">
      <c r="A1880" s="102">
        <v>1.0</v>
      </c>
      <c r="B1880" s="102">
        <v>1.0</v>
      </c>
    </row>
    <row r="1881">
      <c r="A1881" s="102">
        <v>1.0</v>
      </c>
      <c r="B1881" s="102">
        <v>1.0</v>
      </c>
    </row>
    <row r="1882">
      <c r="A1882" s="102">
        <v>1.0</v>
      </c>
      <c r="B1882" s="102">
        <v>1.0</v>
      </c>
    </row>
    <row r="1883">
      <c r="A1883" s="102">
        <v>1.0</v>
      </c>
      <c r="B1883" s="102">
        <v>1.0</v>
      </c>
    </row>
    <row r="1884">
      <c r="A1884" s="102">
        <v>1.0</v>
      </c>
      <c r="B1884" s="102">
        <v>1.0</v>
      </c>
    </row>
    <row r="1885">
      <c r="A1885" s="102">
        <v>1.0</v>
      </c>
      <c r="B1885" s="102">
        <v>1.0</v>
      </c>
    </row>
    <row r="1886">
      <c r="A1886" s="102">
        <v>1.0</v>
      </c>
      <c r="B1886" s="102">
        <v>1.0</v>
      </c>
    </row>
    <row r="1887">
      <c r="A1887" s="102">
        <v>1.0</v>
      </c>
      <c r="B1887" s="102">
        <v>1.0</v>
      </c>
    </row>
    <row r="1888">
      <c r="A1888" s="102">
        <v>1.0</v>
      </c>
      <c r="B1888" s="102">
        <v>1.0</v>
      </c>
    </row>
    <row r="1889">
      <c r="A1889" s="102">
        <v>1.0</v>
      </c>
      <c r="B1889" s="102">
        <v>1.0</v>
      </c>
    </row>
    <row r="1890">
      <c r="A1890" s="102">
        <v>1.0</v>
      </c>
      <c r="B1890" s="102">
        <v>1.0</v>
      </c>
    </row>
    <row r="1891">
      <c r="A1891" s="107">
        <v>1.0</v>
      </c>
      <c r="B1891" s="107">
        <v>1.0</v>
      </c>
    </row>
    <row r="1892">
      <c r="A1892" s="107">
        <v>1.0</v>
      </c>
      <c r="B1892" s="107">
        <v>1.0</v>
      </c>
    </row>
    <row r="1893">
      <c r="A1893" s="107">
        <v>1.0</v>
      </c>
      <c r="B1893" s="107">
        <v>1.0</v>
      </c>
    </row>
    <row r="1894">
      <c r="A1894" s="107">
        <v>1.0</v>
      </c>
      <c r="B1894" s="107">
        <v>1.0</v>
      </c>
    </row>
    <row r="1895">
      <c r="A1895" s="107">
        <v>1.0</v>
      </c>
      <c r="B1895" s="107">
        <v>1.0</v>
      </c>
    </row>
    <row r="1896">
      <c r="A1896" s="107">
        <v>1.0</v>
      </c>
      <c r="B1896" s="107">
        <v>1.0</v>
      </c>
    </row>
    <row r="1897">
      <c r="A1897" s="107">
        <v>1.0</v>
      </c>
      <c r="B1897" s="107">
        <v>1.0</v>
      </c>
    </row>
    <row r="1898">
      <c r="A1898" s="107">
        <v>1.0</v>
      </c>
      <c r="B1898" s="107">
        <v>1.0</v>
      </c>
    </row>
    <row r="1899">
      <c r="A1899" s="107">
        <v>1.0</v>
      </c>
      <c r="B1899" s="107">
        <v>1.0</v>
      </c>
    </row>
    <row r="1900">
      <c r="A1900" s="107">
        <v>1.0</v>
      </c>
      <c r="B1900" s="107">
        <v>1.0</v>
      </c>
    </row>
    <row r="1901">
      <c r="A1901" s="107">
        <v>1.0</v>
      </c>
      <c r="B1901" s="107">
        <v>1.0</v>
      </c>
    </row>
    <row r="1902">
      <c r="A1902" s="107">
        <v>1.0</v>
      </c>
      <c r="B1902" s="107">
        <v>1.0</v>
      </c>
    </row>
    <row r="1903">
      <c r="A1903" s="107">
        <v>1.0</v>
      </c>
      <c r="B1903" s="107">
        <v>1.0</v>
      </c>
    </row>
    <row r="1904">
      <c r="A1904" s="107">
        <v>1.0</v>
      </c>
      <c r="B1904" s="107">
        <v>1.0</v>
      </c>
    </row>
    <row r="1905">
      <c r="A1905" s="107">
        <v>1.0</v>
      </c>
      <c r="B1905" s="107">
        <v>1.0</v>
      </c>
    </row>
    <row r="1906">
      <c r="A1906" s="107">
        <v>1.0</v>
      </c>
      <c r="B1906" s="107">
        <v>1.0</v>
      </c>
    </row>
    <row r="1907">
      <c r="A1907" s="107">
        <v>1.0</v>
      </c>
      <c r="B1907" s="107">
        <v>1.0</v>
      </c>
    </row>
    <row r="1908">
      <c r="A1908" s="107">
        <v>1.0</v>
      </c>
      <c r="B1908" s="107">
        <v>1.0</v>
      </c>
    </row>
    <row r="1909">
      <c r="A1909" s="107">
        <v>1.0</v>
      </c>
      <c r="B1909" s="107">
        <v>1.0</v>
      </c>
    </row>
    <row r="1910">
      <c r="A1910" s="107">
        <v>1.0</v>
      </c>
      <c r="B1910" s="107">
        <v>1.0</v>
      </c>
    </row>
    <row r="1911">
      <c r="A1911" s="107">
        <v>1.0</v>
      </c>
      <c r="B1911" s="107">
        <v>1.0</v>
      </c>
    </row>
    <row r="1912">
      <c r="A1912" s="102">
        <v>1.0</v>
      </c>
      <c r="B1912" s="102">
        <v>1.0</v>
      </c>
    </row>
    <row r="1913">
      <c r="A1913" s="102">
        <v>1.0</v>
      </c>
      <c r="B1913" s="102">
        <v>1.0</v>
      </c>
    </row>
    <row r="1914">
      <c r="A1914" s="102">
        <v>1.0</v>
      </c>
      <c r="B1914" s="102">
        <v>1.0</v>
      </c>
    </row>
    <row r="1915">
      <c r="A1915" s="102">
        <v>1.0</v>
      </c>
      <c r="B1915" s="102">
        <v>1.0</v>
      </c>
    </row>
    <row r="1916">
      <c r="A1916" s="102">
        <v>1.0</v>
      </c>
      <c r="B1916" s="102">
        <v>1.0</v>
      </c>
    </row>
    <row r="1917">
      <c r="A1917" s="102">
        <v>1.0</v>
      </c>
      <c r="B1917" s="102">
        <v>1.0</v>
      </c>
    </row>
    <row r="1918">
      <c r="A1918" s="102">
        <v>1.0</v>
      </c>
      <c r="B1918" s="102">
        <v>1.0</v>
      </c>
    </row>
    <row r="1919">
      <c r="A1919" s="102">
        <v>1.0</v>
      </c>
      <c r="B1919" s="102">
        <v>1.0</v>
      </c>
    </row>
    <row r="1920">
      <c r="A1920" s="102">
        <v>1.0</v>
      </c>
      <c r="B1920" s="102">
        <v>1.0</v>
      </c>
    </row>
    <row r="1921">
      <c r="A1921" s="102">
        <v>1.0</v>
      </c>
      <c r="B1921" s="102">
        <v>1.0</v>
      </c>
    </row>
    <row r="1922">
      <c r="A1922" s="102">
        <v>1.0</v>
      </c>
      <c r="B1922" s="102">
        <v>1.0</v>
      </c>
    </row>
    <row r="1923">
      <c r="A1923" s="102">
        <v>1.0</v>
      </c>
      <c r="B1923" s="102">
        <v>1.0</v>
      </c>
    </row>
    <row r="1924">
      <c r="A1924" s="102">
        <v>1.0</v>
      </c>
      <c r="B1924" s="102">
        <v>1.0</v>
      </c>
    </row>
    <row r="1925">
      <c r="A1925" s="102">
        <v>1.0</v>
      </c>
      <c r="B1925" s="102">
        <v>1.0</v>
      </c>
    </row>
    <row r="1926">
      <c r="A1926" s="102">
        <v>1.0</v>
      </c>
      <c r="B1926" s="102">
        <v>1.0</v>
      </c>
    </row>
    <row r="1927">
      <c r="A1927" s="102">
        <v>1.0</v>
      </c>
      <c r="B1927" s="102">
        <v>1.0</v>
      </c>
    </row>
    <row r="1928">
      <c r="A1928" s="102">
        <v>1.0</v>
      </c>
      <c r="B1928" s="102">
        <v>1.0</v>
      </c>
    </row>
    <row r="1929">
      <c r="A1929" s="102">
        <v>1.0</v>
      </c>
      <c r="B1929" s="102">
        <v>1.0</v>
      </c>
    </row>
    <row r="1930">
      <c r="A1930" s="102">
        <v>1.0</v>
      </c>
      <c r="B1930" s="102">
        <v>1.0</v>
      </c>
    </row>
    <row r="1931">
      <c r="A1931" s="102">
        <v>1.0</v>
      </c>
      <c r="B1931" s="102">
        <v>1.0</v>
      </c>
    </row>
    <row r="1932">
      <c r="A1932" s="102">
        <v>1.0</v>
      </c>
      <c r="B1932" s="102">
        <v>1.0</v>
      </c>
    </row>
    <row r="1933">
      <c r="A1933" s="107">
        <v>0.0</v>
      </c>
      <c r="B1933" s="107">
        <v>0.0</v>
      </c>
    </row>
    <row r="1934">
      <c r="A1934" s="107">
        <v>0.0</v>
      </c>
      <c r="B1934" s="107">
        <v>0.0</v>
      </c>
    </row>
    <row r="1935">
      <c r="A1935" s="107">
        <v>1.0</v>
      </c>
      <c r="B1935" s="107">
        <v>1.0</v>
      </c>
    </row>
    <row r="1936">
      <c r="A1936" s="107">
        <v>1.0</v>
      </c>
      <c r="B1936" s="107">
        <v>1.0</v>
      </c>
    </row>
    <row r="1937">
      <c r="A1937" s="107">
        <v>0.0</v>
      </c>
      <c r="B1937" s="107">
        <v>0.0</v>
      </c>
    </row>
    <row r="1938">
      <c r="A1938" s="107">
        <v>0.0</v>
      </c>
      <c r="B1938" s="107">
        <v>0.0</v>
      </c>
    </row>
    <row r="1939">
      <c r="A1939" s="107">
        <v>1.0</v>
      </c>
      <c r="B1939" s="107">
        <v>1.0</v>
      </c>
    </row>
    <row r="1940">
      <c r="A1940" s="107">
        <v>0.0</v>
      </c>
      <c r="B1940" s="107">
        <v>0.0</v>
      </c>
    </row>
    <row r="1941">
      <c r="A1941" s="107">
        <v>0.0</v>
      </c>
      <c r="B1941" s="107">
        <v>0.0</v>
      </c>
    </row>
    <row r="1942">
      <c r="A1942" s="107">
        <v>1.0</v>
      </c>
      <c r="B1942" s="107">
        <v>1.0</v>
      </c>
    </row>
    <row r="1943">
      <c r="A1943" s="107">
        <v>1.0</v>
      </c>
      <c r="B1943" s="107">
        <v>1.0</v>
      </c>
    </row>
    <row r="1944">
      <c r="A1944" s="107">
        <v>0.0</v>
      </c>
      <c r="B1944" s="107">
        <v>0.0</v>
      </c>
    </row>
    <row r="1945">
      <c r="A1945" s="107">
        <v>0.0</v>
      </c>
      <c r="B1945" s="107">
        <v>0.0</v>
      </c>
    </row>
    <row r="1946">
      <c r="A1946" s="107">
        <v>1.0</v>
      </c>
      <c r="B1946" s="107">
        <v>1.0</v>
      </c>
    </row>
    <row r="1947">
      <c r="A1947" s="107">
        <v>0.0</v>
      </c>
      <c r="B1947" s="107">
        <v>0.0</v>
      </c>
    </row>
    <row r="1948">
      <c r="A1948" s="107">
        <v>0.0</v>
      </c>
      <c r="B1948" s="107">
        <v>0.0</v>
      </c>
    </row>
    <row r="1949">
      <c r="A1949" s="107">
        <v>0.0</v>
      </c>
      <c r="B1949" s="107">
        <v>0.0</v>
      </c>
    </row>
    <row r="1950">
      <c r="A1950" s="107">
        <v>1.0</v>
      </c>
      <c r="B1950" s="107">
        <v>1.0</v>
      </c>
    </row>
    <row r="1951">
      <c r="A1951" s="107">
        <v>0.0</v>
      </c>
      <c r="B1951" s="107">
        <v>0.0</v>
      </c>
    </row>
    <row r="1952">
      <c r="A1952" s="107">
        <v>0.0</v>
      </c>
      <c r="B1952" s="107">
        <v>0.0</v>
      </c>
    </row>
    <row r="1953">
      <c r="A1953" s="107">
        <v>1.0</v>
      </c>
      <c r="B1953" s="107">
        <v>1.0</v>
      </c>
    </row>
    <row r="1954">
      <c r="A1954" s="102">
        <v>1.0</v>
      </c>
      <c r="B1954" s="102">
        <v>1.0</v>
      </c>
    </row>
    <row r="1955">
      <c r="A1955" s="102">
        <v>1.0</v>
      </c>
      <c r="B1955" s="102">
        <v>1.0</v>
      </c>
    </row>
    <row r="1956">
      <c r="A1956" s="102">
        <v>1.0</v>
      </c>
      <c r="B1956" s="102">
        <v>1.0</v>
      </c>
    </row>
    <row r="1957">
      <c r="A1957" s="102">
        <v>1.0</v>
      </c>
      <c r="B1957" s="102">
        <v>1.0</v>
      </c>
    </row>
    <row r="1958">
      <c r="A1958" s="102">
        <v>0.0</v>
      </c>
      <c r="B1958" s="102">
        <v>0.0</v>
      </c>
    </row>
    <row r="1959">
      <c r="A1959" s="102">
        <v>1.0</v>
      </c>
      <c r="B1959" s="102">
        <v>1.0</v>
      </c>
    </row>
    <row r="1960">
      <c r="A1960" s="102">
        <v>1.0</v>
      </c>
      <c r="B1960" s="102">
        <v>1.0</v>
      </c>
    </row>
    <row r="1961">
      <c r="A1961" s="102">
        <v>1.0</v>
      </c>
      <c r="B1961" s="102">
        <v>1.0</v>
      </c>
    </row>
    <row r="1962">
      <c r="A1962" s="102">
        <v>1.0</v>
      </c>
      <c r="B1962" s="102">
        <v>1.0</v>
      </c>
    </row>
    <row r="1963">
      <c r="A1963" s="102">
        <v>0.0</v>
      </c>
      <c r="B1963" s="102">
        <v>1.0</v>
      </c>
    </row>
    <row r="1964">
      <c r="A1964" s="102">
        <v>1.0</v>
      </c>
      <c r="B1964" s="102">
        <v>1.0</v>
      </c>
    </row>
    <row r="1965">
      <c r="A1965" s="102">
        <v>1.0</v>
      </c>
      <c r="B1965" s="102">
        <v>1.0</v>
      </c>
    </row>
    <row r="1966">
      <c r="A1966" s="102">
        <v>1.0</v>
      </c>
      <c r="B1966" s="102">
        <v>1.0</v>
      </c>
    </row>
    <row r="1967">
      <c r="A1967" s="102">
        <v>1.0</v>
      </c>
      <c r="B1967" s="102">
        <v>1.0</v>
      </c>
    </row>
    <row r="1968">
      <c r="A1968" s="102">
        <v>1.0</v>
      </c>
      <c r="B1968" s="102">
        <v>1.0</v>
      </c>
    </row>
    <row r="1969">
      <c r="A1969" s="102">
        <v>1.0</v>
      </c>
      <c r="B1969" s="102">
        <v>1.0</v>
      </c>
    </row>
    <row r="1970">
      <c r="A1970" s="102">
        <v>0.0</v>
      </c>
      <c r="B1970" s="102">
        <v>0.0</v>
      </c>
    </row>
    <row r="1971">
      <c r="A1971" s="102">
        <v>1.0</v>
      </c>
      <c r="B1971" s="102">
        <v>1.0</v>
      </c>
    </row>
    <row r="1972">
      <c r="A1972" s="102">
        <v>1.0</v>
      </c>
      <c r="B1972" s="102">
        <v>1.0</v>
      </c>
    </row>
    <row r="1973">
      <c r="A1973" s="102">
        <v>1.0</v>
      </c>
      <c r="B1973" s="102">
        <v>1.0</v>
      </c>
    </row>
    <row r="1974">
      <c r="A1974" s="102">
        <v>1.0</v>
      </c>
      <c r="B1974" s="102">
        <v>1.0</v>
      </c>
    </row>
    <row r="1975">
      <c r="A1975" s="107">
        <v>1.0</v>
      </c>
      <c r="B1975" s="107">
        <v>1.0</v>
      </c>
    </row>
    <row r="1976">
      <c r="A1976" s="107">
        <v>1.0</v>
      </c>
      <c r="B1976" s="107">
        <v>1.0</v>
      </c>
    </row>
    <row r="1977">
      <c r="A1977" s="107">
        <v>1.0</v>
      </c>
      <c r="B1977" s="107">
        <v>1.0</v>
      </c>
    </row>
    <row r="1978">
      <c r="A1978" s="107">
        <v>1.0</v>
      </c>
      <c r="B1978" s="107">
        <v>1.0</v>
      </c>
    </row>
    <row r="1979">
      <c r="A1979" s="107">
        <v>1.0</v>
      </c>
      <c r="B1979" s="107">
        <v>1.0</v>
      </c>
    </row>
    <row r="1980">
      <c r="A1980" s="107">
        <v>1.0</v>
      </c>
      <c r="B1980" s="107">
        <v>1.0</v>
      </c>
    </row>
    <row r="1981">
      <c r="A1981" s="107">
        <v>1.0</v>
      </c>
      <c r="B1981" s="107">
        <v>1.0</v>
      </c>
    </row>
    <row r="1982">
      <c r="A1982" s="107">
        <v>1.0</v>
      </c>
      <c r="B1982" s="107">
        <v>1.0</v>
      </c>
    </row>
    <row r="1983">
      <c r="A1983" s="107">
        <v>1.0</v>
      </c>
      <c r="B1983" s="107">
        <v>1.0</v>
      </c>
    </row>
    <row r="1984">
      <c r="A1984" s="107">
        <v>1.0</v>
      </c>
      <c r="B1984" s="107">
        <v>1.0</v>
      </c>
    </row>
    <row r="1985">
      <c r="A1985" s="107">
        <v>1.0</v>
      </c>
      <c r="B1985" s="107">
        <v>1.0</v>
      </c>
    </row>
    <row r="1986">
      <c r="A1986" s="107">
        <v>1.0</v>
      </c>
      <c r="B1986" s="107">
        <v>1.0</v>
      </c>
    </row>
    <row r="1987">
      <c r="A1987" s="107">
        <v>1.0</v>
      </c>
      <c r="B1987" s="107">
        <v>1.0</v>
      </c>
    </row>
    <row r="1988">
      <c r="A1988" s="107">
        <v>1.0</v>
      </c>
      <c r="B1988" s="107">
        <v>1.0</v>
      </c>
    </row>
    <row r="1989">
      <c r="A1989" s="107">
        <v>1.0</v>
      </c>
      <c r="B1989" s="107">
        <v>1.0</v>
      </c>
    </row>
    <row r="1990">
      <c r="A1990" s="107">
        <v>1.0</v>
      </c>
      <c r="B1990" s="107">
        <v>1.0</v>
      </c>
    </row>
    <row r="1991">
      <c r="A1991" s="107">
        <v>1.0</v>
      </c>
      <c r="B1991" s="107">
        <v>1.0</v>
      </c>
    </row>
    <row r="1992">
      <c r="A1992" s="107">
        <v>1.0</v>
      </c>
      <c r="B1992" s="107">
        <v>1.0</v>
      </c>
    </row>
    <row r="1993">
      <c r="A1993" s="107">
        <v>0.0</v>
      </c>
      <c r="B1993" s="107">
        <v>0.0</v>
      </c>
    </row>
    <row r="1994">
      <c r="A1994" s="107">
        <v>1.0</v>
      </c>
      <c r="B1994" s="107">
        <v>1.0</v>
      </c>
    </row>
    <row r="1995">
      <c r="A1995" s="107">
        <v>1.0</v>
      </c>
      <c r="B1995" s="107">
        <v>1.0</v>
      </c>
    </row>
    <row r="1996">
      <c r="A1996" s="109">
        <v>1.0</v>
      </c>
      <c r="B1996" s="109">
        <v>1.0</v>
      </c>
    </row>
    <row r="1997">
      <c r="A1997" s="109">
        <v>1.0</v>
      </c>
      <c r="B1997" s="109">
        <v>1.0</v>
      </c>
    </row>
    <row r="1998">
      <c r="A1998" s="109">
        <v>1.0</v>
      </c>
      <c r="B1998" s="109">
        <v>1.0</v>
      </c>
    </row>
    <row r="1999">
      <c r="A1999" s="109">
        <v>1.0</v>
      </c>
      <c r="B1999" s="109">
        <v>1.0</v>
      </c>
    </row>
    <row r="2000">
      <c r="A2000" s="109">
        <v>1.0</v>
      </c>
      <c r="B2000" s="109">
        <v>1.0</v>
      </c>
    </row>
    <row r="2001">
      <c r="A2001" s="109">
        <v>1.0</v>
      </c>
      <c r="B2001" s="109">
        <v>1.0</v>
      </c>
    </row>
    <row r="2002">
      <c r="A2002" s="109">
        <v>1.0</v>
      </c>
      <c r="B2002" s="109">
        <v>1.0</v>
      </c>
    </row>
    <row r="2003">
      <c r="A2003" s="109">
        <v>1.0</v>
      </c>
      <c r="B2003" s="109">
        <v>1.0</v>
      </c>
    </row>
    <row r="2004">
      <c r="A2004" s="109">
        <v>1.0</v>
      </c>
      <c r="B2004" s="109">
        <v>1.0</v>
      </c>
    </row>
    <row r="2005">
      <c r="A2005" s="109">
        <v>1.0</v>
      </c>
      <c r="B2005" s="109">
        <v>1.0</v>
      </c>
    </row>
    <row r="2006">
      <c r="A2006" s="109">
        <v>1.0</v>
      </c>
      <c r="B2006" s="109">
        <v>1.0</v>
      </c>
    </row>
    <row r="2007">
      <c r="A2007" s="109">
        <v>1.0</v>
      </c>
      <c r="B2007" s="109">
        <v>1.0</v>
      </c>
    </row>
    <row r="2008">
      <c r="A2008" s="109">
        <v>1.0</v>
      </c>
      <c r="B2008" s="109">
        <v>1.0</v>
      </c>
    </row>
    <row r="2009">
      <c r="A2009" s="109">
        <v>1.0</v>
      </c>
      <c r="B2009" s="109">
        <v>1.0</v>
      </c>
    </row>
    <row r="2010">
      <c r="A2010" s="109">
        <v>1.0</v>
      </c>
      <c r="B2010" s="109">
        <v>1.0</v>
      </c>
    </row>
    <row r="2011">
      <c r="A2011" s="109">
        <v>1.0</v>
      </c>
      <c r="B2011" s="109">
        <v>1.0</v>
      </c>
    </row>
    <row r="2012">
      <c r="A2012" s="109">
        <v>1.0</v>
      </c>
      <c r="B2012" s="109">
        <v>1.0</v>
      </c>
    </row>
    <row r="2013">
      <c r="A2013" s="109">
        <v>1.0</v>
      </c>
      <c r="B2013" s="109">
        <v>1.0</v>
      </c>
    </row>
    <row r="2014">
      <c r="A2014" s="109">
        <v>1.0</v>
      </c>
      <c r="B2014" s="109">
        <v>1.0</v>
      </c>
    </row>
    <row r="2015">
      <c r="A2015" s="109">
        <v>1.0</v>
      </c>
      <c r="B2015" s="109">
        <v>1.0</v>
      </c>
    </row>
    <row r="2016">
      <c r="A2016" s="109">
        <v>1.0</v>
      </c>
      <c r="B2016" s="109">
        <v>1.0</v>
      </c>
    </row>
    <row r="2017">
      <c r="A2017" s="107">
        <v>1.0</v>
      </c>
      <c r="B2017" s="107">
        <v>1.0</v>
      </c>
    </row>
    <row r="2018">
      <c r="A2018" s="107">
        <v>1.0</v>
      </c>
      <c r="B2018" s="107">
        <v>1.0</v>
      </c>
    </row>
    <row r="2019">
      <c r="A2019" s="107">
        <v>1.0</v>
      </c>
      <c r="B2019" s="107">
        <v>1.0</v>
      </c>
    </row>
    <row r="2020">
      <c r="A2020" s="107">
        <v>1.0</v>
      </c>
      <c r="B2020" s="107">
        <v>1.0</v>
      </c>
    </row>
    <row r="2021">
      <c r="A2021" s="107">
        <v>1.0</v>
      </c>
      <c r="B2021" s="107">
        <v>1.0</v>
      </c>
    </row>
    <row r="2022">
      <c r="A2022" s="107">
        <v>1.0</v>
      </c>
      <c r="B2022" s="107">
        <v>1.0</v>
      </c>
    </row>
    <row r="2023">
      <c r="A2023" s="107">
        <v>1.0</v>
      </c>
      <c r="B2023" s="107">
        <v>1.0</v>
      </c>
    </row>
    <row r="2024">
      <c r="A2024" s="107">
        <v>1.0</v>
      </c>
      <c r="B2024" s="107">
        <v>1.0</v>
      </c>
    </row>
    <row r="2025">
      <c r="A2025" s="107">
        <v>1.0</v>
      </c>
      <c r="B2025" s="107">
        <v>1.0</v>
      </c>
    </row>
    <row r="2026">
      <c r="A2026" s="107">
        <v>1.0</v>
      </c>
      <c r="B2026" s="107">
        <v>1.0</v>
      </c>
    </row>
    <row r="2027">
      <c r="A2027" s="107">
        <v>1.0</v>
      </c>
      <c r="B2027" s="107">
        <v>1.0</v>
      </c>
    </row>
    <row r="2028">
      <c r="A2028" s="107">
        <v>1.0</v>
      </c>
      <c r="B2028" s="107">
        <v>1.0</v>
      </c>
    </row>
    <row r="2029">
      <c r="A2029" s="107">
        <v>1.0</v>
      </c>
      <c r="B2029" s="107">
        <v>1.0</v>
      </c>
    </row>
    <row r="2030">
      <c r="A2030" s="107">
        <v>1.0</v>
      </c>
      <c r="B2030" s="107">
        <v>1.0</v>
      </c>
    </row>
    <row r="2031">
      <c r="A2031" s="107">
        <v>1.0</v>
      </c>
      <c r="B2031" s="107">
        <v>1.0</v>
      </c>
    </row>
    <row r="2032">
      <c r="A2032" s="107">
        <v>1.0</v>
      </c>
      <c r="B2032" s="107">
        <v>1.0</v>
      </c>
    </row>
    <row r="2033">
      <c r="A2033" s="107">
        <v>1.0</v>
      </c>
      <c r="B2033" s="107">
        <v>1.0</v>
      </c>
    </row>
    <row r="2034">
      <c r="A2034" s="107">
        <v>1.0</v>
      </c>
      <c r="B2034" s="107">
        <v>1.0</v>
      </c>
    </row>
    <row r="2035">
      <c r="A2035" s="107">
        <v>1.0</v>
      </c>
      <c r="B2035" s="107">
        <v>1.0</v>
      </c>
    </row>
    <row r="2036">
      <c r="A2036" s="107">
        <v>1.0</v>
      </c>
      <c r="B2036" s="107">
        <v>1.0</v>
      </c>
    </row>
    <row r="2037">
      <c r="A2037" s="107">
        <v>1.0</v>
      </c>
      <c r="B2037" s="107">
        <v>1.0</v>
      </c>
    </row>
    <row r="2038">
      <c r="A2038" s="102">
        <v>1.0</v>
      </c>
      <c r="B2038" s="102">
        <v>1.0</v>
      </c>
    </row>
    <row r="2039">
      <c r="A2039" s="102">
        <v>1.0</v>
      </c>
      <c r="B2039" s="102">
        <v>1.0</v>
      </c>
    </row>
    <row r="2040">
      <c r="A2040" s="102">
        <v>1.0</v>
      </c>
      <c r="B2040" s="102">
        <v>1.0</v>
      </c>
    </row>
    <row r="2041">
      <c r="A2041" s="102">
        <v>1.0</v>
      </c>
      <c r="B2041" s="102">
        <v>1.0</v>
      </c>
    </row>
    <row r="2042">
      <c r="A2042" s="102">
        <v>0.0</v>
      </c>
      <c r="B2042" s="102">
        <v>0.0</v>
      </c>
    </row>
    <row r="2043">
      <c r="A2043" s="102">
        <v>1.0</v>
      </c>
      <c r="B2043" s="102">
        <v>1.0</v>
      </c>
    </row>
    <row r="2044">
      <c r="A2044" s="102">
        <v>1.0</v>
      </c>
      <c r="B2044" s="102">
        <v>1.0</v>
      </c>
    </row>
    <row r="2045">
      <c r="A2045" s="102">
        <v>1.0</v>
      </c>
      <c r="B2045" s="102">
        <v>1.0</v>
      </c>
    </row>
    <row r="2046">
      <c r="A2046" s="102">
        <v>1.0</v>
      </c>
      <c r="B2046" s="102">
        <v>1.0</v>
      </c>
    </row>
    <row r="2047">
      <c r="A2047" s="102">
        <v>1.0</v>
      </c>
      <c r="B2047" s="102">
        <v>1.0</v>
      </c>
    </row>
    <row r="2048">
      <c r="A2048" s="102">
        <v>1.0</v>
      </c>
      <c r="B2048" s="102">
        <v>1.0</v>
      </c>
    </row>
    <row r="2049">
      <c r="A2049" s="102">
        <v>1.0</v>
      </c>
      <c r="B2049" s="102">
        <v>1.0</v>
      </c>
    </row>
    <row r="2050">
      <c r="A2050" s="102">
        <v>1.0</v>
      </c>
      <c r="B2050" s="102">
        <v>1.0</v>
      </c>
    </row>
    <row r="2051">
      <c r="A2051" s="102">
        <v>1.0</v>
      </c>
      <c r="B2051" s="102">
        <v>1.0</v>
      </c>
    </row>
    <row r="2052">
      <c r="A2052" s="102">
        <v>1.0</v>
      </c>
      <c r="B2052" s="102">
        <v>1.0</v>
      </c>
    </row>
    <row r="2053">
      <c r="A2053" s="102">
        <v>1.0</v>
      </c>
      <c r="B2053" s="102">
        <v>1.0</v>
      </c>
    </row>
    <row r="2054">
      <c r="A2054" s="102">
        <v>1.0</v>
      </c>
      <c r="B2054" s="102">
        <v>1.0</v>
      </c>
    </row>
    <row r="2055">
      <c r="A2055" s="102">
        <v>1.0</v>
      </c>
      <c r="B2055" s="102">
        <v>1.0</v>
      </c>
    </row>
    <row r="2056">
      <c r="A2056" s="102">
        <v>1.0</v>
      </c>
      <c r="B2056" s="102">
        <v>1.0</v>
      </c>
    </row>
    <row r="2057">
      <c r="A2057" s="102">
        <v>1.0</v>
      </c>
      <c r="B2057" s="102">
        <v>1.0</v>
      </c>
    </row>
    <row r="2058">
      <c r="A2058" s="102">
        <v>1.0</v>
      </c>
      <c r="B2058" s="102">
        <v>1.0</v>
      </c>
    </row>
    <row r="2059">
      <c r="A2059" s="107">
        <v>1.0</v>
      </c>
      <c r="B2059" s="107">
        <v>1.0</v>
      </c>
    </row>
    <row r="2060">
      <c r="A2060" s="107">
        <v>1.0</v>
      </c>
      <c r="B2060" s="107">
        <v>1.0</v>
      </c>
    </row>
    <row r="2061">
      <c r="A2061" s="107">
        <v>1.0</v>
      </c>
      <c r="B2061" s="107">
        <v>1.0</v>
      </c>
    </row>
    <row r="2062">
      <c r="A2062" s="107">
        <v>1.0</v>
      </c>
      <c r="B2062" s="107">
        <v>1.0</v>
      </c>
    </row>
    <row r="2063">
      <c r="A2063" s="107">
        <v>0.0</v>
      </c>
      <c r="B2063" s="107">
        <v>1.0</v>
      </c>
    </row>
    <row r="2064">
      <c r="A2064" s="107">
        <v>1.0</v>
      </c>
      <c r="B2064" s="107">
        <v>1.0</v>
      </c>
    </row>
    <row r="2065">
      <c r="A2065" s="107">
        <v>1.0</v>
      </c>
      <c r="B2065" s="107">
        <v>1.0</v>
      </c>
    </row>
    <row r="2066">
      <c r="A2066" s="107">
        <v>1.0</v>
      </c>
      <c r="B2066" s="107">
        <v>0.0</v>
      </c>
    </row>
    <row r="2067">
      <c r="A2067" s="107">
        <v>1.0</v>
      </c>
      <c r="B2067" s="107">
        <v>0.0</v>
      </c>
    </row>
    <row r="2068">
      <c r="A2068" s="107">
        <v>1.0</v>
      </c>
      <c r="B2068" s="107">
        <v>1.0</v>
      </c>
    </row>
    <row r="2069">
      <c r="A2069" s="107">
        <v>1.0</v>
      </c>
      <c r="B2069" s="107">
        <v>1.0</v>
      </c>
    </row>
    <row r="2070">
      <c r="A2070" s="107">
        <v>0.0</v>
      </c>
      <c r="B2070" s="107">
        <v>0.0</v>
      </c>
    </row>
    <row r="2071">
      <c r="A2071" s="107">
        <v>1.0</v>
      </c>
      <c r="B2071" s="107">
        <v>1.0</v>
      </c>
    </row>
    <row r="2072">
      <c r="A2072" s="107">
        <v>1.0</v>
      </c>
      <c r="B2072" s="107">
        <v>1.0</v>
      </c>
    </row>
    <row r="2073">
      <c r="A2073" s="107">
        <v>1.0</v>
      </c>
      <c r="B2073" s="107">
        <v>1.0</v>
      </c>
    </row>
    <row r="2074">
      <c r="A2074" s="107">
        <v>1.0</v>
      </c>
      <c r="B2074" s="107">
        <v>1.0</v>
      </c>
    </row>
    <row r="2075">
      <c r="A2075" s="107">
        <v>1.0</v>
      </c>
      <c r="B2075" s="107">
        <v>1.0</v>
      </c>
    </row>
    <row r="2076">
      <c r="A2076" s="107">
        <v>1.0</v>
      </c>
      <c r="B2076" s="107">
        <v>1.0</v>
      </c>
    </row>
    <row r="2077">
      <c r="A2077" s="107">
        <v>1.0</v>
      </c>
      <c r="B2077" s="107">
        <v>1.0</v>
      </c>
    </row>
    <row r="2078">
      <c r="A2078" s="107">
        <v>1.0</v>
      </c>
      <c r="B2078" s="107">
        <v>1.0</v>
      </c>
    </row>
    <row r="2079">
      <c r="A2079" s="107">
        <v>1.0</v>
      </c>
      <c r="B2079" s="107">
        <v>1.0</v>
      </c>
    </row>
    <row r="2080">
      <c r="A2080" s="102">
        <v>1.0</v>
      </c>
      <c r="B2080" s="107">
        <v>1.0</v>
      </c>
    </row>
    <row r="2081">
      <c r="A2081" s="102">
        <v>1.0</v>
      </c>
      <c r="B2081" s="107">
        <v>1.0</v>
      </c>
    </row>
    <row r="2082">
      <c r="A2082" s="102">
        <v>1.0</v>
      </c>
      <c r="B2082" s="107">
        <v>1.0</v>
      </c>
    </row>
    <row r="2083">
      <c r="A2083" s="102">
        <v>1.0</v>
      </c>
      <c r="B2083" s="107">
        <v>1.0</v>
      </c>
    </row>
    <row r="2084">
      <c r="A2084" s="102">
        <v>0.0</v>
      </c>
      <c r="B2084" s="107">
        <v>0.0</v>
      </c>
    </row>
    <row r="2085">
      <c r="A2085" s="102">
        <v>1.0</v>
      </c>
      <c r="B2085" s="107">
        <v>1.0</v>
      </c>
    </row>
    <row r="2086">
      <c r="A2086" s="102">
        <v>1.0</v>
      </c>
      <c r="B2086" s="107">
        <v>1.0</v>
      </c>
    </row>
    <row r="2087">
      <c r="A2087" s="102">
        <v>1.0</v>
      </c>
      <c r="B2087" s="107">
        <v>1.0</v>
      </c>
    </row>
    <row r="2088">
      <c r="A2088" s="102">
        <v>1.0</v>
      </c>
      <c r="B2088" s="107">
        <v>1.0</v>
      </c>
    </row>
    <row r="2089">
      <c r="A2089" s="102">
        <v>1.0</v>
      </c>
      <c r="B2089" s="107">
        <v>1.0</v>
      </c>
    </row>
    <row r="2090">
      <c r="A2090" s="102">
        <v>1.0</v>
      </c>
      <c r="B2090" s="107">
        <v>1.0</v>
      </c>
    </row>
    <row r="2091">
      <c r="A2091" s="102">
        <v>1.0</v>
      </c>
      <c r="B2091" s="107">
        <v>0.0</v>
      </c>
    </row>
    <row r="2092">
      <c r="A2092" s="102">
        <v>1.0</v>
      </c>
      <c r="B2092" s="107">
        <v>1.0</v>
      </c>
    </row>
    <row r="2093">
      <c r="A2093" s="102">
        <v>1.0</v>
      </c>
      <c r="B2093" s="107">
        <v>1.0</v>
      </c>
    </row>
    <row r="2094">
      <c r="A2094" s="102">
        <v>1.0</v>
      </c>
      <c r="B2094" s="107">
        <v>1.0</v>
      </c>
    </row>
    <row r="2095">
      <c r="A2095" s="102">
        <v>1.0</v>
      </c>
      <c r="B2095" s="107">
        <v>1.0</v>
      </c>
    </row>
    <row r="2096">
      <c r="A2096" s="102">
        <v>1.0</v>
      </c>
      <c r="B2096" s="107">
        <v>1.0</v>
      </c>
    </row>
    <row r="2097">
      <c r="A2097" s="102">
        <v>1.0</v>
      </c>
      <c r="B2097" s="107">
        <v>1.0</v>
      </c>
    </row>
    <row r="2098">
      <c r="A2098" s="102">
        <v>1.0</v>
      </c>
      <c r="B2098" s="107">
        <v>0.0</v>
      </c>
    </row>
    <row r="2099">
      <c r="A2099" s="102">
        <v>1.0</v>
      </c>
      <c r="B2099" s="107">
        <v>1.0</v>
      </c>
    </row>
    <row r="2100">
      <c r="A2100" s="102">
        <v>1.0</v>
      </c>
      <c r="B2100" s="107">
        <v>1.0</v>
      </c>
    </row>
    <row r="2101">
      <c r="A2101" s="107">
        <v>1.0</v>
      </c>
      <c r="B2101" s="107">
        <v>1.0</v>
      </c>
    </row>
    <row r="2102">
      <c r="A2102" s="107">
        <v>1.0</v>
      </c>
      <c r="B2102" s="107">
        <v>0.0</v>
      </c>
    </row>
    <row r="2103">
      <c r="A2103" s="107">
        <v>1.0</v>
      </c>
      <c r="B2103" s="107">
        <v>0.0</v>
      </c>
    </row>
    <row r="2104">
      <c r="A2104" s="107">
        <v>1.0</v>
      </c>
      <c r="B2104" s="107">
        <v>1.0</v>
      </c>
    </row>
    <row r="2105">
      <c r="A2105" s="107">
        <v>1.0</v>
      </c>
      <c r="B2105" s="107">
        <v>0.0</v>
      </c>
    </row>
    <row r="2106">
      <c r="A2106" s="107">
        <v>1.0</v>
      </c>
      <c r="B2106" s="107">
        <v>1.0</v>
      </c>
    </row>
    <row r="2107">
      <c r="A2107" s="107">
        <v>1.0</v>
      </c>
      <c r="B2107" s="107">
        <v>1.0</v>
      </c>
    </row>
    <row r="2108">
      <c r="A2108" s="107">
        <v>1.0</v>
      </c>
      <c r="B2108" s="107">
        <v>1.0</v>
      </c>
    </row>
    <row r="2109">
      <c r="A2109" s="107">
        <v>1.0</v>
      </c>
      <c r="B2109" s="107">
        <v>1.0</v>
      </c>
    </row>
    <row r="2110">
      <c r="A2110" s="107">
        <v>1.0</v>
      </c>
      <c r="B2110" s="107">
        <v>1.0</v>
      </c>
    </row>
    <row r="2111">
      <c r="A2111" s="107">
        <v>1.0</v>
      </c>
      <c r="B2111" s="107">
        <v>1.0</v>
      </c>
    </row>
    <row r="2112">
      <c r="A2112" s="107">
        <v>1.0</v>
      </c>
      <c r="B2112" s="107">
        <v>1.0</v>
      </c>
    </row>
    <row r="2113">
      <c r="A2113" s="107">
        <v>1.0</v>
      </c>
      <c r="B2113" s="107">
        <v>1.0</v>
      </c>
    </row>
    <row r="2114">
      <c r="A2114" s="107">
        <v>1.0</v>
      </c>
      <c r="B2114" s="107">
        <v>1.0</v>
      </c>
    </row>
    <row r="2115">
      <c r="A2115" s="107">
        <v>1.0</v>
      </c>
      <c r="B2115" s="107">
        <v>1.0</v>
      </c>
    </row>
    <row r="2116">
      <c r="A2116" s="107">
        <v>1.0</v>
      </c>
      <c r="B2116" s="107">
        <v>1.0</v>
      </c>
    </row>
    <row r="2117">
      <c r="A2117" s="107">
        <v>1.0</v>
      </c>
      <c r="B2117" s="107">
        <v>1.0</v>
      </c>
    </row>
    <row r="2118">
      <c r="A2118" s="107">
        <v>1.0</v>
      </c>
      <c r="B2118" s="107">
        <v>1.0</v>
      </c>
    </row>
    <row r="2119">
      <c r="A2119" s="107">
        <v>1.0</v>
      </c>
      <c r="B2119" s="107">
        <v>1.0</v>
      </c>
    </row>
    <row r="2120">
      <c r="A2120" s="107">
        <v>1.0</v>
      </c>
      <c r="B2120" s="107">
        <v>1.0</v>
      </c>
    </row>
    <row r="2121">
      <c r="A2121" s="107">
        <v>1.0</v>
      </c>
      <c r="B2121" s="107">
        <v>1.0</v>
      </c>
    </row>
    <row r="2122">
      <c r="A2122" s="102">
        <v>1.0</v>
      </c>
      <c r="B2122" s="107">
        <v>1.0</v>
      </c>
    </row>
    <row r="2123">
      <c r="A2123" s="102">
        <v>1.0</v>
      </c>
      <c r="B2123" s="107">
        <v>1.0</v>
      </c>
    </row>
    <row r="2124">
      <c r="A2124" s="102">
        <v>1.0</v>
      </c>
      <c r="B2124" s="107">
        <v>1.0</v>
      </c>
    </row>
    <row r="2125">
      <c r="A2125" s="102">
        <v>1.0</v>
      </c>
      <c r="B2125" s="107">
        <v>1.0</v>
      </c>
    </row>
    <row r="2126">
      <c r="A2126" s="102">
        <v>1.0</v>
      </c>
      <c r="B2126" s="107">
        <v>1.0</v>
      </c>
    </row>
    <row r="2127">
      <c r="A2127" s="102">
        <v>1.0</v>
      </c>
      <c r="B2127" s="107">
        <v>1.0</v>
      </c>
    </row>
    <row r="2128">
      <c r="A2128" s="102">
        <v>1.0</v>
      </c>
      <c r="B2128" s="107">
        <v>1.0</v>
      </c>
    </row>
    <row r="2129">
      <c r="A2129" s="102">
        <v>1.0</v>
      </c>
      <c r="B2129" s="107">
        <v>1.0</v>
      </c>
    </row>
    <row r="2130">
      <c r="A2130" s="102">
        <v>1.0</v>
      </c>
      <c r="B2130" s="107">
        <v>1.0</v>
      </c>
    </row>
    <row r="2131">
      <c r="A2131" s="102">
        <v>1.0</v>
      </c>
      <c r="B2131" s="107">
        <v>1.0</v>
      </c>
    </row>
    <row r="2132">
      <c r="A2132" s="102">
        <v>1.0</v>
      </c>
      <c r="B2132" s="107">
        <v>1.0</v>
      </c>
    </row>
    <row r="2133">
      <c r="A2133" s="102">
        <v>1.0</v>
      </c>
      <c r="B2133" s="107">
        <v>1.0</v>
      </c>
    </row>
    <row r="2134">
      <c r="A2134" s="102">
        <v>1.0</v>
      </c>
      <c r="B2134" s="107">
        <v>1.0</v>
      </c>
    </row>
    <row r="2135">
      <c r="A2135" s="102">
        <v>1.0</v>
      </c>
      <c r="B2135" s="107">
        <v>1.0</v>
      </c>
    </row>
    <row r="2136">
      <c r="A2136" s="102">
        <v>1.0</v>
      </c>
      <c r="B2136" s="107">
        <v>1.0</v>
      </c>
    </row>
    <row r="2137">
      <c r="A2137" s="102">
        <v>1.0</v>
      </c>
      <c r="B2137" s="107">
        <v>1.0</v>
      </c>
    </row>
    <row r="2138">
      <c r="A2138" s="102">
        <v>1.0</v>
      </c>
      <c r="B2138" s="107">
        <v>1.0</v>
      </c>
    </row>
    <row r="2139">
      <c r="A2139" s="102">
        <v>1.0</v>
      </c>
      <c r="B2139" s="107">
        <v>1.0</v>
      </c>
    </row>
    <row r="2140">
      <c r="A2140" s="102">
        <v>1.0</v>
      </c>
      <c r="B2140" s="107">
        <v>1.0</v>
      </c>
    </row>
    <row r="2141">
      <c r="A2141" s="102">
        <v>1.0</v>
      </c>
      <c r="B2141" s="107">
        <v>1.0</v>
      </c>
    </row>
    <row r="2142">
      <c r="A2142" s="102">
        <v>1.0</v>
      </c>
      <c r="B2142" s="107">
        <v>1.0</v>
      </c>
    </row>
    <row r="2143">
      <c r="A2143" s="107">
        <v>1.0</v>
      </c>
      <c r="B2143" s="107">
        <v>1.0</v>
      </c>
    </row>
    <row r="2144">
      <c r="A2144" s="107">
        <v>1.0</v>
      </c>
      <c r="B2144" s="107">
        <v>1.0</v>
      </c>
    </row>
    <row r="2145">
      <c r="A2145" s="107">
        <v>1.0</v>
      </c>
      <c r="B2145" s="107">
        <v>1.0</v>
      </c>
    </row>
    <row r="2146">
      <c r="A2146" s="107">
        <v>1.0</v>
      </c>
      <c r="B2146" s="107">
        <v>1.0</v>
      </c>
    </row>
    <row r="2147">
      <c r="A2147" s="107">
        <v>1.0</v>
      </c>
      <c r="B2147" s="107">
        <v>1.0</v>
      </c>
    </row>
    <row r="2148">
      <c r="A2148" s="107">
        <v>1.0</v>
      </c>
      <c r="B2148" s="107">
        <v>1.0</v>
      </c>
    </row>
    <row r="2149">
      <c r="A2149" s="107">
        <v>1.0</v>
      </c>
      <c r="B2149" s="107">
        <v>1.0</v>
      </c>
    </row>
    <row r="2150">
      <c r="A2150" s="107">
        <v>1.0</v>
      </c>
      <c r="B2150" s="107">
        <v>1.0</v>
      </c>
    </row>
    <row r="2151">
      <c r="A2151" s="107">
        <v>1.0</v>
      </c>
      <c r="B2151" s="107">
        <v>1.0</v>
      </c>
    </row>
    <row r="2152">
      <c r="A2152" s="107">
        <v>1.0</v>
      </c>
      <c r="B2152" s="107">
        <v>1.0</v>
      </c>
    </row>
    <row r="2153">
      <c r="A2153" s="107">
        <v>1.0</v>
      </c>
      <c r="B2153" s="107">
        <v>1.0</v>
      </c>
    </row>
    <row r="2154">
      <c r="A2154" s="107">
        <v>1.0</v>
      </c>
      <c r="B2154" s="107">
        <v>1.0</v>
      </c>
    </row>
    <row r="2155">
      <c r="A2155" s="107">
        <v>1.0</v>
      </c>
      <c r="B2155" s="107">
        <v>1.0</v>
      </c>
    </row>
    <row r="2156">
      <c r="A2156" s="107">
        <v>1.0</v>
      </c>
      <c r="B2156" s="107">
        <v>1.0</v>
      </c>
    </row>
    <row r="2157">
      <c r="A2157" s="107">
        <v>1.0</v>
      </c>
      <c r="B2157" s="107">
        <v>1.0</v>
      </c>
    </row>
    <row r="2158">
      <c r="A2158" s="107">
        <v>1.0</v>
      </c>
      <c r="B2158" s="107">
        <v>1.0</v>
      </c>
    </row>
    <row r="2159">
      <c r="A2159" s="107">
        <v>1.0</v>
      </c>
      <c r="B2159" s="107">
        <v>1.0</v>
      </c>
    </row>
    <row r="2160">
      <c r="A2160" s="107">
        <v>1.0</v>
      </c>
      <c r="B2160" s="107">
        <v>1.0</v>
      </c>
    </row>
    <row r="2161">
      <c r="A2161" s="107">
        <v>1.0</v>
      </c>
      <c r="B2161" s="107">
        <v>1.0</v>
      </c>
    </row>
    <row r="2162">
      <c r="A2162" s="107">
        <v>1.0</v>
      </c>
      <c r="B2162" s="107">
        <v>1.0</v>
      </c>
    </row>
    <row r="2163">
      <c r="A2163" s="107">
        <v>1.0</v>
      </c>
      <c r="B2163" s="107">
        <v>1.0</v>
      </c>
    </row>
    <row r="2164">
      <c r="A2164" s="102">
        <v>0.0</v>
      </c>
      <c r="B2164" s="107">
        <v>0.0</v>
      </c>
    </row>
    <row r="2165">
      <c r="A2165" s="102">
        <v>0.0</v>
      </c>
      <c r="B2165" s="107">
        <v>0.0</v>
      </c>
    </row>
    <row r="2166">
      <c r="A2166" s="102">
        <v>0.0</v>
      </c>
      <c r="B2166" s="107">
        <v>0.0</v>
      </c>
    </row>
    <row r="2167">
      <c r="A2167" s="102">
        <v>1.0</v>
      </c>
      <c r="B2167" s="107">
        <v>1.0</v>
      </c>
    </row>
    <row r="2168">
      <c r="A2168" s="102">
        <v>0.0</v>
      </c>
      <c r="B2168" s="107">
        <v>0.0</v>
      </c>
    </row>
    <row r="2169">
      <c r="A2169" s="102">
        <v>0.0</v>
      </c>
      <c r="B2169" s="107">
        <v>0.0</v>
      </c>
    </row>
    <row r="2170">
      <c r="A2170" s="102">
        <v>1.0</v>
      </c>
      <c r="B2170" s="107">
        <v>1.0</v>
      </c>
    </row>
    <row r="2171">
      <c r="A2171" s="102">
        <v>0.0</v>
      </c>
      <c r="B2171" s="107">
        <v>1.0</v>
      </c>
    </row>
    <row r="2172">
      <c r="A2172" s="102">
        <v>0.0</v>
      </c>
      <c r="B2172" s="107">
        <v>0.0</v>
      </c>
    </row>
    <row r="2173">
      <c r="A2173" s="102">
        <v>0.0</v>
      </c>
      <c r="B2173" s="107">
        <v>1.0</v>
      </c>
    </row>
    <row r="2174">
      <c r="A2174" s="102">
        <v>1.0</v>
      </c>
      <c r="B2174" s="107">
        <v>1.0</v>
      </c>
    </row>
    <row r="2175">
      <c r="A2175" s="102">
        <v>0.0</v>
      </c>
      <c r="B2175" s="107">
        <v>0.0</v>
      </c>
    </row>
    <row r="2176">
      <c r="A2176" s="102">
        <v>0.0</v>
      </c>
      <c r="B2176" s="107">
        <v>1.0</v>
      </c>
    </row>
    <row r="2177">
      <c r="A2177" s="102">
        <v>1.0</v>
      </c>
      <c r="B2177" s="107">
        <v>1.0</v>
      </c>
    </row>
    <row r="2178">
      <c r="A2178" s="102">
        <v>1.0</v>
      </c>
      <c r="B2178" s="102">
        <v>1.0</v>
      </c>
    </row>
    <row r="2179">
      <c r="A2179" s="102">
        <v>1.0</v>
      </c>
      <c r="B2179" s="102">
        <v>1.0</v>
      </c>
    </row>
    <row r="2180">
      <c r="A2180" s="102">
        <v>1.0</v>
      </c>
      <c r="B2180" s="102">
        <v>1.0</v>
      </c>
    </row>
    <row r="2181">
      <c r="A2181" s="102">
        <v>1.0</v>
      </c>
      <c r="B2181" s="102">
        <v>1.0</v>
      </c>
    </row>
    <row r="2182">
      <c r="A2182" s="102">
        <v>1.0</v>
      </c>
      <c r="B2182" s="102">
        <v>1.0</v>
      </c>
    </row>
    <row r="2183">
      <c r="A2183" s="102">
        <v>1.0</v>
      </c>
      <c r="B2183" s="102">
        <v>1.0</v>
      </c>
    </row>
    <row r="2184">
      <c r="A2184" s="102">
        <v>1.0</v>
      </c>
      <c r="B2184" s="102">
        <v>1.0</v>
      </c>
    </row>
    <row r="2185">
      <c r="A2185" s="102">
        <v>1.0</v>
      </c>
      <c r="B2185" s="107">
        <v>0.0</v>
      </c>
    </row>
    <row r="2186">
      <c r="A2186" s="102">
        <v>0.0</v>
      </c>
      <c r="B2186" s="107">
        <v>0.0</v>
      </c>
    </row>
    <row r="2187">
      <c r="A2187" s="102">
        <v>0.0</v>
      </c>
      <c r="B2187" s="107">
        <v>1.0</v>
      </c>
    </row>
    <row r="2188">
      <c r="A2188" s="102">
        <v>1.0</v>
      </c>
      <c r="B2188" s="107">
        <v>1.0</v>
      </c>
    </row>
    <row r="2189">
      <c r="A2189" s="102">
        <v>1.0</v>
      </c>
      <c r="B2189" s="107">
        <v>0.0</v>
      </c>
    </row>
    <row r="2190">
      <c r="A2190" s="102">
        <v>0.0</v>
      </c>
      <c r="B2190" s="107">
        <v>0.0</v>
      </c>
    </row>
    <row r="2191">
      <c r="A2191" s="102">
        <v>1.0</v>
      </c>
      <c r="B2191" s="107">
        <v>1.0</v>
      </c>
    </row>
    <row r="2192">
      <c r="A2192" s="102">
        <v>1.0</v>
      </c>
      <c r="B2192" s="107">
        <v>1.0</v>
      </c>
    </row>
    <row r="2193">
      <c r="A2193" s="102">
        <v>1.0</v>
      </c>
      <c r="B2193" s="107">
        <v>1.0</v>
      </c>
    </row>
    <row r="2194">
      <c r="A2194" s="102">
        <v>0.0</v>
      </c>
      <c r="B2194" s="107">
        <v>1.0</v>
      </c>
    </row>
    <row r="2195">
      <c r="A2195" s="102">
        <v>1.0</v>
      </c>
      <c r="B2195" s="107">
        <v>1.0</v>
      </c>
    </row>
    <row r="2196">
      <c r="A2196" s="102">
        <v>1.0</v>
      </c>
      <c r="B2196" s="107">
        <v>1.0</v>
      </c>
    </row>
    <row r="2197">
      <c r="A2197" s="102">
        <v>1.0</v>
      </c>
      <c r="B2197" s="107">
        <v>1.0</v>
      </c>
    </row>
    <row r="2198">
      <c r="A2198" s="102">
        <v>1.0</v>
      </c>
      <c r="B2198" s="107">
        <v>1.0</v>
      </c>
    </row>
    <row r="2199">
      <c r="A2199" s="102">
        <v>1.0</v>
      </c>
      <c r="B2199" s="107">
        <v>1.0</v>
      </c>
    </row>
    <row r="2200">
      <c r="A2200" s="102">
        <v>1.0</v>
      </c>
      <c r="B2200" s="107">
        <v>1.0</v>
      </c>
    </row>
    <row r="2201">
      <c r="A2201" s="102">
        <v>1.0</v>
      </c>
      <c r="B2201" s="107">
        <v>1.0</v>
      </c>
    </row>
    <row r="2202">
      <c r="A2202" s="102">
        <v>1.0</v>
      </c>
      <c r="B2202" s="107">
        <v>1.0</v>
      </c>
    </row>
    <row r="2203">
      <c r="A2203" s="102">
        <v>1.0</v>
      </c>
      <c r="B2203" s="107">
        <v>1.0</v>
      </c>
    </row>
    <row r="2204">
      <c r="A2204" s="102">
        <v>1.0</v>
      </c>
      <c r="B2204" s="107">
        <v>1.0</v>
      </c>
    </row>
    <row r="2205">
      <c r="A2205" s="102">
        <v>1.0</v>
      </c>
      <c r="B2205" s="107">
        <v>1.0</v>
      </c>
    </row>
    <row r="2206">
      <c r="A2206" s="107">
        <v>0.0</v>
      </c>
      <c r="B2206" s="107">
        <v>0.0</v>
      </c>
    </row>
    <row r="2207">
      <c r="A2207" s="107">
        <v>1.0</v>
      </c>
      <c r="B2207" s="107">
        <v>0.0</v>
      </c>
    </row>
    <row r="2208">
      <c r="A2208" s="107">
        <v>0.0</v>
      </c>
      <c r="B2208" s="107">
        <v>1.0</v>
      </c>
    </row>
    <row r="2209">
      <c r="A2209" s="107">
        <v>1.0</v>
      </c>
      <c r="B2209" s="107">
        <v>1.0</v>
      </c>
    </row>
    <row r="2210">
      <c r="A2210" s="107">
        <v>0.0</v>
      </c>
      <c r="B2210" s="107">
        <v>0.0</v>
      </c>
    </row>
    <row r="2211">
      <c r="A2211" s="107">
        <v>1.0</v>
      </c>
      <c r="B2211" s="107">
        <v>0.0</v>
      </c>
    </row>
    <row r="2212">
      <c r="A2212" s="107">
        <v>1.0</v>
      </c>
      <c r="B2212" s="107">
        <v>1.0</v>
      </c>
    </row>
    <row r="2213">
      <c r="A2213" s="107">
        <v>1.0</v>
      </c>
      <c r="B2213" s="107">
        <v>1.0</v>
      </c>
    </row>
    <row r="2214">
      <c r="A2214" s="107">
        <v>1.0</v>
      </c>
      <c r="B2214" s="107">
        <v>1.0</v>
      </c>
    </row>
    <row r="2215">
      <c r="A2215" s="107">
        <v>1.0</v>
      </c>
      <c r="B2215" s="107">
        <v>1.0</v>
      </c>
    </row>
    <row r="2216">
      <c r="A2216" s="107">
        <v>1.0</v>
      </c>
      <c r="B2216" s="107">
        <v>1.0</v>
      </c>
    </row>
    <row r="2217">
      <c r="A2217" s="107">
        <v>1.0</v>
      </c>
      <c r="B2217" s="107">
        <v>1.0</v>
      </c>
    </row>
    <row r="2218">
      <c r="A2218" s="107">
        <v>1.0</v>
      </c>
      <c r="B2218" s="107">
        <v>1.0</v>
      </c>
    </row>
    <row r="2219">
      <c r="A2219" s="107">
        <v>1.0</v>
      </c>
      <c r="B2219" s="107">
        <v>1.0</v>
      </c>
    </row>
    <row r="2220">
      <c r="A2220" s="107">
        <v>1.0</v>
      </c>
      <c r="B2220" s="107">
        <v>1.0</v>
      </c>
    </row>
    <row r="2221">
      <c r="A2221" s="107">
        <v>1.0</v>
      </c>
      <c r="B2221" s="107">
        <v>1.0</v>
      </c>
    </row>
    <row r="2222">
      <c r="A2222" s="107">
        <v>1.0</v>
      </c>
      <c r="B2222" s="107">
        <v>0.0</v>
      </c>
    </row>
    <row r="2223">
      <c r="A2223" s="107">
        <v>1.0</v>
      </c>
      <c r="B2223" s="107">
        <v>1.0</v>
      </c>
    </row>
    <row r="2224">
      <c r="A2224" s="107">
        <v>1.0</v>
      </c>
      <c r="B2224" s="107">
        <v>1.0</v>
      </c>
    </row>
    <row r="2225">
      <c r="A2225" s="107">
        <v>1.0</v>
      </c>
      <c r="B2225" s="107">
        <v>1.0</v>
      </c>
    </row>
    <row r="2226">
      <c r="A2226" s="107">
        <v>1.0</v>
      </c>
      <c r="B2226" s="107">
        <v>1.0</v>
      </c>
    </row>
    <row r="2227">
      <c r="A2227" s="102">
        <v>1.0</v>
      </c>
      <c r="B2227" s="107">
        <v>1.0</v>
      </c>
    </row>
    <row r="2228">
      <c r="A2228" s="102">
        <v>1.0</v>
      </c>
      <c r="B2228" s="107">
        <v>1.0</v>
      </c>
    </row>
    <row r="2229">
      <c r="A2229" s="102">
        <v>1.0</v>
      </c>
      <c r="B2229" s="107">
        <v>1.0</v>
      </c>
    </row>
    <row r="2230">
      <c r="A2230" s="102">
        <v>1.0</v>
      </c>
      <c r="B2230" s="107">
        <v>1.0</v>
      </c>
    </row>
    <row r="2231">
      <c r="A2231" s="102">
        <v>1.0</v>
      </c>
      <c r="B2231" s="107">
        <v>1.0</v>
      </c>
    </row>
    <row r="2232">
      <c r="A2232" s="102">
        <v>1.0</v>
      </c>
      <c r="B2232" s="107">
        <v>1.0</v>
      </c>
    </row>
    <row r="2233">
      <c r="A2233" s="102">
        <v>1.0</v>
      </c>
      <c r="B2233" s="107">
        <v>1.0</v>
      </c>
    </row>
    <row r="2234">
      <c r="A2234" s="102">
        <v>1.0</v>
      </c>
      <c r="B2234" s="107">
        <v>1.0</v>
      </c>
    </row>
    <row r="2235">
      <c r="A2235" s="102">
        <v>1.0</v>
      </c>
      <c r="B2235" s="107">
        <v>1.0</v>
      </c>
    </row>
    <row r="2236">
      <c r="A2236" s="102">
        <v>1.0</v>
      </c>
      <c r="B2236" s="107">
        <v>1.0</v>
      </c>
    </row>
    <row r="2237">
      <c r="A2237" s="102">
        <v>1.0</v>
      </c>
      <c r="B2237" s="107">
        <v>1.0</v>
      </c>
    </row>
    <row r="2238">
      <c r="A2238" s="102">
        <v>1.0</v>
      </c>
      <c r="B2238" s="107">
        <v>1.0</v>
      </c>
    </row>
    <row r="2239">
      <c r="A2239" s="102">
        <v>1.0</v>
      </c>
      <c r="B2239" s="107">
        <v>1.0</v>
      </c>
    </row>
    <row r="2240">
      <c r="A2240" s="102">
        <v>1.0</v>
      </c>
      <c r="B2240" s="107">
        <v>1.0</v>
      </c>
    </row>
    <row r="2241">
      <c r="A2241" s="102">
        <v>1.0</v>
      </c>
      <c r="B2241" s="107">
        <v>0.0</v>
      </c>
    </row>
    <row r="2242">
      <c r="A2242" s="102">
        <v>1.0</v>
      </c>
      <c r="B2242" s="107">
        <v>0.0</v>
      </c>
    </row>
    <row r="2243">
      <c r="A2243" s="102">
        <v>1.0</v>
      </c>
      <c r="B2243" s="107">
        <v>0.0</v>
      </c>
    </row>
    <row r="2244">
      <c r="A2244" s="102">
        <v>1.0</v>
      </c>
      <c r="B2244" s="107">
        <v>1.0</v>
      </c>
    </row>
    <row r="2245">
      <c r="A2245" s="102">
        <v>1.0</v>
      </c>
      <c r="B2245" s="107">
        <v>0.0</v>
      </c>
    </row>
    <row r="2246">
      <c r="A2246" s="102">
        <v>1.0</v>
      </c>
      <c r="B2246" s="107">
        <v>0.0</v>
      </c>
    </row>
    <row r="2247">
      <c r="A2247" s="102">
        <v>1.0</v>
      </c>
      <c r="B2247" s="107">
        <v>1.0</v>
      </c>
    </row>
    <row r="2248">
      <c r="A2248" s="107">
        <v>0.0</v>
      </c>
      <c r="B2248" s="107">
        <v>0.0</v>
      </c>
    </row>
    <row r="2249">
      <c r="A2249" s="107">
        <v>1.0</v>
      </c>
      <c r="B2249" s="107">
        <v>0.0</v>
      </c>
    </row>
    <row r="2250">
      <c r="A2250" s="107">
        <v>0.0</v>
      </c>
      <c r="B2250" s="107">
        <v>0.0</v>
      </c>
    </row>
    <row r="2251">
      <c r="A2251" s="107">
        <v>1.0</v>
      </c>
      <c r="B2251" s="107">
        <v>1.0</v>
      </c>
    </row>
    <row r="2252">
      <c r="A2252" s="107">
        <v>0.0</v>
      </c>
      <c r="B2252" s="107">
        <v>0.0</v>
      </c>
    </row>
    <row r="2253">
      <c r="A2253" s="107">
        <v>0.0</v>
      </c>
      <c r="B2253" s="107">
        <v>0.0</v>
      </c>
    </row>
    <row r="2254">
      <c r="A2254" s="107">
        <v>1.0</v>
      </c>
      <c r="B2254" s="107">
        <v>1.0</v>
      </c>
    </row>
    <row r="2255">
      <c r="A2255" s="107">
        <v>1.0</v>
      </c>
      <c r="B2255" s="107">
        <v>1.0</v>
      </c>
    </row>
    <row r="2256">
      <c r="A2256" s="107">
        <v>1.0</v>
      </c>
      <c r="B2256" s="107">
        <v>1.0</v>
      </c>
    </row>
    <row r="2257">
      <c r="A2257" s="107">
        <v>1.0</v>
      </c>
      <c r="B2257" s="107">
        <v>0.0</v>
      </c>
    </row>
    <row r="2258">
      <c r="A2258" s="107">
        <v>1.0</v>
      </c>
      <c r="B2258" s="107">
        <v>1.0</v>
      </c>
    </row>
    <row r="2259">
      <c r="A2259" s="107">
        <v>1.0</v>
      </c>
      <c r="B2259" s="107">
        <v>1.0</v>
      </c>
    </row>
    <row r="2260">
      <c r="A2260" s="107">
        <v>1.0</v>
      </c>
      <c r="B2260" s="107">
        <v>1.0</v>
      </c>
    </row>
    <row r="2261">
      <c r="A2261" s="107">
        <v>1.0</v>
      </c>
      <c r="B2261" s="107">
        <v>1.0</v>
      </c>
    </row>
    <row r="2262">
      <c r="A2262" s="107">
        <v>1.0</v>
      </c>
      <c r="B2262" s="107">
        <v>1.0</v>
      </c>
    </row>
    <row r="2263">
      <c r="A2263" s="107">
        <v>1.0</v>
      </c>
      <c r="B2263" s="107">
        <v>1.0</v>
      </c>
    </row>
    <row r="2264">
      <c r="A2264" s="107">
        <v>1.0</v>
      </c>
      <c r="B2264" s="107">
        <v>0.0</v>
      </c>
    </row>
    <row r="2265">
      <c r="A2265" s="107">
        <v>1.0</v>
      </c>
      <c r="B2265" s="107">
        <v>1.0</v>
      </c>
    </row>
    <row r="2266">
      <c r="A2266" s="107">
        <v>1.0</v>
      </c>
      <c r="B2266" s="107">
        <v>1.0</v>
      </c>
    </row>
    <row r="2267">
      <c r="A2267" s="107">
        <v>1.0</v>
      </c>
      <c r="B2267" s="107">
        <v>1.0</v>
      </c>
    </row>
    <row r="2268">
      <c r="A2268" s="107">
        <v>1.0</v>
      </c>
      <c r="B2268" s="107">
        <v>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5.5"/>
    <col customWidth="1" min="3" max="3" width="116.75"/>
    <col customWidth="1" min="4" max="4" width="26.25"/>
    <col customWidth="1" min="5" max="5" width="21.88"/>
    <col customWidth="1" min="6" max="6" width="20.63"/>
    <col customWidth="1" min="7" max="7" width="24.38"/>
    <col customWidth="1" min="8" max="8" width="22.0"/>
    <col customWidth="1" min="9" max="9" width="20.75"/>
    <col customWidth="1" min="10" max="10" width="29.75"/>
    <col customWidth="1" min="11" max="11" width="24.63"/>
  </cols>
  <sheetData>
    <row r="1" ht="21.75" customHeight="1">
      <c r="A1" s="15" t="s">
        <v>2091</v>
      </c>
      <c r="B1" s="15" t="s">
        <v>2092</v>
      </c>
      <c r="C1" s="15" t="s">
        <v>2093</v>
      </c>
      <c r="D1" s="15" t="s">
        <v>2094</v>
      </c>
    </row>
    <row r="2" ht="38.25" customHeight="1">
      <c r="A2" s="5" t="s">
        <v>946</v>
      </c>
      <c r="B2" s="5" t="s">
        <v>2095</v>
      </c>
      <c r="C2" s="5" t="s">
        <v>2096</v>
      </c>
      <c r="D2" s="5" t="s">
        <v>2097</v>
      </c>
    </row>
    <row r="3" ht="67.5" customHeight="1">
      <c r="A3" s="15" t="s">
        <v>947</v>
      </c>
      <c r="B3" s="5" t="s">
        <v>2098</v>
      </c>
      <c r="C3" s="5" t="s">
        <v>2099</v>
      </c>
      <c r="D3" s="5" t="s">
        <v>2100</v>
      </c>
    </row>
    <row r="4">
      <c r="A4" s="15" t="s">
        <v>948</v>
      </c>
      <c r="B4" s="5" t="s">
        <v>2101</v>
      </c>
      <c r="C4" s="5" t="s">
        <v>2102</v>
      </c>
      <c r="D4" s="5" t="s">
        <v>2103</v>
      </c>
    </row>
    <row r="5">
      <c r="A5" s="15" t="s">
        <v>949</v>
      </c>
      <c r="B5" s="5" t="s">
        <v>2104</v>
      </c>
      <c r="C5" s="5" t="s">
        <v>2105</v>
      </c>
      <c r="D5" s="5" t="s">
        <v>2106</v>
      </c>
    </row>
    <row r="6">
      <c r="A6" s="15" t="s">
        <v>950</v>
      </c>
      <c r="B6" s="5" t="s">
        <v>2107</v>
      </c>
      <c r="C6" s="5" t="s">
        <v>2108</v>
      </c>
      <c r="D6" s="5" t="s">
        <v>2109</v>
      </c>
    </row>
    <row r="7">
      <c r="A7" s="15" t="s">
        <v>951</v>
      </c>
      <c r="B7" s="5" t="s">
        <v>2110</v>
      </c>
      <c r="C7" s="5" t="s">
        <v>2111</v>
      </c>
      <c r="D7" s="5" t="s">
        <v>2112</v>
      </c>
    </row>
    <row r="8">
      <c r="B8" s="5"/>
      <c r="C8" s="5"/>
      <c r="D8" s="5"/>
    </row>
    <row r="21">
      <c r="C21" s="113"/>
      <c r="D21" s="113"/>
    </row>
    <row r="24">
      <c r="A24" s="114"/>
      <c r="C24" s="29"/>
      <c r="D24" s="29"/>
      <c r="E24" s="29"/>
      <c r="F24" s="29"/>
      <c r="G24" s="29"/>
    </row>
    <row r="25">
      <c r="A25" s="114"/>
    </row>
    <row r="26">
      <c r="A26" s="114"/>
      <c r="B26" s="5"/>
    </row>
    <row r="27">
      <c r="A27" s="114"/>
    </row>
    <row r="28">
      <c r="A28" s="114"/>
    </row>
    <row r="29">
      <c r="A29" s="114"/>
    </row>
    <row r="30">
      <c r="A30" s="114"/>
    </row>
    <row r="31">
      <c r="A31" s="114"/>
    </row>
    <row r="32">
      <c r="A32" s="114"/>
    </row>
  </sheetData>
  <drawing r:id="rId1"/>
</worksheet>
</file>